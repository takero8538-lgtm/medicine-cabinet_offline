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akashita.DENSHI_NT\Desktop\"/>
    </mc:Choice>
  </mc:AlternateContent>
  <xr:revisionPtr revIDLastSave="0" documentId="13_ncr:1_{84C1503C-1501-4AA0-9A72-5E6B7EDE26D3}" xr6:coauthVersionLast="47" xr6:coauthVersionMax="47" xr10:uidLastSave="{00000000-0000-0000-0000-000000000000}"/>
  <bookViews>
    <workbookView xWindow="-108" yWindow="-108" windowWidth="23256" windowHeight="13896" tabRatio="890" xr2:uid="{00000000-000D-0000-FFFF-FFFF00000000}"/>
  </bookViews>
  <sheets>
    <sheet name="合体" sheetId="18" r:id="rId1"/>
    <sheet name="match_results" sheetId="19" r:id="rId2"/>
    <sheet name="薬品マスタリスト_20260130100542" sheetId="17" r:id="rId3"/>
    <sheet name="集計" sheetId="3" r:id="rId4"/>
    <sheet name="Sheet1" sheetId="1" r:id="rId5"/>
    <sheet name="注射（集計）" sheetId="5" r:id="rId6"/>
    <sheet name="錠剤(集計）" sheetId="6" r:id="rId7"/>
    <sheet name="散剤（集計）" sheetId="12" r:id="rId8"/>
    <sheet name="漢方 (集計)" sheetId="14" r:id="rId9"/>
    <sheet name="外用 (集計)" sheetId="13" r:id="rId10"/>
    <sheet name="残量上位" sheetId="2" r:id="rId11"/>
    <sheet name="sheet2" sheetId="15" r:id="rId12"/>
  </sheets>
  <definedNames>
    <definedName name="_xlnm._FilterDatabase" localSheetId="0" hidden="1">合体!$B$4:$M$1032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8" l="1"/>
  <c r="L6" i="18"/>
  <c r="M6" i="18"/>
  <c r="K7" i="18"/>
  <c r="L7" i="18"/>
  <c r="M7" i="18"/>
  <c r="K8" i="18"/>
  <c r="L8" i="18"/>
  <c r="M8" i="18"/>
  <c r="K9" i="18"/>
  <c r="L9" i="18"/>
  <c r="M9" i="18"/>
  <c r="K10" i="18"/>
  <c r="L10" i="18"/>
  <c r="M10" i="18"/>
  <c r="K11" i="18"/>
  <c r="L11" i="18"/>
  <c r="M11" i="18"/>
  <c r="K12" i="18"/>
  <c r="L12" i="18"/>
  <c r="M12" i="18"/>
  <c r="K13" i="18"/>
  <c r="L13" i="18"/>
  <c r="M13" i="18"/>
  <c r="K14" i="18"/>
  <c r="L14" i="18"/>
  <c r="M14" i="18"/>
  <c r="K15" i="18"/>
  <c r="L15" i="18"/>
  <c r="M15" i="18"/>
  <c r="K16" i="18"/>
  <c r="L16" i="18"/>
  <c r="M16" i="18"/>
  <c r="K17" i="18"/>
  <c r="L17" i="18"/>
  <c r="M17" i="18"/>
  <c r="K18" i="18"/>
  <c r="L18" i="18"/>
  <c r="M18" i="18"/>
  <c r="K19" i="18"/>
  <c r="L19" i="18"/>
  <c r="M19" i="18"/>
  <c r="K20" i="18"/>
  <c r="L20" i="18"/>
  <c r="M20" i="18"/>
  <c r="K21" i="18"/>
  <c r="L21" i="18"/>
  <c r="M21" i="18"/>
  <c r="K22" i="18"/>
  <c r="L22" i="18"/>
  <c r="M22" i="18"/>
  <c r="K23" i="18"/>
  <c r="L23" i="18"/>
  <c r="M23" i="18"/>
  <c r="K24" i="18"/>
  <c r="L24" i="18"/>
  <c r="M24" i="18"/>
  <c r="K25" i="18"/>
  <c r="L25" i="18"/>
  <c r="M25" i="18"/>
  <c r="K26" i="18"/>
  <c r="L26" i="18"/>
  <c r="M26" i="18"/>
  <c r="K27" i="18"/>
  <c r="L27" i="18"/>
  <c r="M27" i="18"/>
  <c r="K28" i="18"/>
  <c r="L28" i="18"/>
  <c r="M28" i="18"/>
  <c r="K29" i="18"/>
  <c r="L29" i="18"/>
  <c r="M29" i="18"/>
  <c r="K30" i="18"/>
  <c r="L30" i="18"/>
  <c r="M30" i="18"/>
  <c r="K31" i="18"/>
  <c r="L31" i="18"/>
  <c r="M31" i="18"/>
  <c r="K32" i="18"/>
  <c r="L32" i="18"/>
  <c r="M32" i="18"/>
  <c r="K33" i="18"/>
  <c r="L33" i="18"/>
  <c r="M33" i="18"/>
  <c r="K34" i="18"/>
  <c r="L34" i="18"/>
  <c r="M34" i="18"/>
  <c r="K35" i="18"/>
  <c r="L35" i="18"/>
  <c r="M35" i="18"/>
  <c r="K36" i="18"/>
  <c r="L36" i="18"/>
  <c r="M36" i="18"/>
  <c r="K37" i="18"/>
  <c r="L37" i="18"/>
  <c r="M37" i="18"/>
  <c r="K38" i="18"/>
  <c r="L38" i="18"/>
  <c r="M38" i="18"/>
  <c r="K39" i="18"/>
  <c r="L39" i="18"/>
  <c r="M39" i="18"/>
  <c r="K40" i="18"/>
  <c r="L40" i="18"/>
  <c r="M40" i="18"/>
  <c r="K41" i="18"/>
  <c r="L41" i="18"/>
  <c r="M41" i="18"/>
  <c r="K42" i="18"/>
  <c r="L42" i="18"/>
  <c r="M42" i="18"/>
  <c r="K43" i="18"/>
  <c r="L43" i="18"/>
  <c r="M43" i="18"/>
  <c r="K44" i="18"/>
  <c r="L44" i="18"/>
  <c r="M44" i="18"/>
  <c r="K45" i="18"/>
  <c r="L45" i="18"/>
  <c r="M45" i="18"/>
  <c r="K46" i="18"/>
  <c r="L46" i="18"/>
  <c r="M46" i="18"/>
  <c r="K47" i="18"/>
  <c r="L47" i="18"/>
  <c r="M47" i="18"/>
  <c r="K48" i="18"/>
  <c r="L48" i="18"/>
  <c r="M48" i="18"/>
  <c r="K49" i="18"/>
  <c r="L49" i="18"/>
  <c r="M49" i="18"/>
  <c r="K50" i="18"/>
  <c r="L50" i="18"/>
  <c r="M50" i="18"/>
  <c r="K51" i="18"/>
  <c r="L51" i="18"/>
  <c r="M51" i="18"/>
  <c r="K52" i="18"/>
  <c r="L52" i="18"/>
  <c r="M52" i="18"/>
  <c r="K53" i="18"/>
  <c r="L53" i="18"/>
  <c r="M53" i="18"/>
  <c r="K54" i="18"/>
  <c r="L54" i="18"/>
  <c r="M54" i="18"/>
  <c r="K55" i="18"/>
  <c r="L55" i="18"/>
  <c r="M55" i="18"/>
  <c r="K56" i="18"/>
  <c r="L56" i="18"/>
  <c r="M56" i="18"/>
  <c r="K57" i="18"/>
  <c r="L57" i="18"/>
  <c r="M57" i="18"/>
  <c r="K58" i="18"/>
  <c r="L58" i="18"/>
  <c r="M58" i="18"/>
  <c r="K59" i="18"/>
  <c r="L59" i="18"/>
  <c r="M59" i="18"/>
  <c r="K60" i="18"/>
  <c r="L60" i="18"/>
  <c r="M60" i="18"/>
  <c r="K61" i="18"/>
  <c r="L61" i="18"/>
  <c r="M61" i="18"/>
  <c r="K62" i="18"/>
  <c r="L62" i="18"/>
  <c r="M62" i="18"/>
  <c r="K63" i="18"/>
  <c r="L63" i="18"/>
  <c r="M63" i="18"/>
  <c r="K64" i="18"/>
  <c r="L64" i="18"/>
  <c r="M64" i="18"/>
  <c r="K65" i="18"/>
  <c r="L65" i="18"/>
  <c r="M65" i="18"/>
  <c r="K66" i="18"/>
  <c r="L66" i="18"/>
  <c r="M66" i="18"/>
  <c r="K67" i="18"/>
  <c r="L67" i="18"/>
  <c r="M67" i="18"/>
  <c r="K68" i="18"/>
  <c r="L68" i="18"/>
  <c r="M68" i="18"/>
  <c r="K69" i="18"/>
  <c r="L69" i="18"/>
  <c r="M69" i="18"/>
  <c r="K70" i="18"/>
  <c r="L70" i="18"/>
  <c r="M70" i="18"/>
  <c r="K71" i="18"/>
  <c r="L71" i="18"/>
  <c r="M71" i="18"/>
  <c r="K72" i="18"/>
  <c r="L72" i="18"/>
  <c r="M72" i="18"/>
  <c r="K73" i="18"/>
  <c r="L73" i="18"/>
  <c r="M73" i="18"/>
  <c r="K74" i="18"/>
  <c r="L74" i="18"/>
  <c r="M74" i="18"/>
  <c r="K75" i="18"/>
  <c r="L75" i="18"/>
  <c r="M75" i="18"/>
  <c r="K76" i="18"/>
  <c r="L76" i="18"/>
  <c r="M76" i="18"/>
  <c r="K77" i="18"/>
  <c r="L77" i="18"/>
  <c r="M77" i="18"/>
  <c r="K78" i="18"/>
  <c r="L78" i="18"/>
  <c r="M78" i="18"/>
  <c r="K79" i="18"/>
  <c r="L79" i="18"/>
  <c r="M79" i="18"/>
  <c r="K80" i="18"/>
  <c r="L80" i="18"/>
  <c r="M80" i="18"/>
  <c r="K81" i="18"/>
  <c r="L81" i="18"/>
  <c r="M81" i="18"/>
  <c r="K82" i="18"/>
  <c r="L82" i="18"/>
  <c r="M82" i="18"/>
  <c r="K83" i="18"/>
  <c r="L83" i="18"/>
  <c r="M83" i="18"/>
  <c r="K84" i="18"/>
  <c r="L84" i="18"/>
  <c r="M84" i="18"/>
  <c r="K85" i="18"/>
  <c r="L85" i="18"/>
  <c r="M85" i="18"/>
  <c r="K86" i="18"/>
  <c r="L86" i="18"/>
  <c r="M86" i="18"/>
  <c r="K87" i="18"/>
  <c r="L87" i="18"/>
  <c r="M87" i="18"/>
  <c r="K88" i="18"/>
  <c r="L88" i="18"/>
  <c r="M88" i="18"/>
  <c r="K89" i="18"/>
  <c r="L89" i="18"/>
  <c r="M89" i="18"/>
  <c r="K90" i="18"/>
  <c r="L90" i="18"/>
  <c r="M90" i="18"/>
  <c r="K91" i="18"/>
  <c r="L91" i="18"/>
  <c r="M91" i="18"/>
  <c r="K92" i="18"/>
  <c r="L92" i="18"/>
  <c r="M92" i="18"/>
  <c r="K93" i="18"/>
  <c r="L93" i="18"/>
  <c r="M93" i="18"/>
  <c r="K94" i="18"/>
  <c r="L94" i="18"/>
  <c r="M94" i="18"/>
  <c r="K95" i="18"/>
  <c r="L95" i="18"/>
  <c r="M95" i="18"/>
  <c r="K96" i="18"/>
  <c r="L96" i="18"/>
  <c r="M96" i="18"/>
  <c r="K97" i="18"/>
  <c r="L97" i="18"/>
  <c r="M97" i="18"/>
  <c r="K98" i="18"/>
  <c r="L98" i="18"/>
  <c r="M98" i="18"/>
  <c r="K99" i="18"/>
  <c r="L99" i="18"/>
  <c r="M99" i="18"/>
  <c r="K100" i="18"/>
  <c r="L100" i="18"/>
  <c r="M100" i="18"/>
  <c r="K101" i="18"/>
  <c r="L101" i="18"/>
  <c r="M101" i="18"/>
  <c r="K102" i="18"/>
  <c r="L102" i="18"/>
  <c r="M102" i="18"/>
  <c r="K103" i="18"/>
  <c r="L103" i="18"/>
  <c r="M103" i="18"/>
  <c r="K104" i="18"/>
  <c r="L104" i="18"/>
  <c r="M104" i="18"/>
  <c r="K105" i="18"/>
  <c r="L105" i="18"/>
  <c r="M105" i="18"/>
  <c r="K106" i="18"/>
  <c r="L106" i="18"/>
  <c r="M106" i="18"/>
  <c r="K107" i="18"/>
  <c r="L107" i="18"/>
  <c r="M107" i="18"/>
  <c r="K108" i="18"/>
  <c r="L108" i="18"/>
  <c r="M108" i="18"/>
  <c r="K109" i="18"/>
  <c r="L109" i="18"/>
  <c r="M109" i="18"/>
  <c r="K110" i="18"/>
  <c r="L110" i="18"/>
  <c r="M110" i="18"/>
  <c r="K111" i="18"/>
  <c r="L111" i="18"/>
  <c r="M111" i="18"/>
  <c r="K112" i="18"/>
  <c r="L112" i="18"/>
  <c r="M112" i="18"/>
  <c r="K113" i="18"/>
  <c r="L113" i="18"/>
  <c r="M113" i="18"/>
  <c r="K114" i="18"/>
  <c r="L114" i="18"/>
  <c r="M114" i="18"/>
  <c r="K115" i="18"/>
  <c r="L115" i="18"/>
  <c r="M115" i="18"/>
  <c r="K116" i="18"/>
  <c r="L116" i="18"/>
  <c r="M116" i="18"/>
  <c r="K117" i="18"/>
  <c r="L117" i="18"/>
  <c r="M117" i="18"/>
  <c r="K118" i="18"/>
  <c r="L118" i="18"/>
  <c r="M118" i="18"/>
  <c r="K119" i="18"/>
  <c r="L119" i="18"/>
  <c r="M119" i="18"/>
  <c r="K120" i="18"/>
  <c r="L120" i="18"/>
  <c r="M120" i="18"/>
  <c r="K121" i="18"/>
  <c r="L121" i="18"/>
  <c r="M121" i="18"/>
  <c r="K122" i="18"/>
  <c r="L122" i="18"/>
  <c r="M122" i="18"/>
  <c r="K123" i="18"/>
  <c r="L123" i="18"/>
  <c r="M123" i="18"/>
  <c r="K124" i="18"/>
  <c r="L124" i="18"/>
  <c r="M124" i="18"/>
  <c r="K125" i="18"/>
  <c r="L125" i="18"/>
  <c r="M125" i="18"/>
  <c r="K126" i="18"/>
  <c r="L126" i="18"/>
  <c r="M126" i="18"/>
  <c r="K127" i="18"/>
  <c r="L127" i="18"/>
  <c r="M127" i="18"/>
  <c r="K128" i="18"/>
  <c r="L128" i="18"/>
  <c r="M128" i="18"/>
  <c r="K129" i="18"/>
  <c r="L129" i="18"/>
  <c r="M129" i="18"/>
  <c r="K130" i="18"/>
  <c r="L130" i="18"/>
  <c r="M130" i="18"/>
  <c r="K131" i="18"/>
  <c r="L131" i="18"/>
  <c r="M131" i="18"/>
  <c r="K132" i="18"/>
  <c r="L132" i="18"/>
  <c r="M132" i="18"/>
  <c r="K133" i="18"/>
  <c r="L133" i="18"/>
  <c r="M133" i="18"/>
  <c r="K134" i="18"/>
  <c r="L134" i="18"/>
  <c r="M134" i="18"/>
  <c r="K135" i="18"/>
  <c r="L135" i="18"/>
  <c r="M135" i="18"/>
  <c r="K136" i="18"/>
  <c r="L136" i="18"/>
  <c r="M136" i="18"/>
  <c r="K137" i="18"/>
  <c r="L137" i="18"/>
  <c r="M137" i="18"/>
  <c r="K138" i="18"/>
  <c r="L138" i="18"/>
  <c r="M138" i="18"/>
  <c r="K139" i="18"/>
  <c r="L139" i="18"/>
  <c r="M139" i="18"/>
  <c r="K140" i="18"/>
  <c r="L140" i="18"/>
  <c r="M140" i="18"/>
  <c r="K141" i="18"/>
  <c r="L141" i="18"/>
  <c r="M141" i="18"/>
  <c r="K142" i="18"/>
  <c r="L142" i="18"/>
  <c r="M142" i="18"/>
  <c r="K143" i="18"/>
  <c r="L143" i="18"/>
  <c r="M143" i="18"/>
  <c r="K144" i="18"/>
  <c r="L144" i="18"/>
  <c r="M144" i="18"/>
  <c r="K145" i="18"/>
  <c r="L145" i="18"/>
  <c r="M145" i="18"/>
  <c r="K146" i="18"/>
  <c r="L146" i="18"/>
  <c r="M146" i="18"/>
  <c r="K147" i="18"/>
  <c r="L147" i="18"/>
  <c r="M147" i="18"/>
  <c r="K148" i="18"/>
  <c r="L148" i="18"/>
  <c r="M148" i="18"/>
  <c r="K149" i="18"/>
  <c r="L149" i="18"/>
  <c r="M149" i="18"/>
  <c r="K150" i="18"/>
  <c r="L150" i="18"/>
  <c r="M150" i="18"/>
  <c r="K151" i="18"/>
  <c r="L151" i="18"/>
  <c r="M151" i="18"/>
  <c r="K152" i="18"/>
  <c r="L152" i="18"/>
  <c r="M152" i="18"/>
  <c r="K153" i="18"/>
  <c r="L153" i="18"/>
  <c r="M153" i="18"/>
  <c r="K154" i="18"/>
  <c r="L154" i="18"/>
  <c r="M154" i="18"/>
  <c r="K155" i="18"/>
  <c r="L155" i="18"/>
  <c r="M155" i="18"/>
  <c r="K156" i="18"/>
  <c r="L156" i="18"/>
  <c r="M156" i="18"/>
  <c r="K157" i="18"/>
  <c r="L157" i="18"/>
  <c r="M157" i="18"/>
  <c r="K158" i="18"/>
  <c r="L158" i="18"/>
  <c r="M158" i="18"/>
  <c r="K159" i="18"/>
  <c r="L159" i="18"/>
  <c r="M159" i="18"/>
  <c r="K160" i="18"/>
  <c r="L160" i="18"/>
  <c r="M160" i="18"/>
  <c r="K161" i="18"/>
  <c r="L161" i="18"/>
  <c r="M161" i="18"/>
  <c r="K162" i="18"/>
  <c r="L162" i="18"/>
  <c r="M162" i="18"/>
  <c r="K163" i="18"/>
  <c r="L163" i="18"/>
  <c r="M163" i="18"/>
  <c r="K164" i="18"/>
  <c r="L164" i="18"/>
  <c r="M164" i="18"/>
  <c r="K165" i="18"/>
  <c r="L165" i="18"/>
  <c r="M165" i="18"/>
  <c r="K166" i="18"/>
  <c r="L166" i="18"/>
  <c r="M166" i="18"/>
  <c r="K167" i="18"/>
  <c r="L167" i="18"/>
  <c r="M167" i="18"/>
  <c r="K168" i="18"/>
  <c r="L168" i="18"/>
  <c r="M168" i="18"/>
  <c r="K169" i="18"/>
  <c r="L169" i="18"/>
  <c r="M169" i="18"/>
  <c r="K170" i="18"/>
  <c r="L170" i="18"/>
  <c r="M170" i="18"/>
  <c r="K171" i="18"/>
  <c r="L171" i="18"/>
  <c r="M171" i="18"/>
  <c r="K172" i="18"/>
  <c r="L172" i="18"/>
  <c r="M172" i="18"/>
  <c r="K173" i="18"/>
  <c r="L173" i="18"/>
  <c r="M173" i="18"/>
  <c r="K174" i="18"/>
  <c r="L174" i="18"/>
  <c r="M174" i="18"/>
  <c r="K175" i="18"/>
  <c r="L175" i="18"/>
  <c r="M175" i="18"/>
  <c r="K176" i="18"/>
  <c r="L176" i="18"/>
  <c r="M176" i="18"/>
  <c r="K177" i="18"/>
  <c r="L177" i="18"/>
  <c r="M177" i="18"/>
  <c r="K178" i="18"/>
  <c r="L178" i="18"/>
  <c r="M178" i="18"/>
  <c r="K179" i="18"/>
  <c r="L179" i="18"/>
  <c r="M179" i="18"/>
  <c r="K180" i="18"/>
  <c r="L180" i="18"/>
  <c r="M180" i="18"/>
  <c r="K181" i="18"/>
  <c r="L181" i="18"/>
  <c r="M181" i="18"/>
  <c r="K182" i="18"/>
  <c r="L182" i="18"/>
  <c r="M182" i="18"/>
  <c r="K183" i="18"/>
  <c r="L183" i="18"/>
  <c r="M183" i="18"/>
  <c r="K184" i="18"/>
  <c r="L184" i="18"/>
  <c r="M184" i="18"/>
  <c r="K185" i="18"/>
  <c r="L185" i="18"/>
  <c r="M185" i="18"/>
  <c r="K186" i="18"/>
  <c r="L186" i="18"/>
  <c r="M186" i="18"/>
  <c r="K187" i="18"/>
  <c r="L187" i="18"/>
  <c r="M187" i="18"/>
  <c r="K188" i="18"/>
  <c r="L188" i="18"/>
  <c r="M188" i="18"/>
  <c r="K189" i="18"/>
  <c r="L189" i="18"/>
  <c r="M189" i="18"/>
  <c r="K190" i="18"/>
  <c r="L190" i="18"/>
  <c r="M190" i="18"/>
  <c r="K191" i="18"/>
  <c r="L191" i="18"/>
  <c r="M191" i="18"/>
  <c r="K192" i="18"/>
  <c r="L192" i="18"/>
  <c r="M192" i="18"/>
  <c r="K193" i="18"/>
  <c r="L193" i="18"/>
  <c r="M193" i="18"/>
  <c r="K194" i="18"/>
  <c r="L194" i="18"/>
  <c r="M194" i="18"/>
  <c r="K195" i="18"/>
  <c r="L195" i="18"/>
  <c r="M195" i="18"/>
  <c r="K196" i="18"/>
  <c r="L196" i="18"/>
  <c r="M196" i="18"/>
  <c r="K197" i="18"/>
  <c r="L197" i="18"/>
  <c r="M197" i="18"/>
  <c r="K198" i="18"/>
  <c r="L198" i="18"/>
  <c r="M198" i="18"/>
  <c r="K199" i="18"/>
  <c r="L199" i="18"/>
  <c r="M199" i="18"/>
  <c r="K200" i="18"/>
  <c r="L200" i="18"/>
  <c r="M200" i="18"/>
  <c r="K201" i="18"/>
  <c r="L201" i="18"/>
  <c r="M201" i="18"/>
  <c r="K202" i="18"/>
  <c r="L202" i="18"/>
  <c r="M202" i="18"/>
  <c r="K203" i="18"/>
  <c r="L203" i="18"/>
  <c r="M203" i="18"/>
  <c r="K204" i="18"/>
  <c r="L204" i="18"/>
  <c r="M204" i="18"/>
  <c r="K205" i="18"/>
  <c r="L205" i="18"/>
  <c r="M205" i="18"/>
  <c r="K206" i="18"/>
  <c r="L206" i="18"/>
  <c r="M206" i="18"/>
  <c r="K207" i="18"/>
  <c r="L207" i="18"/>
  <c r="M207" i="18"/>
  <c r="K208" i="18"/>
  <c r="L208" i="18"/>
  <c r="M208" i="18"/>
  <c r="K209" i="18"/>
  <c r="L209" i="18"/>
  <c r="M209" i="18"/>
  <c r="K210" i="18"/>
  <c r="L210" i="18"/>
  <c r="M210" i="18"/>
  <c r="K211" i="18"/>
  <c r="L211" i="18"/>
  <c r="M211" i="18"/>
  <c r="K212" i="18"/>
  <c r="L212" i="18"/>
  <c r="M212" i="18"/>
  <c r="K213" i="18"/>
  <c r="L213" i="18"/>
  <c r="M213" i="18"/>
  <c r="K214" i="18"/>
  <c r="L214" i="18"/>
  <c r="M214" i="18"/>
  <c r="K215" i="18"/>
  <c r="L215" i="18"/>
  <c r="M215" i="18"/>
  <c r="K216" i="18"/>
  <c r="L216" i="18"/>
  <c r="M216" i="18"/>
  <c r="K217" i="18"/>
  <c r="L217" i="18"/>
  <c r="M217" i="18"/>
  <c r="K218" i="18"/>
  <c r="L218" i="18"/>
  <c r="M218" i="18"/>
  <c r="K219" i="18"/>
  <c r="L219" i="18"/>
  <c r="M219" i="18"/>
  <c r="K220" i="18"/>
  <c r="L220" i="18"/>
  <c r="M220" i="18"/>
  <c r="K221" i="18"/>
  <c r="L221" i="18"/>
  <c r="M221" i="18"/>
  <c r="K222" i="18"/>
  <c r="L222" i="18"/>
  <c r="M222" i="18"/>
  <c r="K223" i="18"/>
  <c r="L223" i="18"/>
  <c r="M223" i="18"/>
  <c r="K224" i="18"/>
  <c r="L224" i="18"/>
  <c r="M224" i="18"/>
  <c r="K225" i="18"/>
  <c r="L225" i="18"/>
  <c r="M225" i="18"/>
  <c r="K226" i="18"/>
  <c r="L226" i="18"/>
  <c r="M226" i="18"/>
  <c r="K227" i="18"/>
  <c r="L227" i="18"/>
  <c r="M227" i="18"/>
  <c r="K228" i="18"/>
  <c r="L228" i="18"/>
  <c r="M228" i="18"/>
  <c r="K229" i="18"/>
  <c r="L229" i="18"/>
  <c r="M229" i="18"/>
  <c r="K230" i="18"/>
  <c r="L230" i="18"/>
  <c r="M230" i="18"/>
  <c r="K231" i="18"/>
  <c r="L231" i="18"/>
  <c r="M231" i="18"/>
  <c r="K232" i="18"/>
  <c r="L232" i="18"/>
  <c r="M232" i="18"/>
  <c r="K233" i="18"/>
  <c r="L233" i="18"/>
  <c r="M233" i="18"/>
  <c r="K234" i="18"/>
  <c r="L234" i="18"/>
  <c r="M234" i="18"/>
  <c r="K235" i="18"/>
  <c r="L235" i="18"/>
  <c r="M235" i="18"/>
  <c r="K236" i="18"/>
  <c r="L236" i="18"/>
  <c r="M236" i="18"/>
  <c r="K237" i="18"/>
  <c r="L237" i="18"/>
  <c r="M237" i="18"/>
  <c r="K238" i="18"/>
  <c r="L238" i="18"/>
  <c r="M238" i="18"/>
  <c r="K239" i="18"/>
  <c r="L239" i="18"/>
  <c r="M239" i="18"/>
  <c r="K240" i="18"/>
  <c r="L240" i="18"/>
  <c r="M240" i="18"/>
  <c r="K241" i="18"/>
  <c r="L241" i="18"/>
  <c r="M241" i="18"/>
  <c r="K242" i="18"/>
  <c r="L242" i="18"/>
  <c r="M242" i="18"/>
  <c r="K243" i="18"/>
  <c r="L243" i="18"/>
  <c r="M243" i="18"/>
  <c r="K244" i="18"/>
  <c r="L244" i="18"/>
  <c r="M244" i="18"/>
  <c r="K245" i="18"/>
  <c r="L245" i="18"/>
  <c r="M245" i="18"/>
  <c r="K246" i="18"/>
  <c r="L246" i="18"/>
  <c r="M246" i="18"/>
  <c r="K247" i="18"/>
  <c r="L247" i="18"/>
  <c r="M247" i="18"/>
  <c r="K248" i="18"/>
  <c r="L248" i="18"/>
  <c r="M248" i="18"/>
  <c r="K249" i="18"/>
  <c r="L249" i="18"/>
  <c r="M249" i="18"/>
  <c r="K250" i="18"/>
  <c r="L250" i="18"/>
  <c r="M250" i="18"/>
  <c r="K251" i="18"/>
  <c r="L251" i="18"/>
  <c r="M251" i="18"/>
  <c r="K252" i="18"/>
  <c r="L252" i="18"/>
  <c r="M252" i="18"/>
  <c r="K253" i="18"/>
  <c r="L253" i="18"/>
  <c r="M253" i="18"/>
  <c r="K254" i="18"/>
  <c r="L254" i="18"/>
  <c r="M254" i="18"/>
  <c r="K255" i="18"/>
  <c r="L255" i="18"/>
  <c r="M255" i="18"/>
  <c r="K256" i="18"/>
  <c r="L256" i="18"/>
  <c r="M256" i="18"/>
  <c r="K257" i="18"/>
  <c r="L257" i="18"/>
  <c r="M257" i="18"/>
  <c r="K258" i="18"/>
  <c r="L258" i="18"/>
  <c r="M258" i="18"/>
  <c r="K259" i="18"/>
  <c r="L259" i="18"/>
  <c r="M259" i="18"/>
  <c r="K260" i="18"/>
  <c r="L260" i="18"/>
  <c r="M260" i="18"/>
  <c r="K261" i="18"/>
  <c r="L261" i="18"/>
  <c r="M261" i="18"/>
  <c r="K262" i="18"/>
  <c r="L262" i="18"/>
  <c r="M262" i="18"/>
  <c r="K263" i="18"/>
  <c r="L263" i="18"/>
  <c r="M263" i="18"/>
  <c r="K264" i="18"/>
  <c r="L264" i="18"/>
  <c r="M264" i="18"/>
  <c r="K265" i="18"/>
  <c r="L265" i="18"/>
  <c r="M265" i="18"/>
  <c r="K266" i="18"/>
  <c r="L266" i="18"/>
  <c r="M266" i="18"/>
  <c r="K267" i="18"/>
  <c r="L267" i="18"/>
  <c r="M267" i="18"/>
  <c r="K268" i="18"/>
  <c r="L268" i="18"/>
  <c r="M268" i="18"/>
  <c r="K269" i="18"/>
  <c r="L269" i="18"/>
  <c r="M269" i="18"/>
  <c r="K270" i="18"/>
  <c r="L270" i="18"/>
  <c r="M270" i="18"/>
  <c r="K271" i="18"/>
  <c r="L271" i="18"/>
  <c r="M271" i="18"/>
  <c r="K272" i="18"/>
  <c r="L272" i="18"/>
  <c r="M272" i="18"/>
  <c r="K273" i="18"/>
  <c r="L273" i="18"/>
  <c r="M273" i="18"/>
  <c r="K274" i="18"/>
  <c r="L274" i="18"/>
  <c r="M274" i="18"/>
  <c r="K275" i="18"/>
  <c r="L275" i="18"/>
  <c r="M275" i="18"/>
  <c r="K276" i="18"/>
  <c r="L276" i="18"/>
  <c r="M276" i="18"/>
  <c r="K277" i="18"/>
  <c r="L277" i="18"/>
  <c r="M277" i="18"/>
  <c r="K278" i="18"/>
  <c r="L278" i="18"/>
  <c r="M278" i="18"/>
  <c r="K279" i="18"/>
  <c r="L279" i="18"/>
  <c r="M279" i="18"/>
  <c r="K280" i="18"/>
  <c r="L280" i="18"/>
  <c r="M280" i="18"/>
  <c r="K281" i="18"/>
  <c r="L281" i="18"/>
  <c r="M281" i="18"/>
  <c r="K282" i="18"/>
  <c r="L282" i="18"/>
  <c r="M282" i="18"/>
  <c r="K283" i="18"/>
  <c r="L283" i="18"/>
  <c r="M283" i="18"/>
  <c r="K284" i="18"/>
  <c r="L284" i="18"/>
  <c r="M284" i="18"/>
  <c r="K285" i="18"/>
  <c r="L285" i="18"/>
  <c r="M285" i="18"/>
  <c r="K286" i="18"/>
  <c r="L286" i="18"/>
  <c r="M286" i="18"/>
  <c r="K287" i="18"/>
  <c r="L287" i="18"/>
  <c r="M287" i="18"/>
  <c r="K288" i="18"/>
  <c r="L288" i="18"/>
  <c r="M288" i="18"/>
  <c r="K289" i="18"/>
  <c r="L289" i="18"/>
  <c r="M289" i="18"/>
  <c r="K290" i="18"/>
  <c r="L290" i="18"/>
  <c r="M290" i="18"/>
  <c r="K291" i="18"/>
  <c r="L291" i="18"/>
  <c r="M291" i="18"/>
  <c r="K292" i="18"/>
  <c r="L292" i="18"/>
  <c r="M292" i="18"/>
  <c r="K293" i="18"/>
  <c r="L293" i="18"/>
  <c r="M293" i="18"/>
  <c r="K294" i="18"/>
  <c r="L294" i="18"/>
  <c r="M294" i="18"/>
  <c r="K295" i="18"/>
  <c r="L295" i="18"/>
  <c r="M295" i="18"/>
  <c r="K296" i="18"/>
  <c r="L296" i="18"/>
  <c r="M296" i="18"/>
  <c r="K297" i="18"/>
  <c r="L297" i="18"/>
  <c r="M297" i="18"/>
  <c r="K298" i="18"/>
  <c r="L298" i="18"/>
  <c r="M298" i="18"/>
  <c r="K299" i="18"/>
  <c r="L299" i="18"/>
  <c r="M299" i="18"/>
  <c r="K300" i="18"/>
  <c r="L300" i="18"/>
  <c r="M300" i="18"/>
  <c r="K301" i="18"/>
  <c r="L301" i="18"/>
  <c r="M301" i="18"/>
  <c r="K302" i="18"/>
  <c r="L302" i="18"/>
  <c r="M302" i="18"/>
  <c r="K303" i="18"/>
  <c r="L303" i="18"/>
  <c r="M303" i="18"/>
  <c r="K304" i="18"/>
  <c r="L304" i="18"/>
  <c r="M304" i="18"/>
  <c r="K305" i="18"/>
  <c r="L305" i="18"/>
  <c r="M305" i="18"/>
  <c r="K306" i="18"/>
  <c r="L306" i="18"/>
  <c r="M306" i="18"/>
  <c r="K307" i="18"/>
  <c r="L307" i="18"/>
  <c r="M307" i="18"/>
  <c r="K308" i="18"/>
  <c r="L308" i="18"/>
  <c r="M308" i="18"/>
  <c r="K309" i="18"/>
  <c r="L309" i="18"/>
  <c r="M309" i="18"/>
  <c r="K310" i="18"/>
  <c r="L310" i="18"/>
  <c r="M310" i="18"/>
  <c r="K311" i="18"/>
  <c r="L311" i="18"/>
  <c r="M311" i="18"/>
  <c r="K312" i="18"/>
  <c r="L312" i="18"/>
  <c r="M312" i="18"/>
  <c r="K313" i="18"/>
  <c r="L313" i="18"/>
  <c r="M313" i="18"/>
  <c r="K314" i="18"/>
  <c r="L314" i="18"/>
  <c r="M314" i="18"/>
  <c r="K315" i="18"/>
  <c r="L315" i="18"/>
  <c r="M315" i="18"/>
  <c r="K316" i="18"/>
  <c r="L316" i="18"/>
  <c r="M316" i="18"/>
  <c r="K317" i="18"/>
  <c r="L317" i="18"/>
  <c r="M317" i="18"/>
  <c r="K318" i="18"/>
  <c r="L318" i="18"/>
  <c r="M318" i="18"/>
  <c r="K319" i="18"/>
  <c r="L319" i="18"/>
  <c r="M319" i="18"/>
  <c r="K320" i="18"/>
  <c r="L320" i="18"/>
  <c r="M320" i="18"/>
  <c r="K321" i="18"/>
  <c r="L321" i="18"/>
  <c r="M321" i="18"/>
  <c r="K322" i="18"/>
  <c r="L322" i="18"/>
  <c r="M322" i="18"/>
  <c r="K323" i="18"/>
  <c r="L323" i="18"/>
  <c r="M323" i="18"/>
  <c r="K324" i="18"/>
  <c r="L324" i="18"/>
  <c r="M324" i="18"/>
  <c r="K325" i="18"/>
  <c r="L325" i="18"/>
  <c r="M325" i="18"/>
  <c r="K326" i="18"/>
  <c r="L326" i="18"/>
  <c r="M326" i="18"/>
  <c r="K327" i="18"/>
  <c r="L327" i="18"/>
  <c r="M327" i="18"/>
  <c r="K328" i="18"/>
  <c r="L328" i="18"/>
  <c r="M328" i="18"/>
  <c r="K329" i="18"/>
  <c r="L329" i="18"/>
  <c r="M329" i="18"/>
  <c r="K330" i="18"/>
  <c r="L330" i="18"/>
  <c r="M330" i="18"/>
  <c r="K331" i="18"/>
  <c r="L331" i="18"/>
  <c r="M331" i="18"/>
  <c r="K332" i="18"/>
  <c r="L332" i="18"/>
  <c r="M332" i="18"/>
  <c r="K333" i="18"/>
  <c r="L333" i="18"/>
  <c r="M333" i="18"/>
  <c r="K334" i="18"/>
  <c r="L334" i="18"/>
  <c r="M334" i="18"/>
  <c r="K335" i="18"/>
  <c r="L335" i="18"/>
  <c r="M335" i="18"/>
  <c r="K336" i="18"/>
  <c r="L336" i="18"/>
  <c r="M336" i="18"/>
  <c r="K337" i="18"/>
  <c r="L337" i="18"/>
  <c r="M337" i="18"/>
  <c r="K338" i="18"/>
  <c r="L338" i="18"/>
  <c r="M338" i="18"/>
  <c r="K339" i="18"/>
  <c r="L339" i="18"/>
  <c r="M339" i="18"/>
  <c r="K340" i="18"/>
  <c r="L340" i="18"/>
  <c r="M340" i="18"/>
  <c r="K341" i="18"/>
  <c r="L341" i="18"/>
  <c r="M341" i="18"/>
  <c r="K342" i="18"/>
  <c r="L342" i="18"/>
  <c r="M342" i="18"/>
  <c r="K343" i="18"/>
  <c r="L343" i="18"/>
  <c r="M343" i="18"/>
  <c r="K344" i="18"/>
  <c r="L344" i="18"/>
  <c r="M344" i="18"/>
  <c r="K345" i="18"/>
  <c r="L345" i="18"/>
  <c r="M345" i="18"/>
  <c r="K346" i="18"/>
  <c r="L346" i="18"/>
  <c r="M346" i="18"/>
  <c r="K347" i="18"/>
  <c r="L347" i="18"/>
  <c r="M347" i="18"/>
  <c r="K348" i="18"/>
  <c r="L348" i="18"/>
  <c r="M348" i="18"/>
  <c r="K349" i="18"/>
  <c r="L349" i="18"/>
  <c r="M349" i="18"/>
  <c r="K350" i="18"/>
  <c r="L350" i="18"/>
  <c r="M350" i="18"/>
  <c r="K351" i="18"/>
  <c r="L351" i="18"/>
  <c r="M351" i="18"/>
  <c r="K352" i="18"/>
  <c r="L352" i="18"/>
  <c r="M352" i="18"/>
  <c r="K353" i="18"/>
  <c r="L353" i="18"/>
  <c r="M353" i="18"/>
  <c r="K354" i="18"/>
  <c r="L354" i="18"/>
  <c r="M354" i="18"/>
  <c r="K355" i="18"/>
  <c r="L355" i="18"/>
  <c r="M355" i="18"/>
  <c r="K356" i="18"/>
  <c r="L356" i="18"/>
  <c r="M356" i="18"/>
  <c r="K357" i="18"/>
  <c r="L357" i="18"/>
  <c r="M357" i="18"/>
  <c r="K358" i="18"/>
  <c r="L358" i="18"/>
  <c r="M358" i="18"/>
  <c r="K359" i="18"/>
  <c r="L359" i="18"/>
  <c r="M359" i="18"/>
  <c r="K360" i="18"/>
  <c r="L360" i="18"/>
  <c r="M360" i="18"/>
  <c r="K361" i="18"/>
  <c r="L361" i="18"/>
  <c r="M361" i="18"/>
  <c r="K362" i="18"/>
  <c r="L362" i="18"/>
  <c r="M362" i="18"/>
  <c r="K363" i="18"/>
  <c r="L363" i="18"/>
  <c r="M363" i="18"/>
  <c r="K364" i="18"/>
  <c r="L364" i="18"/>
  <c r="M364" i="18"/>
  <c r="K365" i="18"/>
  <c r="L365" i="18"/>
  <c r="M365" i="18"/>
  <c r="K366" i="18"/>
  <c r="L366" i="18"/>
  <c r="M366" i="18"/>
  <c r="K367" i="18"/>
  <c r="L367" i="18"/>
  <c r="M367" i="18"/>
  <c r="K368" i="18"/>
  <c r="L368" i="18"/>
  <c r="M368" i="18"/>
  <c r="K369" i="18"/>
  <c r="L369" i="18"/>
  <c r="M369" i="18"/>
  <c r="K370" i="18"/>
  <c r="L370" i="18"/>
  <c r="M370" i="18"/>
  <c r="K371" i="18"/>
  <c r="L371" i="18"/>
  <c r="M371" i="18"/>
  <c r="K372" i="18"/>
  <c r="L372" i="18"/>
  <c r="M372" i="18"/>
  <c r="K373" i="18"/>
  <c r="L373" i="18"/>
  <c r="M373" i="18"/>
  <c r="K374" i="18"/>
  <c r="L374" i="18"/>
  <c r="M374" i="18"/>
  <c r="K375" i="18"/>
  <c r="L375" i="18"/>
  <c r="M375" i="18"/>
  <c r="K376" i="18"/>
  <c r="L376" i="18"/>
  <c r="M376" i="18"/>
  <c r="K377" i="18"/>
  <c r="L377" i="18"/>
  <c r="M377" i="18"/>
  <c r="K378" i="18"/>
  <c r="L378" i="18"/>
  <c r="M378" i="18"/>
  <c r="K379" i="18"/>
  <c r="L379" i="18"/>
  <c r="M379" i="18"/>
  <c r="K380" i="18"/>
  <c r="L380" i="18"/>
  <c r="M380" i="18"/>
  <c r="K381" i="18"/>
  <c r="L381" i="18"/>
  <c r="M381" i="18"/>
  <c r="K382" i="18"/>
  <c r="L382" i="18"/>
  <c r="M382" i="18"/>
  <c r="K383" i="18"/>
  <c r="L383" i="18"/>
  <c r="M383" i="18"/>
  <c r="K384" i="18"/>
  <c r="L384" i="18"/>
  <c r="M384" i="18"/>
  <c r="K385" i="18"/>
  <c r="L385" i="18"/>
  <c r="M385" i="18"/>
  <c r="K386" i="18"/>
  <c r="L386" i="18"/>
  <c r="M386" i="18"/>
  <c r="K387" i="18"/>
  <c r="L387" i="18"/>
  <c r="M387" i="18"/>
  <c r="K388" i="18"/>
  <c r="L388" i="18"/>
  <c r="M388" i="18"/>
  <c r="K389" i="18"/>
  <c r="L389" i="18"/>
  <c r="M389" i="18"/>
  <c r="K390" i="18"/>
  <c r="L390" i="18"/>
  <c r="M390" i="18"/>
  <c r="K391" i="18"/>
  <c r="L391" i="18"/>
  <c r="M391" i="18"/>
  <c r="K392" i="18"/>
  <c r="L392" i="18"/>
  <c r="M392" i="18"/>
  <c r="K393" i="18"/>
  <c r="L393" i="18"/>
  <c r="M393" i="18"/>
  <c r="K394" i="18"/>
  <c r="L394" i="18"/>
  <c r="M394" i="18"/>
  <c r="K395" i="18"/>
  <c r="L395" i="18"/>
  <c r="M395" i="18"/>
  <c r="K396" i="18"/>
  <c r="L396" i="18"/>
  <c r="M396" i="18"/>
  <c r="K397" i="18"/>
  <c r="L397" i="18"/>
  <c r="M397" i="18"/>
  <c r="K398" i="18"/>
  <c r="L398" i="18"/>
  <c r="M398" i="18"/>
  <c r="K399" i="18"/>
  <c r="L399" i="18"/>
  <c r="M399" i="18"/>
  <c r="K400" i="18"/>
  <c r="L400" i="18"/>
  <c r="M400" i="18"/>
  <c r="K401" i="18"/>
  <c r="L401" i="18"/>
  <c r="M401" i="18"/>
  <c r="K402" i="18"/>
  <c r="L402" i="18"/>
  <c r="M402" i="18"/>
  <c r="K403" i="18"/>
  <c r="L403" i="18"/>
  <c r="M403" i="18"/>
  <c r="K404" i="18"/>
  <c r="L404" i="18"/>
  <c r="M404" i="18"/>
  <c r="K405" i="18"/>
  <c r="L405" i="18"/>
  <c r="M405" i="18"/>
  <c r="K406" i="18"/>
  <c r="L406" i="18"/>
  <c r="M406" i="18"/>
  <c r="K407" i="18"/>
  <c r="L407" i="18"/>
  <c r="M407" i="18"/>
  <c r="K408" i="18"/>
  <c r="L408" i="18"/>
  <c r="M408" i="18"/>
  <c r="K409" i="18"/>
  <c r="L409" i="18"/>
  <c r="M409" i="18"/>
  <c r="K410" i="18"/>
  <c r="L410" i="18"/>
  <c r="M410" i="18"/>
  <c r="K411" i="18"/>
  <c r="L411" i="18"/>
  <c r="M411" i="18"/>
  <c r="K412" i="18"/>
  <c r="L412" i="18"/>
  <c r="M412" i="18"/>
  <c r="K413" i="18"/>
  <c r="L413" i="18"/>
  <c r="M413" i="18"/>
  <c r="K414" i="18"/>
  <c r="L414" i="18"/>
  <c r="M414" i="18"/>
  <c r="K415" i="18"/>
  <c r="L415" i="18"/>
  <c r="M415" i="18"/>
  <c r="K416" i="18"/>
  <c r="L416" i="18"/>
  <c r="M416" i="18"/>
  <c r="K417" i="18"/>
  <c r="L417" i="18"/>
  <c r="M417" i="18"/>
  <c r="K418" i="18"/>
  <c r="L418" i="18"/>
  <c r="M418" i="18"/>
  <c r="K419" i="18"/>
  <c r="L419" i="18"/>
  <c r="M419" i="18"/>
  <c r="K420" i="18"/>
  <c r="L420" i="18"/>
  <c r="M420" i="18"/>
  <c r="K421" i="18"/>
  <c r="L421" i="18"/>
  <c r="M421" i="18"/>
  <c r="K422" i="18"/>
  <c r="L422" i="18"/>
  <c r="M422" i="18"/>
  <c r="K423" i="18"/>
  <c r="L423" i="18"/>
  <c r="M423" i="18"/>
  <c r="K424" i="18"/>
  <c r="L424" i="18"/>
  <c r="M424" i="18"/>
  <c r="K425" i="18"/>
  <c r="L425" i="18"/>
  <c r="M425" i="18"/>
  <c r="K426" i="18"/>
  <c r="L426" i="18"/>
  <c r="M426" i="18"/>
  <c r="K427" i="18"/>
  <c r="L427" i="18"/>
  <c r="M427" i="18"/>
  <c r="K428" i="18"/>
  <c r="L428" i="18"/>
  <c r="M428" i="18"/>
  <c r="K429" i="18"/>
  <c r="L429" i="18"/>
  <c r="M429" i="18"/>
  <c r="K430" i="18"/>
  <c r="L430" i="18"/>
  <c r="M430" i="18"/>
  <c r="K431" i="18"/>
  <c r="L431" i="18"/>
  <c r="M431" i="18"/>
  <c r="K432" i="18"/>
  <c r="L432" i="18"/>
  <c r="M432" i="18"/>
  <c r="K433" i="18"/>
  <c r="L433" i="18"/>
  <c r="M433" i="18"/>
  <c r="K434" i="18"/>
  <c r="L434" i="18"/>
  <c r="M434" i="18"/>
  <c r="K435" i="18"/>
  <c r="L435" i="18"/>
  <c r="M435" i="18"/>
  <c r="K436" i="18"/>
  <c r="L436" i="18"/>
  <c r="M436" i="18"/>
  <c r="K437" i="18"/>
  <c r="L437" i="18"/>
  <c r="M437" i="18"/>
  <c r="K438" i="18"/>
  <c r="L438" i="18"/>
  <c r="M438" i="18"/>
  <c r="K439" i="18"/>
  <c r="L439" i="18"/>
  <c r="M439" i="18"/>
  <c r="K440" i="18"/>
  <c r="L440" i="18"/>
  <c r="M440" i="18"/>
  <c r="K441" i="18"/>
  <c r="L441" i="18"/>
  <c r="M441" i="18"/>
  <c r="K442" i="18"/>
  <c r="L442" i="18"/>
  <c r="M442" i="18"/>
  <c r="K443" i="18"/>
  <c r="L443" i="18"/>
  <c r="M443" i="18"/>
  <c r="K444" i="18"/>
  <c r="L444" i="18"/>
  <c r="M444" i="18"/>
  <c r="K445" i="18"/>
  <c r="L445" i="18"/>
  <c r="M445" i="18"/>
  <c r="K446" i="18"/>
  <c r="L446" i="18"/>
  <c r="M446" i="18"/>
  <c r="K447" i="18"/>
  <c r="L447" i="18"/>
  <c r="M447" i="18"/>
  <c r="K448" i="18"/>
  <c r="L448" i="18"/>
  <c r="M448" i="18"/>
  <c r="K449" i="18"/>
  <c r="L449" i="18"/>
  <c r="M449" i="18"/>
  <c r="K450" i="18"/>
  <c r="L450" i="18"/>
  <c r="M450" i="18"/>
  <c r="K451" i="18"/>
  <c r="L451" i="18"/>
  <c r="M451" i="18"/>
  <c r="K452" i="18"/>
  <c r="L452" i="18"/>
  <c r="M452" i="18"/>
  <c r="K453" i="18"/>
  <c r="L453" i="18"/>
  <c r="M453" i="18"/>
  <c r="K454" i="18"/>
  <c r="L454" i="18"/>
  <c r="M454" i="18"/>
  <c r="K455" i="18"/>
  <c r="L455" i="18"/>
  <c r="M455" i="18"/>
  <c r="K456" i="18"/>
  <c r="L456" i="18"/>
  <c r="M456" i="18"/>
  <c r="K457" i="18"/>
  <c r="L457" i="18"/>
  <c r="M457" i="18"/>
  <c r="K458" i="18"/>
  <c r="L458" i="18"/>
  <c r="M458" i="18"/>
  <c r="K459" i="18"/>
  <c r="L459" i="18"/>
  <c r="M459" i="18"/>
  <c r="K460" i="18"/>
  <c r="L460" i="18"/>
  <c r="M460" i="18"/>
  <c r="K461" i="18"/>
  <c r="L461" i="18"/>
  <c r="M461" i="18"/>
  <c r="K462" i="18"/>
  <c r="L462" i="18"/>
  <c r="M462" i="18"/>
  <c r="K463" i="18"/>
  <c r="L463" i="18"/>
  <c r="M463" i="18"/>
  <c r="K464" i="18"/>
  <c r="L464" i="18"/>
  <c r="M464" i="18"/>
  <c r="K465" i="18"/>
  <c r="L465" i="18"/>
  <c r="M465" i="18"/>
  <c r="K466" i="18"/>
  <c r="L466" i="18"/>
  <c r="M466" i="18"/>
  <c r="K467" i="18"/>
  <c r="L467" i="18"/>
  <c r="M467" i="18"/>
  <c r="K468" i="18"/>
  <c r="L468" i="18"/>
  <c r="M468" i="18"/>
  <c r="K469" i="18"/>
  <c r="L469" i="18"/>
  <c r="M469" i="18"/>
  <c r="K470" i="18"/>
  <c r="L470" i="18"/>
  <c r="M470" i="18"/>
  <c r="K471" i="18"/>
  <c r="L471" i="18"/>
  <c r="M471" i="18"/>
  <c r="K472" i="18"/>
  <c r="L472" i="18"/>
  <c r="M472" i="18"/>
  <c r="K473" i="18"/>
  <c r="L473" i="18"/>
  <c r="M473" i="18"/>
  <c r="K474" i="18"/>
  <c r="L474" i="18"/>
  <c r="M474" i="18"/>
  <c r="K475" i="18"/>
  <c r="L475" i="18"/>
  <c r="M475" i="18"/>
  <c r="K476" i="18"/>
  <c r="L476" i="18"/>
  <c r="M476" i="18"/>
  <c r="K477" i="18"/>
  <c r="L477" i="18"/>
  <c r="M477" i="18"/>
  <c r="K478" i="18"/>
  <c r="L478" i="18"/>
  <c r="M478" i="18"/>
  <c r="K479" i="18"/>
  <c r="L479" i="18"/>
  <c r="M479" i="18"/>
  <c r="K480" i="18"/>
  <c r="L480" i="18"/>
  <c r="M480" i="18"/>
  <c r="K481" i="18"/>
  <c r="L481" i="18"/>
  <c r="M481" i="18"/>
  <c r="K482" i="18"/>
  <c r="L482" i="18"/>
  <c r="M482" i="18"/>
  <c r="K483" i="18"/>
  <c r="L483" i="18"/>
  <c r="M483" i="18"/>
  <c r="K484" i="18"/>
  <c r="L484" i="18"/>
  <c r="M484" i="18"/>
  <c r="K485" i="18"/>
  <c r="L485" i="18"/>
  <c r="M485" i="18"/>
  <c r="K486" i="18"/>
  <c r="L486" i="18"/>
  <c r="M486" i="18"/>
  <c r="K487" i="18"/>
  <c r="L487" i="18"/>
  <c r="M487" i="18"/>
  <c r="K488" i="18"/>
  <c r="L488" i="18"/>
  <c r="M488" i="18"/>
  <c r="K489" i="18"/>
  <c r="L489" i="18"/>
  <c r="M489" i="18"/>
  <c r="K490" i="18"/>
  <c r="L490" i="18"/>
  <c r="M490" i="18"/>
  <c r="K491" i="18"/>
  <c r="L491" i="18"/>
  <c r="M491" i="18"/>
  <c r="K492" i="18"/>
  <c r="L492" i="18"/>
  <c r="M492" i="18"/>
  <c r="K493" i="18"/>
  <c r="L493" i="18"/>
  <c r="M493" i="18"/>
  <c r="K494" i="18"/>
  <c r="L494" i="18"/>
  <c r="M494" i="18"/>
  <c r="K495" i="18"/>
  <c r="L495" i="18"/>
  <c r="M495" i="18"/>
  <c r="K496" i="18"/>
  <c r="L496" i="18"/>
  <c r="M496" i="18"/>
  <c r="K497" i="18"/>
  <c r="L497" i="18"/>
  <c r="M497" i="18"/>
  <c r="K498" i="18"/>
  <c r="L498" i="18"/>
  <c r="M498" i="18"/>
  <c r="K499" i="18"/>
  <c r="L499" i="18"/>
  <c r="M499" i="18"/>
  <c r="K500" i="18"/>
  <c r="L500" i="18"/>
  <c r="M500" i="18"/>
  <c r="K501" i="18"/>
  <c r="L501" i="18"/>
  <c r="M501" i="18"/>
  <c r="K502" i="18"/>
  <c r="L502" i="18"/>
  <c r="M502" i="18"/>
  <c r="K503" i="18"/>
  <c r="L503" i="18"/>
  <c r="M503" i="18"/>
  <c r="K504" i="18"/>
  <c r="L504" i="18"/>
  <c r="M504" i="18"/>
  <c r="K505" i="18"/>
  <c r="L505" i="18"/>
  <c r="M505" i="18"/>
  <c r="K506" i="18"/>
  <c r="L506" i="18"/>
  <c r="M506" i="18"/>
  <c r="K507" i="18"/>
  <c r="L507" i="18"/>
  <c r="M507" i="18"/>
  <c r="K508" i="18"/>
  <c r="L508" i="18"/>
  <c r="M508" i="18"/>
  <c r="K509" i="18"/>
  <c r="L509" i="18"/>
  <c r="M509" i="18"/>
  <c r="K510" i="18"/>
  <c r="L510" i="18"/>
  <c r="M510" i="18"/>
  <c r="K511" i="18"/>
  <c r="L511" i="18"/>
  <c r="M511" i="18"/>
  <c r="K512" i="18"/>
  <c r="L512" i="18"/>
  <c r="M512" i="18"/>
  <c r="K513" i="18"/>
  <c r="L513" i="18"/>
  <c r="M513" i="18"/>
  <c r="K514" i="18"/>
  <c r="L514" i="18"/>
  <c r="M514" i="18"/>
  <c r="K515" i="18"/>
  <c r="L515" i="18"/>
  <c r="M515" i="18"/>
  <c r="K516" i="18"/>
  <c r="L516" i="18"/>
  <c r="M516" i="18"/>
  <c r="K517" i="18"/>
  <c r="L517" i="18"/>
  <c r="M517" i="18"/>
  <c r="K518" i="18"/>
  <c r="L518" i="18"/>
  <c r="M518" i="18"/>
  <c r="K519" i="18"/>
  <c r="L519" i="18"/>
  <c r="M519" i="18"/>
  <c r="K520" i="18"/>
  <c r="L520" i="18"/>
  <c r="M520" i="18"/>
  <c r="K521" i="18"/>
  <c r="L521" i="18"/>
  <c r="M521" i="18"/>
  <c r="K522" i="18"/>
  <c r="L522" i="18"/>
  <c r="M522" i="18"/>
  <c r="K523" i="18"/>
  <c r="L523" i="18"/>
  <c r="M523" i="18"/>
  <c r="K524" i="18"/>
  <c r="L524" i="18"/>
  <c r="M524" i="18"/>
  <c r="K525" i="18"/>
  <c r="L525" i="18"/>
  <c r="M525" i="18"/>
  <c r="K526" i="18"/>
  <c r="L526" i="18"/>
  <c r="M526" i="18"/>
  <c r="K527" i="18"/>
  <c r="L527" i="18"/>
  <c r="M527" i="18"/>
  <c r="K528" i="18"/>
  <c r="L528" i="18"/>
  <c r="M528" i="18"/>
  <c r="K529" i="18"/>
  <c r="L529" i="18"/>
  <c r="M529" i="18"/>
  <c r="K530" i="18"/>
  <c r="L530" i="18"/>
  <c r="M530" i="18"/>
  <c r="K531" i="18"/>
  <c r="L531" i="18"/>
  <c r="M531" i="18"/>
  <c r="K532" i="18"/>
  <c r="L532" i="18"/>
  <c r="M532" i="18"/>
  <c r="K533" i="18"/>
  <c r="L533" i="18"/>
  <c r="M533" i="18"/>
  <c r="K534" i="18"/>
  <c r="L534" i="18"/>
  <c r="M534" i="18"/>
  <c r="K535" i="18"/>
  <c r="L535" i="18"/>
  <c r="M535" i="18"/>
  <c r="K536" i="18"/>
  <c r="L536" i="18"/>
  <c r="M536" i="18"/>
  <c r="K537" i="18"/>
  <c r="L537" i="18"/>
  <c r="M537" i="18"/>
  <c r="K538" i="18"/>
  <c r="L538" i="18"/>
  <c r="M538" i="18"/>
  <c r="K539" i="18"/>
  <c r="L539" i="18"/>
  <c r="M539" i="18"/>
  <c r="K540" i="18"/>
  <c r="L540" i="18"/>
  <c r="M540" i="18"/>
  <c r="K541" i="18"/>
  <c r="L541" i="18"/>
  <c r="M541" i="18"/>
  <c r="K542" i="18"/>
  <c r="L542" i="18"/>
  <c r="M542" i="18"/>
  <c r="K543" i="18"/>
  <c r="L543" i="18"/>
  <c r="M543" i="18"/>
  <c r="K544" i="18"/>
  <c r="L544" i="18"/>
  <c r="M544" i="18"/>
  <c r="K545" i="18"/>
  <c r="L545" i="18"/>
  <c r="M545" i="18"/>
  <c r="K546" i="18"/>
  <c r="L546" i="18"/>
  <c r="M546" i="18"/>
  <c r="K547" i="18"/>
  <c r="L547" i="18"/>
  <c r="M547" i="18"/>
  <c r="K548" i="18"/>
  <c r="L548" i="18"/>
  <c r="M548" i="18"/>
  <c r="K549" i="18"/>
  <c r="L549" i="18"/>
  <c r="M549" i="18"/>
  <c r="K550" i="18"/>
  <c r="L550" i="18"/>
  <c r="M550" i="18"/>
  <c r="K551" i="18"/>
  <c r="L551" i="18"/>
  <c r="M551" i="18"/>
  <c r="K552" i="18"/>
  <c r="L552" i="18"/>
  <c r="M552" i="18"/>
  <c r="K553" i="18"/>
  <c r="L553" i="18"/>
  <c r="M553" i="18"/>
  <c r="K554" i="18"/>
  <c r="L554" i="18"/>
  <c r="M554" i="18"/>
  <c r="K555" i="18"/>
  <c r="L555" i="18"/>
  <c r="M555" i="18"/>
  <c r="K556" i="18"/>
  <c r="L556" i="18"/>
  <c r="M556" i="18"/>
  <c r="K557" i="18"/>
  <c r="L557" i="18"/>
  <c r="M557" i="18"/>
  <c r="K558" i="18"/>
  <c r="L558" i="18"/>
  <c r="M558" i="18"/>
  <c r="K559" i="18"/>
  <c r="L559" i="18"/>
  <c r="M559" i="18"/>
  <c r="K560" i="18"/>
  <c r="L560" i="18"/>
  <c r="M560" i="18"/>
  <c r="K561" i="18"/>
  <c r="L561" i="18"/>
  <c r="M561" i="18"/>
  <c r="K562" i="18"/>
  <c r="L562" i="18"/>
  <c r="M562" i="18"/>
  <c r="K563" i="18"/>
  <c r="L563" i="18"/>
  <c r="M563" i="18"/>
  <c r="K564" i="18"/>
  <c r="L564" i="18"/>
  <c r="M564" i="18"/>
  <c r="K565" i="18"/>
  <c r="L565" i="18"/>
  <c r="M565" i="18"/>
  <c r="K566" i="18"/>
  <c r="L566" i="18"/>
  <c r="M566" i="18"/>
  <c r="K567" i="18"/>
  <c r="L567" i="18"/>
  <c r="M567" i="18"/>
  <c r="K568" i="18"/>
  <c r="L568" i="18"/>
  <c r="M568" i="18"/>
  <c r="K569" i="18"/>
  <c r="L569" i="18"/>
  <c r="M569" i="18"/>
  <c r="K570" i="18"/>
  <c r="L570" i="18"/>
  <c r="M570" i="18"/>
  <c r="K571" i="18"/>
  <c r="L571" i="18"/>
  <c r="M571" i="18"/>
  <c r="K572" i="18"/>
  <c r="L572" i="18"/>
  <c r="M572" i="18"/>
  <c r="K573" i="18"/>
  <c r="L573" i="18"/>
  <c r="M573" i="18"/>
  <c r="K574" i="18"/>
  <c r="L574" i="18"/>
  <c r="M574" i="18"/>
  <c r="K575" i="18"/>
  <c r="L575" i="18"/>
  <c r="M575" i="18"/>
  <c r="K576" i="18"/>
  <c r="L576" i="18"/>
  <c r="M576" i="18"/>
  <c r="K577" i="18"/>
  <c r="L577" i="18"/>
  <c r="M577" i="18"/>
  <c r="K578" i="18"/>
  <c r="L578" i="18"/>
  <c r="M578" i="18"/>
  <c r="K579" i="18"/>
  <c r="L579" i="18"/>
  <c r="M579" i="18"/>
  <c r="K580" i="18"/>
  <c r="L580" i="18"/>
  <c r="M580" i="18"/>
  <c r="K581" i="18"/>
  <c r="L581" i="18"/>
  <c r="M581" i="18"/>
  <c r="K582" i="18"/>
  <c r="L582" i="18"/>
  <c r="M582" i="18"/>
  <c r="K583" i="18"/>
  <c r="L583" i="18"/>
  <c r="M583" i="18"/>
  <c r="K584" i="18"/>
  <c r="L584" i="18"/>
  <c r="M584" i="18"/>
  <c r="K585" i="18"/>
  <c r="L585" i="18"/>
  <c r="M585" i="18"/>
  <c r="K586" i="18"/>
  <c r="L586" i="18"/>
  <c r="M586" i="18"/>
  <c r="K587" i="18"/>
  <c r="L587" i="18"/>
  <c r="M587" i="18"/>
  <c r="K588" i="18"/>
  <c r="L588" i="18"/>
  <c r="M588" i="18"/>
  <c r="K589" i="18"/>
  <c r="L589" i="18"/>
  <c r="M589" i="18"/>
  <c r="K590" i="18"/>
  <c r="L590" i="18"/>
  <c r="M590" i="18"/>
  <c r="K591" i="18"/>
  <c r="L591" i="18"/>
  <c r="M591" i="18"/>
  <c r="K592" i="18"/>
  <c r="L592" i="18"/>
  <c r="M592" i="18"/>
  <c r="K593" i="18"/>
  <c r="L593" i="18"/>
  <c r="M593" i="18"/>
  <c r="K594" i="18"/>
  <c r="L594" i="18"/>
  <c r="M594" i="18"/>
  <c r="K595" i="18"/>
  <c r="L595" i="18"/>
  <c r="M595" i="18"/>
  <c r="K596" i="18"/>
  <c r="L596" i="18"/>
  <c r="M596" i="18"/>
  <c r="K597" i="18"/>
  <c r="L597" i="18"/>
  <c r="M597" i="18"/>
  <c r="K598" i="18"/>
  <c r="L598" i="18"/>
  <c r="M598" i="18"/>
  <c r="K599" i="18"/>
  <c r="L599" i="18"/>
  <c r="M599" i="18"/>
  <c r="K600" i="18"/>
  <c r="L600" i="18"/>
  <c r="M600" i="18"/>
  <c r="K601" i="18"/>
  <c r="L601" i="18"/>
  <c r="M601" i="18"/>
  <c r="K602" i="18"/>
  <c r="L602" i="18"/>
  <c r="M602" i="18"/>
  <c r="K603" i="18"/>
  <c r="L603" i="18"/>
  <c r="M603" i="18"/>
  <c r="K604" i="18"/>
  <c r="L604" i="18"/>
  <c r="M604" i="18"/>
  <c r="K605" i="18"/>
  <c r="L605" i="18"/>
  <c r="M605" i="18"/>
  <c r="K606" i="18"/>
  <c r="L606" i="18"/>
  <c r="M606" i="18"/>
  <c r="K607" i="18"/>
  <c r="L607" i="18"/>
  <c r="M607" i="18"/>
  <c r="K608" i="18"/>
  <c r="L608" i="18"/>
  <c r="M608" i="18"/>
  <c r="K609" i="18"/>
  <c r="L609" i="18"/>
  <c r="M609" i="18"/>
  <c r="K610" i="18"/>
  <c r="L610" i="18"/>
  <c r="M610" i="18"/>
  <c r="K611" i="18"/>
  <c r="L611" i="18"/>
  <c r="M611" i="18"/>
  <c r="K612" i="18"/>
  <c r="L612" i="18"/>
  <c r="M612" i="18"/>
  <c r="K613" i="18"/>
  <c r="L613" i="18"/>
  <c r="M613" i="18"/>
  <c r="K614" i="18"/>
  <c r="L614" i="18"/>
  <c r="M614" i="18"/>
  <c r="K615" i="18"/>
  <c r="L615" i="18"/>
  <c r="M615" i="18"/>
  <c r="K616" i="18"/>
  <c r="L616" i="18"/>
  <c r="M616" i="18"/>
  <c r="K617" i="18"/>
  <c r="L617" i="18"/>
  <c r="M617" i="18"/>
  <c r="K618" i="18"/>
  <c r="L618" i="18"/>
  <c r="M618" i="18"/>
  <c r="K619" i="18"/>
  <c r="L619" i="18"/>
  <c r="M619" i="18"/>
  <c r="K620" i="18"/>
  <c r="L620" i="18"/>
  <c r="M620" i="18"/>
  <c r="K621" i="18"/>
  <c r="L621" i="18"/>
  <c r="M621" i="18"/>
  <c r="K622" i="18"/>
  <c r="L622" i="18"/>
  <c r="M622" i="18"/>
  <c r="K623" i="18"/>
  <c r="L623" i="18"/>
  <c r="M623" i="18"/>
  <c r="K624" i="18"/>
  <c r="L624" i="18"/>
  <c r="M624" i="18"/>
  <c r="K625" i="18"/>
  <c r="L625" i="18"/>
  <c r="M625" i="18"/>
  <c r="K626" i="18"/>
  <c r="L626" i="18"/>
  <c r="M626" i="18"/>
  <c r="K627" i="18"/>
  <c r="L627" i="18"/>
  <c r="M627" i="18"/>
  <c r="K628" i="18"/>
  <c r="L628" i="18"/>
  <c r="M628" i="18"/>
  <c r="K629" i="18"/>
  <c r="L629" i="18"/>
  <c r="M629" i="18"/>
  <c r="K630" i="18"/>
  <c r="L630" i="18"/>
  <c r="M630" i="18"/>
  <c r="K631" i="18"/>
  <c r="L631" i="18"/>
  <c r="M631" i="18"/>
  <c r="K632" i="18"/>
  <c r="L632" i="18"/>
  <c r="M632" i="18"/>
  <c r="K633" i="18"/>
  <c r="L633" i="18"/>
  <c r="M633" i="18"/>
  <c r="K634" i="18"/>
  <c r="L634" i="18"/>
  <c r="M634" i="18"/>
  <c r="K635" i="18"/>
  <c r="L635" i="18"/>
  <c r="M635" i="18"/>
  <c r="K636" i="18"/>
  <c r="L636" i="18"/>
  <c r="M636" i="18"/>
  <c r="K637" i="18"/>
  <c r="L637" i="18"/>
  <c r="M637" i="18"/>
  <c r="K638" i="18"/>
  <c r="L638" i="18"/>
  <c r="M638" i="18"/>
  <c r="K639" i="18"/>
  <c r="L639" i="18"/>
  <c r="M639" i="18"/>
  <c r="K640" i="18"/>
  <c r="L640" i="18"/>
  <c r="M640" i="18"/>
  <c r="K641" i="18"/>
  <c r="L641" i="18"/>
  <c r="M641" i="18"/>
  <c r="K642" i="18"/>
  <c r="L642" i="18"/>
  <c r="M642" i="18"/>
  <c r="K643" i="18"/>
  <c r="L643" i="18"/>
  <c r="M643" i="18"/>
  <c r="K644" i="18"/>
  <c r="L644" i="18"/>
  <c r="M644" i="18"/>
  <c r="K645" i="18"/>
  <c r="L645" i="18"/>
  <c r="M645" i="18"/>
  <c r="K646" i="18"/>
  <c r="L646" i="18"/>
  <c r="M646" i="18"/>
  <c r="K647" i="18"/>
  <c r="L647" i="18"/>
  <c r="M647" i="18"/>
  <c r="K648" i="18"/>
  <c r="L648" i="18"/>
  <c r="M648" i="18"/>
  <c r="K649" i="18"/>
  <c r="L649" i="18"/>
  <c r="M649" i="18"/>
  <c r="K650" i="18"/>
  <c r="L650" i="18"/>
  <c r="M650" i="18"/>
  <c r="K651" i="18"/>
  <c r="L651" i="18"/>
  <c r="M651" i="18"/>
  <c r="K652" i="18"/>
  <c r="L652" i="18"/>
  <c r="M652" i="18"/>
  <c r="K653" i="18"/>
  <c r="L653" i="18"/>
  <c r="M653" i="18"/>
  <c r="K654" i="18"/>
  <c r="L654" i="18"/>
  <c r="M654" i="18"/>
  <c r="K655" i="18"/>
  <c r="L655" i="18"/>
  <c r="M655" i="18"/>
  <c r="K656" i="18"/>
  <c r="L656" i="18"/>
  <c r="M656" i="18"/>
  <c r="K657" i="18"/>
  <c r="L657" i="18"/>
  <c r="M657" i="18"/>
  <c r="K658" i="18"/>
  <c r="L658" i="18"/>
  <c r="M658" i="18"/>
  <c r="K659" i="18"/>
  <c r="L659" i="18"/>
  <c r="M659" i="18"/>
  <c r="K660" i="18"/>
  <c r="L660" i="18"/>
  <c r="M660" i="18"/>
  <c r="K661" i="18"/>
  <c r="L661" i="18"/>
  <c r="M661" i="18"/>
  <c r="K662" i="18"/>
  <c r="L662" i="18"/>
  <c r="M662" i="18"/>
  <c r="K663" i="18"/>
  <c r="L663" i="18"/>
  <c r="M663" i="18"/>
  <c r="K664" i="18"/>
  <c r="L664" i="18"/>
  <c r="M664" i="18"/>
  <c r="K665" i="18"/>
  <c r="L665" i="18"/>
  <c r="M665" i="18"/>
  <c r="K666" i="18"/>
  <c r="L666" i="18"/>
  <c r="M666" i="18"/>
  <c r="K667" i="18"/>
  <c r="L667" i="18"/>
  <c r="M667" i="18"/>
  <c r="K668" i="18"/>
  <c r="L668" i="18"/>
  <c r="M668" i="18"/>
  <c r="K669" i="18"/>
  <c r="L669" i="18"/>
  <c r="M669" i="18"/>
  <c r="K670" i="18"/>
  <c r="L670" i="18"/>
  <c r="M670" i="18"/>
  <c r="K671" i="18"/>
  <c r="L671" i="18"/>
  <c r="M671" i="18"/>
  <c r="K672" i="18"/>
  <c r="L672" i="18"/>
  <c r="M672" i="18"/>
  <c r="K673" i="18"/>
  <c r="L673" i="18"/>
  <c r="M673" i="18"/>
  <c r="K674" i="18"/>
  <c r="L674" i="18"/>
  <c r="M674" i="18"/>
  <c r="K675" i="18"/>
  <c r="L675" i="18"/>
  <c r="M675" i="18"/>
  <c r="K676" i="18"/>
  <c r="L676" i="18"/>
  <c r="M676" i="18"/>
  <c r="K677" i="18"/>
  <c r="L677" i="18"/>
  <c r="M677" i="18"/>
  <c r="K678" i="18"/>
  <c r="L678" i="18"/>
  <c r="M678" i="18"/>
  <c r="K679" i="18"/>
  <c r="L679" i="18"/>
  <c r="M679" i="18"/>
  <c r="K680" i="18"/>
  <c r="L680" i="18"/>
  <c r="M680" i="18"/>
  <c r="K681" i="18"/>
  <c r="L681" i="18"/>
  <c r="M681" i="18"/>
  <c r="K682" i="18"/>
  <c r="L682" i="18"/>
  <c r="M682" i="18"/>
  <c r="K683" i="18"/>
  <c r="L683" i="18"/>
  <c r="M683" i="18"/>
  <c r="K684" i="18"/>
  <c r="L684" i="18"/>
  <c r="M684" i="18"/>
  <c r="K685" i="18"/>
  <c r="L685" i="18"/>
  <c r="M685" i="18"/>
  <c r="K686" i="18"/>
  <c r="L686" i="18"/>
  <c r="M686" i="18"/>
  <c r="K687" i="18"/>
  <c r="L687" i="18"/>
  <c r="M687" i="18"/>
  <c r="K688" i="18"/>
  <c r="L688" i="18"/>
  <c r="M688" i="18"/>
  <c r="K689" i="18"/>
  <c r="L689" i="18"/>
  <c r="M689" i="18"/>
  <c r="K690" i="18"/>
  <c r="L690" i="18"/>
  <c r="M690" i="18"/>
  <c r="K691" i="18"/>
  <c r="L691" i="18"/>
  <c r="M691" i="18"/>
  <c r="K692" i="18"/>
  <c r="L692" i="18"/>
  <c r="M692" i="18"/>
  <c r="K693" i="18"/>
  <c r="L693" i="18"/>
  <c r="M693" i="18"/>
  <c r="K694" i="18"/>
  <c r="L694" i="18"/>
  <c r="M694" i="18"/>
  <c r="K695" i="18"/>
  <c r="L695" i="18"/>
  <c r="M695" i="18"/>
  <c r="K696" i="18"/>
  <c r="L696" i="18"/>
  <c r="M696" i="18"/>
  <c r="K697" i="18"/>
  <c r="L697" i="18"/>
  <c r="M697" i="18"/>
  <c r="K698" i="18"/>
  <c r="L698" i="18"/>
  <c r="M698" i="18"/>
  <c r="K699" i="18"/>
  <c r="L699" i="18"/>
  <c r="M699" i="18"/>
  <c r="K700" i="18"/>
  <c r="L700" i="18"/>
  <c r="M700" i="18"/>
  <c r="K701" i="18"/>
  <c r="L701" i="18"/>
  <c r="M701" i="18"/>
  <c r="K702" i="18"/>
  <c r="L702" i="18"/>
  <c r="M702" i="18"/>
  <c r="K703" i="18"/>
  <c r="L703" i="18"/>
  <c r="M703" i="18"/>
  <c r="K704" i="18"/>
  <c r="L704" i="18"/>
  <c r="M704" i="18"/>
  <c r="K705" i="18"/>
  <c r="L705" i="18"/>
  <c r="M705" i="18"/>
  <c r="K706" i="18"/>
  <c r="L706" i="18"/>
  <c r="M706" i="18"/>
  <c r="K707" i="18"/>
  <c r="L707" i="18"/>
  <c r="M707" i="18"/>
  <c r="K708" i="18"/>
  <c r="L708" i="18"/>
  <c r="M708" i="18"/>
  <c r="K709" i="18"/>
  <c r="L709" i="18"/>
  <c r="M709" i="18"/>
  <c r="K710" i="18"/>
  <c r="L710" i="18"/>
  <c r="M710" i="18"/>
  <c r="K711" i="18"/>
  <c r="L711" i="18"/>
  <c r="M711" i="18"/>
  <c r="K712" i="18"/>
  <c r="L712" i="18"/>
  <c r="M712" i="18"/>
  <c r="K713" i="18"/>
  <c r="L713" i="18"/>
  <c r="M713" i="18"/>
  <c r="K714" i="18"/>
  <c r="L714" i="18"/>
  <c r="M714" i="18"/>
  <c r="K715" i="18"/>
  <c r="L715" i="18"/>
  <c r="M715" i="18"/>
  <c r="K716" i="18"/>
  <c r="L716" i="18"/>
  <c r="M716" i="18"/>
  <c r="K717" i="18"/>
  <c r="L717" i="18"/>
  <c r="M717" i="18"/>
  <c r="K718" i="18"/>
  <c r="L718" i="18"/>
  <c r="M718" i="18"/>
  <c r="K719" i="18"/>
  <c r="L719" i="18"/>
  <c r="M719" i="18"/>
  <c r="K720" i="18"/>
  <c r="L720" i="18"/>
  <c r="M720" i="18"/>
  <c r="K721" i="18"/>
  <c r="L721" i="18"/>
  <c r="M721" i="18"/>
  <c r="K722" i="18"/>
  <c r="L722" i="18"/>
  <c r="M722" i="18"/>
  <c r="K723" i="18"/>
  <c r="L723" i="18"/>
  <c r="M723" i="18"/>
  <c r="K724" i="18"/>
  <c r="L724" i="18"/>
  <c r="M724" i="18"/>
  <c r="K725" i="18"/>
  <c r="L725" i="18"/>
  <c r="M725" i="18"/>
  <c r="K726" i="18"/>
  <c r="L726" i="18"/>
  <c r="M726" i="18"/>
  <c r="K727" i="18"/>
  <c r="L727" i="18"/>
  <c r="M727" i="18"/>
  <c r="K728" i="18"/>
  <c r="L728" i="18"/>
  <c r="M728" i="18"/>
  <c r="K729" i="18"/>
  <c r="L729" i="18"/>
  <c r="M729" i="18"/>
  <c r="K730" i="18"/>
  <c r="L730" i="18"/>
  <c r="M730" i="18"/>
  <c r="K731" i="18"/>
  <c r="L731" i="18"/>
  <c r="M731" i="18"/>
  <c r="K732" i="18"/>
  <c r="L732" i="18"/>
  <c r="M732" i="18"/>
  <c r="K733" i="18"/>
  <c r="L733" i="18"/>
  <c r="M733" i="18"/>
  <c r="K734" i="18"/>
  <c r="L734" i="18"/>
  <c r="M734" i="18"/>
  <c r="K735" i="18"/>
  <c r="L735" i="18"/>
  <c r="M735" i="18"/>
  <c r="K736" i="18"/>
  <c r="L736" i="18"/>
  <c r="M736" i="18"/>
  <c r="K737" i="18"/>
  <c r="L737" i="18"/>
  <c r="M737" i="18"/>
  <c r="K738" i="18"/>
  <c r="L738" i="18"/>
  <c r="M738" i="18"/>
  <c r="K739" i="18"/>
  <c r="L739" i="18"/>
  <c r="M739" i="18"/>
  <c r="K740" i="18"/>
  <c r="L740" i="18"/>
  <c r="M740" i="18"/>
  <c r="K741" i="18"/>
  <c r="L741" i="18"/>
  <c r="M741" i="18"/>
  <c r="K742" i="18"/>
  <c r="L742" i="18"/>
  <c r="M742" i="18"/>
  <c r="K743" i="18"/>
  <c r="L743" i="18"/>
  <c r="M743" i="18"/>
  <c r="K744" i="18"/>
  <c r="L744" i="18"/>
  <c r="M744" i="18"/>
  <c r="K745" i="18"/>
  <c r="L745" i="18"/>
  <c r="M745" i="18"/>
  <c r="K746" i="18"/>
  <c r="L746" i="18"/>
  <c r="M746" i="18"/>
  <c r="K747" i="18"/>
  <c r="L747" i="18"/>
  <c r="M747" i="18"/>
  <c r="K748" i="18"/>
  <c r="L748" i="18"/>
  <c r="M748" i="18"/>
  <c r="K749" i="18"/>
  <c r="L749" i="18"/>
  <c r="M749" i="18"/>
  <c r="K750" i="18"/>
  <c r="L750" i="18"/>
  <c r="M750" i="18"/>
  <c r="K751" i="18"/>
  <c r="L751" i="18"/>
  <c r="M751" i="18"/>
  <c r="K752" i="18"/>
  <c r="L752" i="18"/>
  <c r="M752" i="18"/>
  <c r="K753" i="18"/>
  <c r="L753" i="18"/>
  <c r="M753" i="18"/>
  <c r="K754" i="18"/>
  <c r="L754" i="18"/>
  <c r="M754" i="18"/>
  <c r="K755" i="18"/>
  <c r="L755" i="18"/>
  <c r="M755" i="18"/>
  <c r="K756" i="18"/>
  <c r="L756" i="18"/>
  <c r="M756" i="18"/>
  <c r="K757" i="18"/>
  <c r="L757" i="18"/>
  <c r="M757" i="18"/>
  <c r="K758" i="18"/>
  <c r="L758" i="18"/>
  <c r="M758" i="18"/>
  <c r="K759" i="18"/>
  <c r="L759" i="18"/>
  <c r="M759" i="18"/>
  <c r="K760" i="18"/>
  <c r="L760" i="18"/>
  <c r="M760" i="18"/>
  <c r="K761" i="18"/>
  <c r="L761" i="18"/>
  <c r="M761" i="18"/>
  <c r="K762" i="18"/>
  <c r="L762" i="18"/>
  <c r="M762" i="18"/>
  <c r="K763" i="18"/>
  <c r="L763" i="18"/>
  <c r="M763" i="18"/>
  <c r="K764" i="18"/>
  <c r="L764" i="18"/>
  <c r="M764" i="18"/>
  <c r="K765" i="18"/>
  <c r="L765" i="18"/>
  <c r="M765" i="18"/>
  <c r="K766" i="18"/>
  <c r="L766" i="18"/>
  <c r="M766" i="18"/>
  <c r="K767" i="18"/>
  <c r="L767" i="18"/>
  <c r="M767" i="18"/>
  <c r="K768" i="18"/>
  <c r="L768" i="18"/>
  <c r="M768" i="18"/>
  <c r="K769" i="18"/>
  <c r="L769" i="18"/>
  <c r="M769" i="18"/>
  <c r="K770" i="18"/>
  <c r="L770" i="18"/>
  <c r="M770" i="18"/>
  <c r="K771" i="18"/>
  <c r="L771" i="18"/>
  <c r="M771" i="18"/>
  <c r="K772" i="18"/>
  <c r="L772" i="18"/>
  <c r="M772" i="18"/>
  <c r="K773" i="18"/>
  <c r="L773" i="18"/>
  <c r="M773" i="18"/>
  <c r="K774" i="18"/>
  <c r="L774" i="18"/>
  <c r="M774" i="18"/>
  <c r="K775" i="18"/>
  <c r="L775" i="18"/>
  <c r="M775" i="18"/>
  <c r="K776" i="18"/>
  <c r="L776" i="18"/>
  <c r="M776" i="18"/>
  <c r="K777" i="18"/>
  <c r="L777" i="18"/>
  <c r="M777" i="18"/>
  <c r="K778" i="18"/>
  <c r="L778" i="18"/>
  <c r="M778" i="18"/>
  <c r="K779" i="18"/>
  <c r="L779" i="18"/>
  <c r="M779" i="18"/>
  <c r="K780" i="18"/>
  <c r="L780" i="18"/>
  <c r="M780" i="18"/>
  <c r="K781" i="18"/>
  <c r="L781" i="18"/>
  <c r="M781" i="18"/>
  <c r="K782" i="18"/>
  <c r="L782" i="18"/>
  <c r="M782" i="18"/>
  <c r="K783" i="18"/>
  <c r="L783" i="18"/>
  <c r="M783" i="18"/>
  <c r="K784" i="18"/>
  <c r="L784" i="18"/>
  <c r="M784" i="18"/>
  <c r="K785" i="18"/>
  <c r="L785" i="18"/>
  <c r="M785" i="18"/>
  <c r="K786" i="18"/>
  <c r="L786" i="18"/>
  <c r="M786" i="18"/>
  <c r="K787" i="18"/>
  <c r="L787" i="18"/>
  <c r="M787" i="18"/>
  <c r="K788" i="18"/>
  <c r="L788" i="18"/>
  <c r="M788" i="18"/>
  <c r="K789" i="18"/>
  <c r="L789" i="18"/>
  <c r="M789" i="18"/>
  <c r="K790" i="18"/>
  <c r="L790" i="18"/>
  <c r="M790" i="18"/>
  <c r="K791" i="18"/>
  <c r="L791" i="18"/>
  <c r="M791" i="18"/>
  <c r="K792" i="18"/>
  <c r="L792" i="18"/>
  <c r="M792" i="18"/>
  <c r="K793" i="18"/>
  <c r="L793" i="18"/>
  <c r="M793" i="18"/>
  <c r="K794" i="18"/>
  <c r="L794" i="18"/>
  <c r="M794" i="18"/>
  <c r="K795" i="18"/>
  <c r="L795" i="18"/>
  <c r="M795" i="18"/>
  <c r="K796" i="18"/>
  <c r="L796" i="18"/>
  <c r="M796" i="18"/>
  <c r="K797" i="18"/>
  <c r="L797" i="18"/>
  <c r="M797" i="18"/>
  <c r="K798" i="18"/>
  <c r="L798" i="18"/>
  <c r="M798" i="18"/>
  <c r="K799" i="18"/>
  <c r="L799" i="18"/>
  <c r="M799" i="18"/>
  <c r="K800" i="18"/>
  <c r="L800" i="18"/>
  <c r="M800" i="18"/>
  <c r="K801" i="18"/>
  <c r="L801" i="18"/>
  <c r="M801" i="18"/>
  <c r="K802" i="18"/>
  <c r="L802" i="18"/>
  <c r="M802" i="18"/>
  <c r="K803" i="18"/>
  <c r="L803" i="18"/>
  <c r="M803" i="18"/>
  <c r="K804" i="18"/>
  <c r="L804" i="18"/>
  <c r="M804" i="18"/>
  <c r="K805" i="18"/>
  <c r="L805" i="18"/>
  <c r="M805" i="18"/>
  <c r="K806" i="18"/>
  <c r="L806" i="18"/>
  <c r="M806" i="18"/>
  <c r="K807" i="18"/>
  <c r="L807" i="18"/>
  <c r="M807" i="18"/>
  <c r="K808" i="18"/>
  <c r="L808" i="18"/>
  <c r="M808" i="18"/>
  <c r="K809" i="18"/>
  <c r="L809" i="18"/>
  <c r="M809" i="18"/>
  <c r="K810" i="18"/>
  <c r="L810" i="18"/>
  <c r="M810" i="18"/>
  <c r="K811" i="18"/>
  <c r="L811" i="18"/>
  <c r="M811" i="18"/>
  <c r="K812" i="18"/>
  <c r="L812" i="18"/>
  <c r="M812" i="18"/>
  <c r="K813" i="18"/>
  <c r="L813" i="18"/>
  <c r="M813" i="18"/>
  <c r="K814" i="18"/>
  <c r="L814" i="18"/>
  <c r="M814" i="18"/>
  <c r="K815" i="18"/>
  <c r="L815" i="18"/>
  <c r="M815" i="18"/>
  <c r="K816" i="18"/>
  <c r="L816" i="18"/>
  <c r="M816" i="18"/>
  <c r="K817" i="18"/>
  <c r="L817" i="18"/>
  <c r="M817" i="18"/>
  <c r="K818" i="18"/>
  <c r="L818" i="18"/>
  <c r="M818" i="18"/>
  <c r="K819" i="18"/>
  <c r="L819" i="18"/>
  <c r="M819" i="18"/>
  <c r="K820" i="18"/>
  <c r="L820" i="18"/>
  <c r="M820" i="18"/>
  <c r="K821" i="18"/>
  <c r="L821" i="18"/>
  <c r="M821" i="18"/>
  <c r="K822" i="18"/>
  <c r="L822" i="18"/>
  <c r="M822" i="18"/>
  <c r="K823" i="18"/>
  <c r="L823" i="18"/>
  <c r="M823" i="18"/>
  <c r="K824" i="18"/>
  <c r="L824" i="18"/>
  <c r="M824" i="18"/>
  <c r="K825" i="18"/>
  <c r="L825" i="18"/>
  <c r="M825" i="18"/>
  <c r="K826" i="18"/>
  <c r="L826" i="18"/>
  <c r="M826" i="18"/>
  <c r="K827" i="18"/>
  <c r="L827" i="18"/>
  <c r="M827" i="18"/>
  <c r="K828" i="18"/>
  <c r="L828" i="18"/>
  <c r="M828" i="18"/>
  <c r="K829" i="18"/>
  <c r="L829" i="18"/>
  <c r="M829" i="18"/>
  <c r="K830" i="18"/>
  <c r="L830" i="18"/>
  <c r="M830" i="18"/>
  <c r="K831" i="18"/>
  <c r="L831" i="18"/>
  <c r="M831" i="18"/>
  <c r="K832" i="18"/>
  <c r="L832" i="18"/>
  <c r="M832" i="18"/>
  <c r="K833" i="18"/>
  <c r="L833" i="18"/>
  <c r="M833" i="18"/>
  <c r="K834" i="18"/>
  <c r="L834" i="18"/>
  <c r="M834" i="18"/>
  <c r="K835" i="18"/>
  <c r="L835" i="18"/>
  <c r="M835" i="18"/>
  <c r="K836" i="18"/>
  <c r="L836" i="18"/>
  <c r="M836" i="18"/>
  <c r="K837" i="18"/>
  <c r="L837" i="18"/>
  <c r="M837" i="18"/>
  <c r="K838" i="18"/>
  <c r="L838" i="18"/>
  <c r="M838" i="18"/>
  <c r="K839" i="18"/>
  <c r="L839" i="18"/>
  <c r="M839" i="18"/>
  <c r="K840" i="18"/>
  <c r="L840" i="18"/>
  <c r="M840" i="18"/>
  <c r="K841" i="18"/>
  <c r="L841" i="18"/>
  <c r="M841" i="18"/>
  <c r="K842" i="18"/>
  <c r="L842" i="18"/>
  <c r="M842" i="18"/>
  <c r="K843" i="18"/>
  <c r="L843" i="18"/>
  <c r="M843" i="18"/>
  <c r="K844" i="18"/>
  <c r="L844" i="18"/>
  <c r="M844" i="18"/>
  <c r="K845" i="18"/>
  <c r="L845" i="18"/>
  <c r="M845" i="18"/>
  <c r="K846" i="18"/>
  <c r="L846" i="18"/>
  <c r="M846" i="18"/>
  <c r="K847" i="18"/>
  <c r="L847" i="18"/>
  <c r="M847" i="18"/>
  <c r="K848" i="18"/>
  <c r="L848" i="18"/>
  <c r="M848" i="18"/>
  <c r="K849" i="18"/>
  <c r="L849" i="18"/>
  <c r="M849" i="18"/>
  <c r="K850" i="18"/>
  <c r="L850" i="18"/>
  <c r="M850" i="18"/>
  <c r="K851" i="18"/>
  <c r="L851" i="18"/>
  <c r="M851" i="18"/>
  <c r="K852" i="18"/>
  <c r="L852" i="18"/>
  <c r="M852" i="18"/>
  <c r="K853" i="18"/>
  <c r="L853" i="18"/>
  <c r="M853" i="18"/>
  <c r="K854" i="18"/>
  <c r="L854" i="18"/>
  <c r="M854" i="18"/>
  <c r="K855" i="18"/>
  <c r="L855" i="18"/>
  <c r="M855" i="18"/>
  <c r="K856" i="18"/>
  <c r="L856" i="18"/>
  <c r="M856" i="18"/>
  <c r="K857" i="18"/>
  <c r="L857" i="18"/>
  <c r="M857" i="18"/>
  <c r="K858" i="18"/>
  <c r="L858" i="18"/>
  <c r="M858" i="18"/>
  <c r="K859" i="18"/>
  <c r="L859" i="18"/>
  <c r="M859" i="18"/>
  <c r="K860" i="18"/>
  <c r="L860" i="18"/>
  <c r="M860" i="18"/>
  <c r="K861" i="18"/>
  <c r="L861" i="18"/>
  <c r="M861" i="18"/>
  <c r="K862" i="18"/>
  <c r="L862" i="18"/>
  <c r="M862" i="18"/>
  <c r="K863" i="18"/>
  <c r="L863" i="18"/>
  <c r="M863" i="18"/>
  <c r="K864" i="18"/>
  <c r="L864" i="18"/>
  <c r="M864" i="18"/>
  <c r="K865" i="18"/>
  <c r="L865" i="18"/>
  <c r="M865" i="18"/>
  <c r="K866" i="18"/>
  <c r="L866" i="18"/>
  <c r="M866" i="18"/>
  <c r="K867" i="18"/>
  <c r="L867" i="18"/>
  <c r="M867" i="18"/>
  <c r="K868" i="18"/>
  <c r="L868" i="18"/>
  <c r="M868" i="18"/>
  <c r="K869" i="18"/>
  <c r="L869" i="18"/>
  <c r="M869" i="18"/>
  <c r="K870" i="18"/>
  <c r="L870" i="18"/>
  <c r="M870" i="18"/>
  <c r="K871" i="18"/>
  <c r="L871" i="18"/>
  <c r="M871" i="18"/>
  <c r="K872" i="18"/>
  <c r="L872" i="18"/>
  <c r="M872" i="18"/>
  <c r="K873" i="18"/>
  <c r="L873" i="18"/>
  <c r="M873" i="18"/>
  <c r="K874" i="18"/>
  <c r="L874" i="18"/>
  <c r="M874" i="18"/>
  <c r="K875" i="18"/>
  <c r="L875" i="18"/>
  <c r="M875" i="18"/>
  <c r="K876" i="18"/>
  <c r="L876" i="18"/>
  <c r="M876" i="18"/>
  <c r="K877" i="18"/>
  <c r="L877" i="18"/>
  <c r="M877" i="18"/>
  <c r="K878" i="18"/>
  <c r="L878" i="18"/>
  <c r="M878" i="18"/>
  <c r="K879" i="18"/>
  <c r="L879" i="18"/>
  <c r="M879" i="18"/>
  <c r="K880" i="18"/>
  <c r="L880" i="18"/>
  <c r="M880" i="18"/>
  <c r="K881" i="18"/>
  <c r="L881" i="18"/>
  <c r="M881" i="18"/>
  <c r="K882" i="18"/>
  <c r="L882" i="18"/>
  <c r="M882" i="18"/>
  <c r="K883" i="18"/>
  <c r="L883" i="18"/>
  <c r="M883" i="18"/>
  <c r="K884" i="18"/>
  <c r="L884" i="18"/>
  <c r="M884" i="18"/>
  <c r="K885" i="18"/>
  <c r="L885" i="18"/>
  <c r="M885" i="18"/>
  <c r="K886" i="18"/>
  <c r="L886" i="18"/>
  <c r="M886" i="18"/>
  <c r="K887" i="18"/>
  <c r="L887" i="18"/>
  <c r="M887" i="18"/>
  <c r="K888" i="18"/>
  <c r="L888" i="18"/>
  <c r="M888" i="18"/>
  <c r="K889" i="18"/>
  <c r="L889" i="18"/>
  <c r="M889" i="18"/>
  <c r="K890" i="18"/>
  <c r="L890" i="18"/>
  <c r="M890" i="18"/>
  <c r="K891" i="18"/>
  <c r="L891" i="18"/>
  <c r="M891" i="18"/>
  <c r="K892" i="18"/>
  <c r="L892" i="18"/>
  <c r="M892" i="18"/>
  <c r="K893" i="18"/>
  <c r="L893" i="18"/>
  <c r="M893" i="18"/>
  <c r="K894" i="18"/>
  <c r="L894" i="18"/>
  <c r="M894" i="18"/>
  <c r="K895" i="18"/>
  <c r="L895" i="18"/>
  <c r="M895" i="18"/>
  <c r="K896" i="18"/>
  <c r="L896" i="18"/>
  <c r="M896" i="18"/>
  <c r="K897" i="18"/>
  <c r="L897" i="18"/>
  <c r="M897" i="18"/>
  <c r="K898" i="18"/>
  <c r="L898" i="18"/>
  <c r="M898" i="18"/>
  <c r="K899" i="18"/>
  <c r="L899" i="18"/>
  <c r="M899" i="18"/>
  <c r="K900" i="18"/>
  <c r="L900" i="18"/>
  <c r="M900" i="18"/>
  <c r="K901" i="18"/>
  <c r="L901" i="18"/>
  <c r="M901" i="18"/>
  <c r="K902" i="18"/>
  <c r="L902" i="18"/>
  <c r="M902" i="18"/>
  <c r="K903" i="18"/>
  <c r="L903" i="18"/>
  <c r="M903" i="18"/>
  <c r="K904" i="18"/>
  <c r="L904" i="18"/>
  <c r="M904" i="18"/>
  <c r="K905" i="18"/>
  <c r="L905" i="18"/>
  <c r="M905" i="18"/>
  <c r="K906" i="18"/>
  <c r="L906" i="18"/>
  <c r="M906" i="18"/>
  <c r="K907" i="18"/>
  <c r="L907" i="18"/>
  <c r="M907" i="18"/>
  <c r="K908" i="18"/>
  <c r="L908" i="18"/>
  <c r="M908" i="18"/>
  <c r="K909" i="18"/>
  <c r="L909" i="18"/>
  <c r="M909" i="18"/>
  <c r="K910" i="18"/>
  <c r="L910" i="18"/>
  <c r="M910" i="18"/>
  <c r="K911" i="18"/>
  <c r="L911" i="18"/>
  <c r="M911" i="18"/>
  <c r="K912" i="18"/>
  <c r="L912" i="18"/>
  <c r="M912" i="18"/>
  <c r="K913" i="18"/>
  <c r="L913" i="18"/>
  <c r="M913" i="18"/>
  <c r="K914" i="18"/>
  <c r="L914" i="18"/>
  <c r="M914" i="18"/>
  <c r="K915" i="18"/>
  <c r="L915" i="18"/>
  <c r="M915" i="18"/>
  <c r="K916" i="18"/>
  <c r="L916" i="18"/>
  <c r="M916" i="18"/>
  <c r="K917" i="18"/>
  <c r="L917" i="18"/>
  <c r="M917" i="18"/>
  <c r="K918" i="18"/>
  <c r="L918" i="18"/>
  <c r="M918" i="18"/>
  <c r="K919" i="18"/>
  <c r="L919" i="18"/>
  <c r="M919" i="18"/>
  <c r="K920" i="18"/>
  <c r="L920" i="18"/>
  <c r="M920" i="18"/>
  <c r="K921" i="18"/>
  <c r="L921" i="18"/>
  <c r="M921" i="18"/>
  <c r="K922" i="18"/>
  <c r="L922" i="18"/>
  <c r="M922" i="18"/>
  <c r="K923" i="18"/>
  <c r="L923" i="18"/>
  <c r="M923" i="18"/>
  <c r="K924" i="18"/>
  <c r="L924" i="18"/>
  <c r="M924" i="18"/>
  <c r="K925" i="18"/>
  <c r="L925" i="18"/>
  <c r="M925" i="18"/>
  <c r="K926" i="18"/>
  <c r="L926" i="18"/>
  <c r="M926" i="18"/>
  <c r="K927" i="18"/>
  <c r="L927" i="18"/>
  <c r="M927" i="18"/>
  <c r="K928" i="18"/>
  <c r="L928" i="18"/>
  <c r="M928" i="18"/>
  <c r="K929" i="18"/>
  <c r="L929" i="18"/>
  <c r="M929" i="18"/>
  <c r="K930" i="18"/>
  <c r="L930" i="18"/>
  <c r="M930" i="18"/>
  <c r="K931" i="18"/>
  <c r="L931" i="18"/>
  <c r="M931" i="18"/>
  <c r="K932" i="18"/>
  <c r="L932" i="18"/>
  <c r="M932" i="18"/>
  <c r="K933" i="18"/>
  <c r="L933" i="18"/>
  <c r="M933" i="18"/>
  <c r="K934" i="18"/>
  <c r="L934" i="18"/>
  <c r="M934" i="18"/>
  <c r="K935" i="18"/>
  <c r="L935" i="18"/>
  <c r="M935" i="18"/>
  <c r="K936" i="18"/>
  <c r="L936" i="18"/>
  <c r="M936" i="18"/>
  <c r="K937" i="18"/>
  <c r="L937" i="18"/>
  <c r="M937" i="18"/>
  <c r="K938" i="18"/>
  <c r="L938" i="18"/>
  <c r="M938" i="18"/>
  <c r="K939" i="18"/>
  <c r="L939" i="18"/>
  <c r="M939" i="18"/>
  <c r="K940" i="18"/>
  <c r="L940" i="18"/>
  <c r="M940" i="18"/>
  <c r="K941" i="18"/>
  <c r="L941" i="18"/>
  <c r="M941" i="18"/>
  <c r="K942" i="18"/>
  <c r="L942" i="18"/>
  <c r="M942" i="18"/>
  <c r="K943" i="18"/>
  <c r="L943" i="18"/>
  <c r="M943" i="18"/>
  <c r="K944" i="18"/>
  <c r="L944" i="18"/>
  <c r="M944" i="18"/>
  <c r="K945" i="18"/>
  <c r="L945" i="18"/>
  <c r="M945" i="18"/>
  <c r="K946" i="18"/>
  <c r="L946" i="18"/>
  <c r="M946" i="18"/>
  <c r="K947" i="18"/>
  <c r="L947" i="18"/>
  <c r="M947" i="18"/>
  <c r="K948" i="18"/>
  <c r="L948" i="18"/>
  <c r="M948" i="18"/>
  <c r="K949" i="18"/>
  <c r="L949" i="18"/>
  <c r="M949" i="18"/>
  <c r="K950" i="18"/>
  <c r="L950" i="18"/>
  <c r="M950" i="18"/>
  <c r="K951" i="18"/>
  <c r="L951" i="18"/>
  <c r="M951" i="18"/>
  <c r="K952" i="18"/>
  <c r="L952" i="18"/>
  <c r="M952" i="18"/>
  <c r="K953" i="18"/>
  <c r="L953" i="18"/>
  <c r="M953" i="18"/>
  <c r="K954" i="18"/>
  <c r="L954" i="18"/>
  <c r="M954" i="18"/>
  <c r="K955" i="18"/>
  <c r="L955" i="18"/>
  <c r="M955" i="18"/>
  <c r="K956" i="18"/>
  <c r="L956" i="18"/>
  <c r="M956" i="18"/>
  <c r="K957" i="18"/>
  <c r="L957" i="18"/>
  <c r="M957" i="18"/>
  <c r="K958" i="18"/>
  <c r="L958" i="18"/>
  <c r="M958" i="18"/>
  <c r="K959" i="18"/>
  <c r="L959" i="18"/>
  <c r="M959" i="18"/>
  <c r="K960" i="18"/>
  <c r="L960" i="18"/>
  <c r="M960" i="18"/>
  <c r="K961" i="18"/>
  <c r="L961" i="18"/>
  <c r="M961" i="18"/>
  <c r="K962" i="18"/>
  <c r="L962" i="18"/>
  <c r="M962" i="18"/>
  <c r="K963" i="18"/>
  <c r="L963" i="18"/>
  <c r="M963" i="18"/>
  <c r="K964" i="18"/>
  <c r="L964" i="18"/>
  <c r="M964" i="18"/>
  <c r="K965" i="18"/>
  <c r="L965" i="18"/>
  <c r="M965" i="18"/>
  <c r="K966" i="18"/>
  <c r="L966" i="18"/>
  <c r="M966" i="18"/>
  <c r="K967" i="18"/>
  <c r="L967" i="18"/>
  <c r="M967" i="18"/>
  <c r="K968" i="18"/>
  <c r="L968" i="18"/>
  <c r="M968" i="18"/>
  <c r="K969" i="18"/>
  <c r="L969" i="18"/>
  <c r="M969" i="18"/>
  <c r="K970" i="18"/>
  <c r="L970" i="18"/>
  <c r="M970" i="18"/>
  <c r="K971" i="18"/>
  <c r="L971" i="18"/>
  <c r="M971" i="18"/>
  <c r="K972" i="18"/>
  <c r="L972" i="18"/>
  <c r="M972" i="18"/>
  <c r="K973" i="18"/>
  <c r="L973" i="18"/>
  <c r="M973" i="18"/>
  <c r="K974" i="18"/>
  <c r="L974" i="18"/>
  <c r="M974" i="18"/>
  <c r="K975" i="18"/>
  <c r="L975" i="18"/>
  <c r="M975" i="18"/>
  <c r="K976" i="18"/>
  <c r="L976" i="18"/>
  <c r="M976" i="18"/>
  <c r="K977" i="18"/>
  <c r="L977" i="18"/>
  <c r="M977" i="18"/>
  <c r="K978" i="18"/>
  <c r="L978" i="18"/>
  <c r="M978" i="18"/>
  <c r="K979" i="18"/>
  <c r="L979" i="18"/>
  <c r="M979" i="18"/>
  <c r="K980" i="18"/>
  <c r="L980" i="18"/>
  <c r="M980" i="18"/>
  <c r="K981" i="18"/>
  <c r="L981" i="18"/>
  <c r="M981" i="18"/>
  <c r="K982" i="18"/>
  <c r="L982" i="18"/>
  <c r="M982" i="18"/>
  <c r="K983" i="18"/>
  <c r="L983" i="18"/>
  <c r="M983" i="18"/>
  <c r="K984" i="18"/>
  <c r="L984" i="18"/>
  <c r="M984" i="18"/>
  <c r="K985" i="18"/>
  <c r="L985" i="18"/>
  <c r="M985" i="18"/>
  <c r="K986" i="18"/>
  <c r="L986" i="18"/>
  <c r="M986" i="18"/>
  <c r="K987" i="18"/>
  <c r="L987" i="18"/>
  <c r="M987" i="18"/>
  <c r="K988" i="18"/>
  <c r="L988" i="18"/>
  <c r="M988" i="18"/>
  <c r="K989" i="18"/>
  <c r="L989" i="18"/>
  <c r="M989" i="18"/>
  <c r="K990" i="18"/>
  <c r="L990" i="18"/>
  <c r="M990" i="18"/>
  <c r="K991" i="18"/>
  <c r="L991" i="18"/>
  <c r="M991" i="18"/>
  <c r="K992" i="18"/>
  <c r="L992" i="18"/>
  <c r="M992" i="18"/>
  <c r="K993" i="18"/>
  <c r="L993" i="18"/>
  <c r="M993" i="18"/>
  <c r="K994" i="18"/>
  <c r="L994" i="18"/>
  <c r="M994" i="18"/>
  <c r="K995" i="18"/>
  <c r="L995" i="18"/>
  <c r="M995" i="18"/>
  <c r="K996" i="18"/>
  <c r="L996" i="18"/>
  <c r="M996" i="18"/>
  <c r="K997" i="18"/>
  <c r="L997" i="18"/>
  <c r="M997" i="18"/>
  <c r="K998" i="18"/>
  <c r="L998" i="18"/>
  <c r="M998" i="18"/>
  <c r="K999" i="18"/>
  <c r="L999" i="18"/>
  <c r="M999" i="18"/>
  <c r="K1000" i="18"/>
  <c r="L1000" i="18"/>
  <c r="M1000" i="18"/>
  <c r="K1001" i="18"/>
  <c r="L1001" i="18"/>
  <c r="M1001" i="18"/>
  <c r="K1002" i="18"/>
  <c r="L1002" i="18"/>
  <c r="M1002" i="18"/>
  <c r="K1003" i="18"/>
  <c r="L1003" i="18"/>
  <c r="M1003" i="18"/>
  <c r="K1004" i="18"/>
  <c r="L1004" i="18"/>
  <c r="M1004" i="18"/>
  <c r="K1005" i="18"/>
  <c r="L1005" i="18"/>
  <c r="M1005" i="18"/>
  <c r="K1006" i="18"/>
  <c r="L1006" i="18"/>
  <c r="M1006" i="18"/>
  <c r="K1007" i="18"/>
  <c r="L1007" i="18"/>
  <c r="M1007" i="18"/>
  <c r="K1008" i="18"/>
  <c r="L1008" i="18"/>
  <c r="M1008" i="18"/>
  <c r="K1009" i="18"/>
  <c r="L1009" i="18"/>
  <c r="M1009" i="18"/>
  <c r="K1010" i="18"/>
  <c r="L1010" i="18"/>
  <c r="M1010" i="18"/>
  <c r="K1011" i="18"/>
  <c r="L1011" i="18"/>
  <c r="M1011" i="18"/>
  <c r="K1012" i="18"/>
  <c r="L1012" i="18"/>
  <c r="M1012" i="18"/>
  <c r="K1013" i="18"/>
  <c r="L1013" i="18"/>
  <c r="M1013" i="18"/>
  <c r="K1014" i="18"/>
  <c r="L1014" i="18"/>
  <c r="M1014" i="18"/>
  <c r="K1015" i="18"/>
  <c r="L1015" i="18"/>
  <c r="M1015" i="18"/>
  <c r="K1016" i="18"/>
  <c r="L1016" i="18"/>
  <c r="M1016" i="18"/>
  <c r="K1017" i="18"/>
  <c r="L1017" i="18"/>
  <c r="M1017" i="18"/>
  <c r="K1018" i="18"/>
  <c r="L1018" i="18"/>
  <c r="M1018" i="18"/>
  <c r="K1019" i="18"/>
  <c r="L1019" i="18"/>
  <c r="M1019" i="18"/>
  <c r="K1020" i="18"/>
  <c r="L1020" i="18"/>
  <c r="M1020" i="18"/>
  <c r="K1021" i="18"/>
  <c r="L1021" i="18"/>
  <c r="M1021" i="18"/>
  <c r="K1022" i="18"/>
  <c r="L1022" i="18"/>
  <c r="M1022" i="18"/>
  <c r="K1023" i="18"/>
  <c r="L1023" i="18"/>
  <c r="M1023" i="18"/>
  <c r="K1024" i="18"/>
  <c r="L1024" i="18"/>
  <c r="M1024" i="18"/>
  <c r="K1025" i="18"/>
  <c r="L1025" i="18"/>
  <c r="M1025" i="18"/>
  <c r="K1026" i="18"/>
  <c r="L1026" i="18"/>
  <c r="M1026" i="18"/>
  <c r="K1027" i="18"/>
  <c r="L1027" i="18"/>
  <c r="M1027" i="18"/>
  <c r="K1028" i="18"/>
  <c r="L1028" i="18"/>
  <c r="M1028" i="18"/>
  <c r="K1029" i="18"/>
  <c r="L1029" i="18"/>
  <c r="M1029" i="18"/>
  <c r="K1030" i="18"/>
  <c r="L1030" i="18"/>
  <c r="M1030" i="18"/>
  <c r="K1031" i="18"/>
  <c r="L1031" i="18"/>
  <c r="M1031" i="18"/>
  <c r="K1032" i="18"/>
  <c r="L1032" i="18"/>
  <c r="M1032" i="18"/>
  <c r="L5" i="18"/>
  <c r="M5" i="18"/>
  <c r="K5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501" i="18"/>
  <c r="I502" i="18"/>
  <c r="I503" i="18"/>
  <c r="I504" i="18"/>
  <c r="I505" i="18"/>
  <c r="I506" i="18"/>
  <c r="I507" i="18"/>
  <c r="I508" i="18"/>
  <c r="I509" i="18"/>
  <c r="I510" i="18"/>
  <c r="I511" i="18"/>
  <c r="I512" i="18"/>
  <c r="I513" i="18"/>
  <c r="I514" i="18"/>
  <c r="I515" i="18"/>
  <c r="I516" i="18"/>
  <c r="I517" i="18"/>
  <c r="I518" i="18"/>
  <c r="I519" i="18"/>
  <c r="I520" i="18"/>
  <c r="I521" i="18"/>
  <c r="I522" i="18"/>
  <c r="I523" i="18"/>
  <c r="I524" i="18"/>
  <c r="I525" i="18"/>
  <c r="I526" i="18"/>
  <c r="I527" i="18"/>
  <c r="I528" i="18"/>
  <c r="I529" i="18"/>
  <c r="I530" i="18"/>
  <c r="I531" i="18"/>
  <c r="I532" i="18"/>
  <c r="I533" i="18"/>
  <c r="I534" i="18"/>
  <c r="I535" i="18"/>
  <c r="I536" i="18"/>
  <c r="I537" i="18"/>
  <c r="I538" i="18"/>
  <c r="I539" i="18"/>
  <c r="I540" i="18"/>
  <c r="I541" i="18"/>
  <c r="I542" i="18"/>
  <c r="I543" i="18"/>
  <c r="I544" i="18"/>
  <c r="I545" i="18"/>
  <c r="I546" i="18"/>
  <c r="I547" i="18"/>
  <c r="I548" i="18"/>
  <c r="I549" i="18"/>
  <c r="I550" i="18"/>
  <c r="I551" i="18"/>
  <c r="I552" i="18"/>
  <c r="I553" i="18"/>
  <c r="I554" i="18"/>
  <c r="I555" i="18"/>
  <c r="I556" i="18"/>
  <c r="I557" i="18"/>
  <c r="I558" i="18"/>
  <c r="I559" i="18"/>
  <c r="I560" i="18"/>
  <c r="I561" i="18"/>
  <c r="I562" i="18"/>
  <c r="I563" i="18"/>
  <c r="I564" i="18"/>
  <c r="I565" i="18"/>
  <c r="I566" i="18"/>
  <c r="I567" i="18"/>
  <c r="I568" i="18"/>
  <c r="I569" i="18"/>
  <c r="I570" i="18"/>
  <c r="I571" i="18"/>
  <c r="I572" i="18"/>
  <c r="I573" i="18"/>
  <c r="I574" i="18"/>
  <c r="I575" i="18"/>
  <c r="I576" i="18"/>
  <c r="I577" i="18"/>
  <c r="I578" i="18"/>
  <c r="I579" i="18"/>
  <c r="I580" i="18"/>
  <c r="I581" i="18"/>
  <c r="I582" i="18"/>
  <c r="I583" i="18"/>
  <c r="I584" i="18"/>
  <c r="I585" i="18"/>
  <c r="I586" i="18"/>
  <c r="I587" i="18"/>
  <c r="I588" i="18"/>
  <c r="I589" i="18"/>
  <c r="I590" i="18"/>
  <c r="I591" i="18"/>
  <c r="I592" i="18"/>
  <c r="I593" i="18"/>
  <c r="I594" i="18"/>
  <c r="I595" i="18"/>
  <c r="I596" i="18"/>
  <c r="I597" i="18"/>
  <c r="I598" i="18"/>
  <c r="I599" i="18"/>
  <c r="I600" i="18"/>
  <c r="I601" i="18"/>
  <c r="I602" i="18"/>
  <c r="I603" i="18"/>
  <c r="I604" i="18"/>
  <c r="I605" i="18"/>
  <c r="I606" i="18"/>
  <c r="I607" i="18"/>
  <c r="I608" i="18"/>
  <c r="I609" i="18"/>
  <c r="I610" i="18"/>
  <c r="I611" i="18"/>
  <c r="I612" i="18"/>
  <c r="I613" i="18"/>
  <c r="I614" i="18"/>
  <c r="I615" i="18"/>
  <c r="I616" i="18"/>
  <c r="I617" i="18"/>
  <c r="I618" i="18"/>
  <c r="I619" i="18"/>
  <c r="I620" i="18"/>
  <c r="I621" i="18"/>
  <c r="I622" i="18"/>
  <c r="I623" i="18"/>
  <c r="I624" i="18"/>
  <c r="I625" i="18"/>
  <c r="I626" i="18"/>
  <c r="I627" i="18"/>
  <c r="I628" i="18"/>
  <c r="I629" i="18"/>
  <c r="I630" i="18"/>
  <c r="I631" i="18"/>
  <c r="I632" i="18"/>
  <c r="I633" i="18"/>
  <c r="I634" i="18"/>
  <c r="I635" i="18"/>
  <c r="I636" i="18"/>
  <c r="I637" i="18"/>
  <c r="I638" i="18"/>
  <c r="I639" i="18"/>
  <c r="I640" i="18"/>
  <c r="I641" i="18"/>
  <c r="I642" i="18"/>
  <c r="I643" i="18"/>
  <c r="I644" i="18"/>
  <c r="I645" i="18"/>
  <c r="I646" i="18"/>
  <c r="I647" i="18"/>
  <c r="I648" i="18"/>
  <c r="I649" i="18"/>
  <c r="I650" i="18"/>
  <c r="I651" i="18"/>
  <c r="I652" i="18"/>
  <c r="I653" i="18"/>
  <c r="I654" i="18"/>
  <c r="I655" i="18"/>
  <c r="I656" i="18"/>
  <c r="I657" i="18"/>
  <c r="I658" i="18"/>
  <c r="I659" i="18"/>
  <c r="I660" i="18"/>
  <c r="I661" i="18"/>
  <c r="I662" i="18"/>
  <c r="I663" i="18"/>
  <c r="I664" i="18"/>
  <c r="I665" i="18"/>
  <c r="I666" i="18"/>
  <c r="I667" i="18"/>
  <c r="I668" i="18"/>
  <c r="I669" i="18"/>
  <c r="I670" i="18"/>
  <c r="I671" i="18"/>
  <c r="I672" i="18"/>
  <c r="I673" i="18"/>
  <c r="I674" i="18"/>
  <c r="I675" i="18"/>
  <c r="I676" i="18"/>
  <c r="I677" i="18"/>
  <c r="I678" i="18"/>
  <c r="I679" i="18"/>
  <c r="I680" i="18"/>
  <c r="I681" i="18"/>
  <c r="I682" i="18"/>
  <c r="I683" i="18"/>
  <c r="I684" i="18"/>
  <c r="I685" i="18"/>
  <c r="I686" i="18"/>
  <c r="I687" i="18"/>
  <c r="I688" i="18"/>
  <c r="I689" i="18"/>
  <c r="I690" i="18"/>
  <c r="I691" i="18"/>
  <c r="I692" i="18"/>
  <c r="I693" i="18"/>
  <c r="I694" i="18"/>
  <c r="I695" i="18"/>
  <c r="I696" i="18"/>
  <c r="I697" i="18"/>
  <c r="I698" i="18"/>
  <c r="I699" i="18"/>
  <c r="I700" i="18"/>
  <c r="I701" i="18"/>
  <c r="I702" i="18"/>
  <c r="I703" i="18"/>
  <c r="I704" i="18"/>
  <c r="I705" i="18"/>
  <c r="I706" i="18"/>
  <c r="I707" i="18"/>
  <c r="I708" i="18"/>
  <c r="I709" i="18"/>
  <c r="I710" i="18"/>
  <c r="I711" i="18"/>
  <c r="I712" i="18"/>
  <c r="I713" i="18"/>
  <c r="I714" i="18"/>
  <c r="I715" i="18"/>
  <c r="I716" i="18"/>
  <c r="I717" i="18"/>
  <c r="I718" i="18"/>
  <c r="I719" i="18"/>
  <c r="I720" i="18"/>
  <c r="I721" i="18"/>
  <c r="I722" i="18"/>
  <c r="I723" i="18"/>
  <c r="I724" i="18"/>
  <c r="I725" i="18"/>
  <c r="I726" i="18"/>
  <c r="I727" i="18"/>
  <c r="I728" i="18"/>
  <c r="I729" i="18"/>
  <c r="I730" i="18"/>
  <c r="I731" i="18"/>
  <c r="I732" i="18"/>
  <c r="I733" i="18"/>
  <c r="I734" i="18"/>
  <c r="I735" i="18"/>
  <c r="I736" i="18"/>
  <c r="I737" i="18"/>
  <c r="I738" i="18"/>
  <c r="I739" i="18"/>
  <c r="I740" i="18"/>
  <c r="I741" i="18"/>
  <c r="I742" i="18"/>
  <c r="I743" i="18"/>
  <c r="I744" i="18"/>
  <c r="I745" i="18"/>
  <c r="I746" i="18"/>
  <c r="I747" i="18"/>
  <c r="I748" i="18"/>
  <c r="I749" i="18"/>
  <c r="I750" i="18"/>
  <c r="I751" i="18"/>
  <c r="I752" i="18"/>
  <c r="I753" i="18"/>
  <c r="I754" i="18"/>
  <c r="I755" i="18"/>
  <c r="I756" i="18"/>
  <c r="I757" i="18"/>
  <c r="I758" i="18"/>
  <c r="I759" i="18"/>
  <c r="I760" i="18"/>
  <c r="I761" i="18"/>
  <c r="I762" i="18"/>
  <c r="I763" i="18"/>
  <c r="I764" i="18"/>
  <c r="I765" i="18"/>
  <c r="I766" i="18"/>
  <c r="I767" i="18"/>
  <c r="I768" i="18"/>
  <c r="I769" i="18"/>
  <c r="I770" i="18"/>
  <c r="I771" i="18"/>
  <c r="I772" i="18"/>
  <c r="I773" i="18"/>
  <c r="I774" i="18"/>
  <c r="I775" i="18"/>
  <c r="I776" i="18"/>
  <c r="I777" i="18"/>
  <c r="I778" i="18"/>
  <c r="I779" i="18"/>
  <c r="I780" i="18"/>
  <c r="I781" i="18"/>
  <c r="I782" i="18"/>
  <c r="I783" i="18"/>
  <c r="I784" i="18"/>
  <c r="I785" i="18"/>
  <c r="I786" i="18"/>
  <c r="I787" i="18"/>
  <c r="I788" i="18"/>
  <c r="I789" i="18"/>
  <c r="I790" i="18"/>
  <c r="I791" i="18"/>
  <c r="I792" i="18"/>
  <c r="I793" i="18"/>
  <c r="I794" i="18"/>
  <c r="I795" i="18"/>
  <c r="I796" i="18"/>
  <c r="I797" i="18"/>
  <c r="I798" i="18"/>
  <c r="I799" i="18"/>
  <c r="I800" i="18"/>
  <c r="I801" i="18"/>
  <c r="I802" i="18"/>
  <c r="I803" i="18"/>
  <c r="I804" i="18"/>
  <c r="I805" i="18"/>
  <c r="I806" i="18"/>
  <c r="I807" i="18"/>
  <c r="I808" i="18"/>
  <c r="I809" i="18"/>
  <c r="I810" i="18"/>
  <c r="I811" i="18"/>
  <c r="I812" i="18"/>
  <c r="I813" i="18"/>
  <c r="I814" i="18"/>
  <c r="I815" i="18"/>
  <c r="I816" i="18"/>
  <c r="I817" i="18"/>
  <c r="I818" i="18"/>
  <c r="I819" i="18"/>
  <c r="I820" i="18"/>
  <c r="I821" i="18"/>
  <c r="I822" i="18"/>
  <c r="I823" i="18"/>
  <c r="I824" i="18"/>
  <c r="I825" i="18"/>
  <c r="I826" i="18"/>
  <c r="I827" i="18"/>
  <c r="I828" i="18"/>
  <c r="I829" i="18"/>
  <c r="I830" i="18"/>
  <c r="I831" i="18"/>
  <c r="I832" i="18"/>
  <c r="I833" i="18"/>
  <c r="I834" i="18"/>
  <c r="I835" i="18"/>
  <c r="I836" i="18"/>
  <c r="I837" i="18"/>
  <c r="I838" i="18"/>
  <c r="I839" i="18"/>
  <c r="I840" i="18"/>
  <c r="I841" i="18"/>
  <c r="I842" i="18"/>
  <c r="I843" i="18"/>
  <c r="I844" i="18"/>
  <c r="I845" i="18"/>
  <c r="I846" i="18"/>
  <c r="I847" i="18"/>
  <c r="I848" i="18"/>
  <c r="I849" i="18"/>
  <c r="I850" i="18"/>
  <c r="I851" i="18"/>
  <c r="I852" i="18"/>
  <c r="I853" i="18"/>
  <c r="I854" i="18"/>
  <c r="I855" i="18"/>
  <c r="I856" i="18"/>
  <c r="I857" i="18"/>
  <c r="I858" i="18"/>
  <c r="I859" i="18"/>
  <c r="I860" i="18"/>
  <c r="I861" i="18"/>
  <c r="I862" i="18"/>
  <c r="I863" i="18"/>
  <c r="I864" i="18"/>
  <c r="I865" i="18"/>
  <c r="I866" i="18"/>
  <c r="I867" i="18"/>
  <c r="I868" i="18"/>
  <c r="I869" i="18"/>
  <c r="I870" i="18"/>
  <c r="I871" i="18"/>
  <c r="I872" i="18"/>
  <c r="I873" i="18"/>
  <c r="I874" i="18"/>
  <c r="I875" i="18"/>
  <c r="I876" i="18"/>
  <c r="I877" i="18"/>
  <c r="I878" i="18"/>
  <c r="I879" i="18"/>
  <c r="I880" i="18"/>
  <c r="I881" i="18"/>
  <c r="I882" i="18"/>
  <c r="I883" i="18"/>
  <c r="I884" i="18"/>
  <c r="I885" i="18"/>
  <c r="I886" i="18"/>
  <c r="I887" i="18"/>
  <c r="I888" i="18"/>
  <c r="I889" i="18"/>
  <c r="I890" i="18"/>
  <c r="I891" i="18"/>
  <c r="I892" i="18"/>
  <c r="I893" i="18"/>
  <c r="I894" i="18"/>
  <c r="I895" i="18"/>
  <c r="I896" i="18"/>
  <c r="I897" i="18"/>
  <c r="I898" i="18"/>
  <c r="I899" i="18"/>
  <c r="I900" i="18"/>
  <c r="I901" i="18"/>
  <c r="I902" i="18"/>
  <c r="I903" i="18"/>
  <c r="I904" i="18"/>
  <c r="I905" i="18"/>
  <c r="I906" i="18"/>
  <c r="I907" i="18"/>
  <c r="I908" i="18"/>
  <c r="I909" i="18"/>
  <c r="I910" i="18"/>
  <c r="I911" i="18"/>
  <c r="I912" i="18"/>
  <c r="I913" i="18"/>
  <c r="I914" i="18"/>
  <c r="I915" i="18"/>
  <c r="I916" i="18"/>
  <c r="I917" i="18"/>
  <c r="I918" i="18"/>
  <c r="I919" i="18"/>
  <c r="I920" i="18"/>
  <c r="I921" i="18"/>
  <c r="I922" i="18"/>
  <c r="I923" i="18"/>
  <c r="I924" i="18"/>
  <c r="I925" i="18"/>
  <c r="I926" i="18"/>
  <c r="I927" i="18"/>
  <c r="I928" i="18"/>
  <c r="I929" i="18"/>
  <c r="I930" i="18"/>
  <c r="I931" i="18"/>
  <c r="I932" i="18"/>
  <c r="I933" i="18"/>
  <c r="I934" i="18"/>
  <c r="I935" i="18"/>
  <c r="I936" i="18"/>
  <c r="I937" i="18"/>
  <c r="I938" i="18"/>
  <c r="I939" i="18"/>
  <c r="I940" i="18"/>
  <c r="I941" i="18"/>
  <c r="I942" i="18"/>
  <c r="I943" i="18"/>
  <c r="I944" i="18"/>
  <c r="I945" i="18"/>
  <c r="I946" i="18"/>
  <c r="I947" i="18"/>
  <c r="I948" i="18"/>
  <c r="I949" i="18"/>
  <c r="I950" i="18"/>
  <c r="I951" i="18"/>
  <c r="I952" i="18"/>
  <c r="I953" i="18"/>
  <c r="I954" i="18"/>
  <c r="I955" i="18"/>
  <c r="I956" i="18"/>
  <c r="I957" i="18"/>
  <c r="I958" i="18"/>
  <c r="I959" i="18"/>
  <c r="I960" i="18"/>
  <c r="I961" i="18"/>
  <c r="I962" i="18"/>
  <c r="I963" i="18"/>
  <c r="I964" i="18"/>
  <c r="I965" i="18"/>
  <c r="I966" i="18"/>
  <c r="I967" i="18"/>
  <c r="I968" i="18"/>
  <c r="I969" i="18"/>
  <c r="I970" i="18"/>
  <c r="I971" i="18"/>
  <c r="I972" i="18"/>
  <c r="I973" i="18"/>
  <c r="I974" i="18"/>
  <c r="I975" i="18"/>
  <c r="I976" i="18"/>
  <c r="I977" i="18"/>
  <c r="I978" i="18"/>
  <c r="I979" i="18"/>
  <c r="I980" i="18"/>
  <c r="I981" i="18"/>
  <c r="I982" i="18"/>
  <c r="I983" i="18"/>
  <c r="I984" i="18"/>
  <c r="I985" i="18"/>
  <c r="I986" i="18"/>
  <c r="I987" i="18"/>
  <c r="I988" i="18"/>
  <c r="I989" i="18"/>
  <c r="I990" i="18"/>
  <c r="I991" i="18"/>
  <c r="I992" i="18"/>
  <c r="I993" i="18"/>
  <c r="I994" i="18"/>
  <c r="I995" i="18"/>
  <c r="I996" i="18"/>
  <c r="I997" i="18"/>
  <c r="I998" i="18"/>
  <c r="I999" i="18"/>
  <c r="I1000" i="18"/>
  <c r="I1001" i="18"/>
  <c r="I1002" i="18"/>
  <c r="I1003" i="18"/>
  <c r="I1004" i="18"/>
  <c r="I1005" i="18"/>
  <c r="I1006" i="18"/>
  <c r="I1007" i="18"/>
  <c r="I1008" i="18"/>
  <c r="I1009" i="18"/>
  <c r="I1010" i="18"/>
  <c r="I1011" i="18"/>
  <c r="I1012" i="18"/>
  <c r="I1013" i="18"/>
  <c r="I1014" i="18"/>
  <c r="I1015" i="18"/>
  <c r="I1016" i="18"/>
  <c r="I1017" i="18"/>
  <c r="I1018" i="18"/>
  <c r="I1019" i="18"/>
  <c r="I1020" i="18"/>
  <c r="I1021" i="18"/>
  <c r="I1022" i="18"/>
  <c r="I1023" i="18"/>
  <c r="I1024" i="18"/>
  <c r="I1025" i="18"/>
  <c r="I1026" i="18"/>
  <c r="I1027" i="18"/>
  <c r="I1028" i="18"/>
  <c r="I1029" i="18"/>
  <c r="I1030" i="18"/>
  <c r="I1031" i="18"/>
  <c r="I1032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H478" i="18"/>
  <c r="H479" i="18"/>
  <c r="H480" i="18"/>
  <c r="H481" i="18"/>
  <c r="H482" i="18"/>
  <c r="H483" i="18"/>
  <c r="H484" i="18"/>
  <c r="H485" i="18"/>
  <c r="H486" i="18"/>
  <c r="H487" i="18"/>
  <c r="H488" i="18"/>
  <c r="H489" i="18"/>
  <c r="H490" i="18"/>
  <c r="H491" i="18"/>
  <c r="H492" i="18"/>
  <c r="H493" i="18"/>
  <c r="H494" i="18"/>
  <c r="H495" i="18"/>
  <c r="H496" i="18"/>
  <c r="H497" i="18"/>
  <c r="H498" i="18"/>
  <c r="H499" i="18"/>
  <c r="H500" i="18"/>
  <c r="H501" i="18"/>
  <c r="H502" i="18"/>
  <c r="H503" i="18"/>
  <c r="H504" i="18"/>
  <c r="H505" i="18"/>
  <c r="H506" i="18"/>
  <c r="H507" i="18"/>
  <c r="H508" i="18"/>
  <c r="H509" i="18"/>
  <c r="H510" i="18"/>
  <c r="H511" i="18"/>
  <c r="H512" i="18"/>
  <c r="H513" i="18"/>
  <c r="H514" i="18"/>
  <c r="H515" i="18"/>
  <c r="H516" i="18"/>
  <c r="H517" i="18"/>
  <c r="H518" i="18"/>
  <c r="H519" i="18"/>
  <c r="H520" i="18"/>
  <c r="H521" i="18"/>
  <c r="H522" i="18"/>
  <c r="H523" i="18"/>
  <c r="H524" i="18"/>
  <c r="H525" i="18"/>
  <c r="H526" i="18"/>
  <c r="H527" i="18"/>
  <c r="H528" i="18"/>
  <c r="H529" i="18"/>
  <c r="H530" i="18"/>
  <c r="H531" i="18"/>
  <c r="H532" i="18"/>
  <c r="H533" i="18"/>
  <c r="H534" i="18"/>
  <c r="H535" i="18"/>
  <c r="H536" i="18"/>
  <c r="H537" i="18"/>
  <c r="H538" i="18"/>
  <c r="H539" i="18"/>
  <c r="H540" i="18"/>
  <c r="H541" i="18"/>
  <c r="H542" i="18"/>
  <c r="H543" i="18"/>
  <c r="H544" i="18"/>
  <c r="H545" i="18"/>
  <c r="H546" i="18"/>
  <c r="H547" i="18"/>
  <c r="H548" i="18"/>
  <c r="H549" i="18"/>
  <c r="H550" i="18"/>
  <c r="H551" i="18"/>
  <c r="H552" i="18"/>
  <c r="H553" i="18"/>
  <c r="H554" i="18"/>
  <c r="H555" i="18"/>
  <c r="H556" i="18"/>
  <c r="H557" i="18"/>
  <c r="H558" i="18"/>
  <c r="H559" i="18"/>
  <c r="H560" i="18"/>
  <c r="H561" i="18"/>
  <c r="H562" i="18"/>
  <c r="H563" i="18"/>
  <c r="H564" i="18"/>
  <c r="H565" i="18"/>
  <c r="H566" i="18"/>
  <c r="H567" i="18"/>
  <c r="H568" i="18"/>
  <c r="H569" i="18"/>
  <c r="H570" i="18"/>
  <c r="H571" i="18"/>
  <c r="H572" i="18"/>
  <c r="H573" i="18"/>
  <c r="H574" i="18"/>
  <c r="H575" i="18"/>
  <c r="H576" i="18"/>
  <c r="H577" i="18"/>
  <c r="H578" i="18"/>
  <c r="H579" i="18"/>
  <c r="H580" i="18"/>
  <c r="H581" i="18"/>
  <c r="H582" i="18"/>
  <c r="H583" i="18"/>
  <c r="H584" i="18"/>
  <c r="H585" i="18"/>
  <c r="H586" i="18"/>
  <c r="H587" i="18"/>
  <c r="H588" i="18"/>
  <c r="H589" i="18"/>
  <c r="H590" i="18"/>
  <c r="H591" i="18"/>
  <c r="H592" i="18"/>
  <c r="H593" i="18"/>
  <c r="H594" i="18"/>
  <c r="H595" i="18"/>
  <c r="H596" i="18"/>
  <c r="H597" i="18"/>
  <c r="H598" i="18"/>
  <c r="H599" i="18"/>
  <c r="H600" i="18"/>
  <c r="H601" i="18"/>
  <c r="H602" i="18"/>
  <c r="H603" i="18"/>
  <c r="H604" i="18"/>
  <c r="H605" i="18"/>
  <c r="H606" i="18"/>
  <c r="H607" i="18"/>
  <c r="H608" i="18"/>
  <c r="H609" i="18"/>
  <c r="H610" i="18"/>
  <c r="H611" i="18"/>
  <c r="H612" i="18"/>
  <c r="H613" i="18"/>
  <c r="H614" i="18"/>
  <c r="H615" i="18"/>
  <c r="H616" i="18"/>
  <c r="H617" i="18"/>
  <c r="H618" i="18"/>
  <c r="H619" i="18"/>
  <c r="H620" i="18"/>
  <c r="H621" i="18"/>
  <c r="H622" i="18"/>
  <c r="H623" i="18"/>
  <c r="H624" i="18"/>
  <c r="H625" i="18"/>
  <c r="H626" i="18"/>
  <c r="H627" i="18"/>
  <c r="H628" i="18"/>
  <c r="H629" i="18"/>
  <c r="H630" i="18"/>
  <c r="H631" i="18"/>
  <c r="H632" i="18"/>
  <c r="H633" i="18"/>
  <c r="H634" i="18"/>
  <c r="H635" i="18"/>
  <c r="H636" i="18"/>
  <c r="H637" i="18"/>
  <c r="H638" i="18"/>
  <c r="H639" i="18"/>
  <c r="H640" i="18"/>
  <c r="H641" i="18"/>
  <c r="H642" i="18"/>
  <c r="H643" i="18"/>
  <c r="H644" i="18"/>
  <c r="H645" i="18"/>
  <c r="H646" i="18"/>
  <c r="H647" i="18"/>
  <c r="H648" i="18"/>
  <c r="H649" i="18"/>
  <c r="H650" i="18"/>
  <c r="H651" i="18"/>
  <c r="H652" i="18"/>
  <c r="H653" i="18"/>
  <c r="H654" i="18"/>
  <c r="H655" i="18"/>
  <c r="H656" i="18"/>
  <c r="H657" i="18"/>
  <c r="H658" i="18"/>
  <c r="H659" i="18"/>
  <c r="H660" i="18"/>
  <c r="H661" i="18"/>
  <c r="H662" i="18"/>
  <c r="H663" i="18"/>
  <c r="H664" i="18"/>
  <c r="H665" i="18"/>
  <c r="H666" i="18"/>
  <c r="H667" i="18"/>
  <c r="H668" i="18"/>
  <c r="H669" i="18"/>
  <c r="H670" i="18"/>
  <c r="H671" i="18"/>
  <c r="H672" i="18"/>
  <c r="H673" i="18"/>
  <c r="H674" i="18"/>
  <c r="H675" i="18"/>
  <c r="H676" i="18"/>
  <c r="H677" i="18"/>
  <c r="H678" i="18"/>
  <c r="H679" i="18"/>
  <c r="H680" i="18"/>
  <c r="H681" i="18"/>
  <c r="H682" i="18"/>
  <c r="H683" i="18"/>
  <c r="H684" i="18"/>
  <c r="H685" i="18"/>
  <c r="H686" i="18"/>
  <c r="H687" i="18"/>
  <c r="H688" i="18"/>
  <c r="H689" i="18"/>
  <c r="H690" i="18"/>
  <c r="H691" i="18"/>
  <c r="H692" i="18"/>
  <c r="H693" i="18"/>
  <c r="H694" i="18"/>
  <c r="H695" i="18"/>
  <c r="H696" i="18"/>
  <c r="H697" i="18"/>
  <c r="H698" i="18"/>
  <c r="H699" i="18"/>
  <c r="H700" i="18"/>
  <c r="H701" i="18"/>
  <c r="H702" i="18"/>
  <c r="H703" i="18"/>
  <c r="H704" i="18"/>
  <c r="H705" i="18"/>
  <c r="H706" i="18"/>
  <c r="H707" i="18"/>
  <c r="H708" i="18"/>
  <c r="H709" i="18"/>
  <c r="H710" i="18"/>
  <c r="H711" i="18"/>
  <c r="H712" i="18"/>
  <c r="H713" i="18"/>
  <c r="H714" i="18"/>
  <c r="H715" i="18"/>
  <c r="H716" i="18"/>
  <c r="H717" i="18"/>
  <c r="H718" i="18"/>
  <c r="H719" i="18"/>
  <c r="H720" i="18"/>
  <c r="H721" i="18"/>
  <c r="H722" i="18"/>
  <c r="H723" i="18"/>
  <c r="H724" i="18"/>
  <c r="H725" i="18"/>
  <c r="H726" i="18"/>
  <c r="H727" i="18"/>
  <c r="H728" i="18"/>
  <c r="H729" i="18"/>
  <c r="H730" i="18"/>
  <c r="H731" i="18"/>
  <c r="H732" i="18"/>
  <c r="H733" i="18"/>
  <c r="H734" i="18"/>
  <c r="H735" i="18"/>
  <c r="H736" i="18"/>
  <c r="H737" i="18"/>
  <c r="H738" i="18"/>
  <c r="H739" i="18"/>
  <c r="H740" i="18"/>
  <c r="H741" i="18"/>
  <c r="H742" i="18"/>
  <c r="H743" i="18"/>
  <c r="H744" i="18"/>
  <c r="H745" i="18"/>
  <c r="H746" i="18"/>
  <c r="H747" i="18"/>
  <c r="H748" i="18"/>
  <c r="H749" i="18"/>
  <c r="H750" i="18"/>
  <c r="H751" i="18"/>
  <c r="H752" i="18"/>
  <c r="H753" i="18"/>
  <c r="H754" i="18"/>
  <c r="H755" i="18"/>
  <c r="H756" i="18"/>
  <c r="H757" i="18"/>
  <c r="H758" i="18"/>
  <c r="H759" i="18"/>
  <c r="H760" i="18"/>
  <c r="H761" i="18"/>
  <c r="H762" i="18"/>
  <c r="H763" i="18"/>
  <c r="H764" i="18"/>
  <c r="H765" i="18"/>
  <c r="H766" i="18"/>
  <c r="H767" i="18"/>
  <c r="H768" i="18"/>
  <c r="H769" i="18"/>
  <c r="H770" i="18"/>
  <c r="H771" i="18"/>
  <c r="H772" i="18"/>
  <c r="H773" i="18"/>
  <c r="H774" i="18"/>
  <c r="H775" i="18"/>
  <c r="H776" i="18"/>
  <c r="H777" i="18"/>
  <c r="H778" i="18"/>
  <c r="H779" i="18"/>
  <c r="H780" i="18"/>
  <c r="H781" i="18"/>
  <c r="H782" i="18"/>
  <c r="H783" i="18"/>
  <c r="H784" i="18"/>
  <c r="H785" i="18"/>
  <c r="H786" i="18"/>
  <c r="H787" i="18"/>
  <c r="H788" i="18"/>
  <c r="H789" i="18"/>
  <c r="H790" i="18"/>
  <c r="H791" i="18"/>
  <c r="H792" i="18"/>
  <c r="H793" i="18"/>
  <c r="H794" i="18"/>
  <c r="H795" i="18"/>
  <c r="H796" i="18"/>
  <c r="H797" i="18"/>
  <c r="H798" i="18"/>
  <c r="H799" i="18"/>
  <c r="H800" i="18"/>
  <c r="H801" i="18"/>
  <c r="H802" i="18"/>
  <c r="H803" i="18"/>
  <c r="H804" i="18"/>
  <c r="H805" i="18"/>
  <c r="H806" i="18"/>
  <c r="H807" i="18"/>
  <c r="H808" i="18"/>
  <c r="H809" i="18"/>
  <c r="H810" i="18"/>
  <c r="H811" i="18"/>
  <c r="H812" i="18"/>
  <c r="H813" i="18"/>
  <c r="H814" i="18"/>
  <c r="H815" i="18"/>
  <c r="H816" i="18"/>
  <c r="H817" i="18"/>
  <c r="H818" i="18"/>
  <c r="H819" i="18"/>
  <c r="H820" i="18"/>
  <c r="H821" i="18"/>
  <c r="H822" i="18"/>
  <c r="H823" i="18"/>
  <c r="H824" i="18"/>
  <c r="H825" i="18"/>
  <c r="H826" i="18"/>
  <c r="H827" i="18"/>
  <c r="H828" i="18"/>
  <c r="H829" i="18"/>
  <c r="H830" i="18"/>
  <c r="H831" i="18"/>
  <c r="H832" i="18"/>
  <c r="H833" i="18"/>
  <c r="H834" i="18"/>
  <c r="H835" i="18"/>
  <c r="H836" i="18"/>
  <c r="H837" i="18"/>
  <c r="H838" i="18"/>
  <c r="H839" i="18"/>
  <c r="H840" i="18"/>
  <c r="H841" i="18"/>
  <c r="H842" i="18"/>
  <c r="H843" i="18"/>
  <c r="H844" i="18"/>
  <c r="H845" i="18"/>
  <c r="H846" i="18"/>
  <c r="H847" i="18"/>
  <c r="H848" i="18"/>
  <c r="H849" i="18"/>
  <c r="H850" i="18"/>
  <c r="H851" i="18"/>
  <c r="H852" i="18"/>
  <c r="H853" i="18"/>
  <c r="H854" i="18"/>
  <c r="H855" i="18"/>
  <c r="H856" i="18"/>
  <c r="H857" i="18"/>
  <c r="H858" i="18"/>
  <c r="H859" i="18"/>
  <c r="H860" i="18"/>
  <c r="H861" i="18"/>
  <c r="H862" i="18"/>
  <c r="H863" i="18"/>
  <c r="H864" i="18"/>
  <c r="H865" i="18"/>
  <c r="H866" i="18"/>
  <c r="H867" i="18"/>
  <c r="H868" i="18"/>
  <c r="H869" i="18"/>
  <c r="H870" i="18"/>
  <c r="H871" i="18"/>
  <c r="H872" i="18"/>
  <c r="H873" i="18"/>
  <c r="H874" i="18"/>
  <c r="H875" i="18"/>
  <c r="H876" i="18"/>
  <c r="H877" i="18"/>
  <c r="H878" i="18"/>
  <c r="H879" i="18"/>
  <c r="H880" i="18"/>
  <c r="H881" i="18"/>
  <c r="H882" i="18"/>
  <c r="H883" i="18"/>
  <c r="H884" i="18"/>
  <c r="H885" i="18"/>
  <c r="H886" i="18"/>
  <c r="H887" i="18"/>
  <c r="H888" i="18"/>
  <c r="H889" i="18"/>
  <c r="H890" i="18"/>
  <c r="H891" i="18"/>
  <c r="H892" i="18"/>
  <c r="H893" i="18"/>
  <c r="H894" i="18"/>
  <c r="H895" i="18"/>
  <c r="H896" i="18"/>
  <c r="H897" i="18"/>
  <c r="H898" i="18"/>
  <c r="H899" i="18"/>
  <c r="H900" i="18"/>
  <c r="H901" i="18"/>
  <c r="H902" i="18"/>
  <c r="H903" i="18"/>
  <c r="H904" i="18"/>
  <c r="H905" i="18"/>
  <c r="H906" i="18"/>
  <c r="H907" i="18"/>
  <c r="H908" i="18"/>
  <c r="H909" i="18"/>
  <c r="H910" i="18"/>
  <c r="H911" i="18"/>
  <c r="H912" i="18"/>
  <c r="H913" i="18"/>
  <c r="H914" i="18"/>
  <c r="H915" i="18"/>
  <c r="H916" i="18"/>
  <c r="H917" i="18"/>
  <c r="H918" i="18"/>
  <c r="H919" i="18"/>
  <c r="H920" i="18"/>
  <c r="H921" i="18"/>
  <c r="H922" i="18"/>
  <c r="H923" i="18"/>
  <c r="H924" i="18"/>
  <c r="H925" i="18"/>
  <c r="H926" i="18"/>
  <c r="H927" i="18"/>
  <c r="H928" i="18"/>
  <c r="H929" i="18"/>
  <c r="H930" i="18"/>
  <c r="H931" i="18"/>
  <c r="H932" i="18"/>
  <c r="H933" i="18"/>
  <c r="H934" i="18"/>
  <c r="H935" i="18"/>
  <c r="H936" i="18"/>
  <c r="H937" i="18"/>
  <c r="H938" i="18"/>
  <c r="H939" i="18"/>
  <c r="H940" i="18"/>
  <c r="H941" i="18"/>
  <c r="H942" i="18"/>
  <c r="H943" i="18"/>
  <c r="H944" i="18"/>
  <c r="H945" i="18"/>
  <c r="H946" i="18"/>
  <c r="H947" i="18"/>
  <c r="H948" i="18"/>
  <c r="H949" i="18"/>
  <c r="H950" i="18"/>
  <c r="H951" i="18"/>
  <c r="H952" i="18"/>
  <c r="H953" i="18"/>
  <c r="H954" i="18"/>
  <c r="H955" i="18"/>
  <c r="H956" i="18"/>
  <c r="H957" i="18"/>
  <c r="H958" i="18"/>
  <c r="H959" i="18"/>
  <c r="H960" i="18"/>
  <c r="H961" i="18"/>
  <c r="H962" i="18"/>
  <c r="H963" i="18"/>
  <c r="H964" i="18"/>
  <c r="H965" i="18"/>
  <c r="H966" i="18"/>
  <c r="H967" i="18"/>
  <c r="H968" i="18"/>
  <c r="H969" i="18"/>
  <c r="H970" i="18"/>
  <c r="H971" i="18"/>
  <c r="H972" i="18"/>
  <c r="H973" i="18"/>
  <c r="H974" i="18"/>
  <c r="H975" i="18"/>
  <c r="H976" i="18"/>
  <c r="H977" i="18"/>
  <c r="H978" i="18"/>
  <c r="H979" i="18"/>
  <c r="H980" i="18"/>
  <c r="H981" i="18"/>
  <c r="H982" i="18"/>
  <c r="H983" i="18"/>
  <c r="H984" i="18"/>
  <c r="H985" i="18"/>
  <c r="H986" i="18"/>
  <c r="H987" i="18"/>
  <c r="H988" i="18"/>
  <c r="H989" i="18"/>
  <c r="H990" i="18"/>
  <c r="H991" i="18"/>
  <c r="H992" i="18"/>
  <c r="H993" i="18"/>
  <c r="H994" i="18"/>
  <c r="H995" i="18"/>
  <c r="H996" i="18"/>
  <c r="H997" i="18"/>
  <c r="H998" i="18"/>
  <c r="H999" i="18"/>
  <c r="H1000" i="18"/>
  <c r="H1001" i="18"/>
  <c r="H1002" i="18"/>
  <c r="H1003" i="18"/>
  <c r="H1004" i="18"/>
  <c r="H1005" i="18"/>
  <c r="H1006" i="18"/>
  <c r="H1007" i="18"/>
  <c r="H1008" i="18"/>
  <c r="H1009" i="18"/>
  <c r="H1010" i="18"/>
  <c r="H1011" i="18"/>
  <c r="H1012" i="18"/>
  <c r="H1013" i="18"/>
  <c r="H1014" i="18"/>
  <c r="H1015" i="18"/>
  <c r="H1016" i="18"/>
  <c r="H1017" i="18"/>
  <c r="H1018" i="18"/>
  <c r="H1019" i="18"/>
  <c r="H1020" i="18"/>
  <c r="H1021" i="18"/>
  <c r="H1022" i="18"/>
  <c r="H1023" i="18"/>
  <c r="H1024" i="18"/>
  <c r="H1025" i="18"/>
  <c r="H1026" i="18"/>
  <c r="H1027" i="18"/>
  <c r="H1028" i="18"/>
  <c r="H1029" i="18"/>
  <c r="H1030" i="18"/>
  <c r="H1031" i="18"/>
  <c r="H1032" i="18"/>
  <c r="H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497" i="18"/>
  <c r="G498" i="18"/>
  <c r="G499" i="18"/>
  <c r="G500" i="18"/>
  <c r="G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806" i="18"/>
  <c r="G807" i="18"/>
  <c r="G808" i="18"/>
  <c r="G809" i="18"/>
  <c r="G810" i="18"/>
  <c r="G811" i="18"/>
  <c r="G812" i="18"/>
  <c r="G813" i="18"/>
  <c r="G814" i="18"/>
  <c r="G815" i="18"/>
  <c r="G816" i="18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78" i="18"/>
  <c r="G879" i="18"/>
  <c r="G880" i="18"/>
  <c r="G881" i="18"/>
  <c r="G882" i="18"/>
  <c r="G883" i="18"/>
  <c r="G884" i="18"/>
  <c r="G885" i="18"/>
  <c r="G886" i="18"/>
  <c r="G887" i="18"/>
  <c r="G888" i="18"/>
  <c r="G889" i="18"/>
  <c r="G890" i="18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916" i="18"/>
  <c r="G917" i="18"/>
  <c r="G918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34" i="18"/>
  <c r="G935" i="18"/>
  <c r="G936" i="18"/>
  <c r="G937" i="18"/>
  <c r="G938" i="18"/>
  <c r="G939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995" i="18"/>
  <c r="G996" i="18"/>
  <c r="G997" i="18"/>
  <c r="G998" i="18"/>
  <c r="G999" i="18"/>
  <c r="G1000" i="18"/>
  <c r="G1001" i="18"/>
  <c r="G1002" i="18"/>
  <c r="G1003" i="18"/>
  <c r="G1004" i="18"/>
  <c r="G1005" i="18"/>
  <c r="G1006" i="18"/>
  <c r="G1007" i="18"/>
  <c r="G1008" i="18"/>
  <c r="G1009" i="18"/>
  <c r="G1010" i="18"/>
  <c r="G1011" i="18"/>
  <c r="G1012" i="18"/>
  <c r="G1013" i="18"/>
  <c r="G1014" i="18"/>
  <c r="G1015" i="18"/>
  <c r="G1016" i="18"/>
  <c r="G1017" i="18"/>
  <c r="G1018" i="18"/>
  <c r="G1019" i="18"/>
  <c r="G1020" i="18"/>
  <c r="G1021" i="18"/>
  <c r="G1022" i="18"/>
  <c r="G1023" i="18"/>
  <c r="G1024" i="18"/>
  <c r="G1025" i="18"/>
  <c r="G1026" i="18"/>
  <c r="G1027" i="18"/>
  <c r="G1028" i="18"/>
  <c r="G1029" i="18"/>
  <c r="G1030" i="18"/>
  <c r="G1031" i="18"/>
  <c r="G1032" i="18"/>
  <c r="G5" i="18"/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4" i="3"/>
  <c r="C7" i="18"/>
  <c r="D7" i="18"/>
  <c r="E7" i="18"/>
  <c r="F7" i="18"/>
  <c r="C8" i="18"/>
  <c r="D8" i="18"/>
  <c r="E8" i="18"/>
  <c r="F8" i="18"/>
  <c r="C9" i="18"/>
  <c r="D9" i="18"/>
  <c r="E9" i="18"/>
  <c r="F9" i="18"/>
  <c r="C10" i="18"/>
  <c r="D10" i="18"/>
  <c r="E10" i="18"/>
  <c r="F10" i="18"/>
  <c r="C11" i="18"/>
  <c r="D11" i="18"/>
  <c r="E11" i="18"/>
  <c r="F11" i="18"/>
  <c r="C12" i="18"/>
  <c r="D12" i="18"/>
  <c r="E12" i="18"/>
  <c r="F12" i="18"/>
  <c r="C13" i="18"/>
  <c r="D13" i="18"/>
  <c r="E13" i="18"/>
  <c r="F13" i="18"/>
  <c r="C14" i="18"/>
  <c r="D14" i="18"/>
  <c r="E14" i="18"/>
  <c r="F14" i="18"/>
  <c r="C15" i="18"/>
  <c r="D15" i="18"/>
  <c r="E15" i="18"/>
  <c r="F15" i="18"/>
  <c r="C16" i="18"/>
  <c r="D16" i="18"/>
  <c r="E16" i="18"/>
  <c r="F16" i="18"/>
  <c r="C17" i="18"/>
  <c r="D17" i="18"/>
  <c r="E17" i="18"/>
  <c r="F17" i="18"/>
  <c r="C18" i="18"/>
  <c r="D18" i="18"/>
  <c r="E18" i="18"/>
  <c r="F18" i="18"/>
  <c r="C19" i="18"/>
  <c r="D19" i="18"/>
  <c r="E19" i="18"/>
  <c r="F19" i="18"/>
  <c r="C20" i="18"/>
  <c r="D20" i="18"/>
  <c r="E20" i="18"/>
  <c r="F20" i="18"/>
  <c r="C21" i="18"/>
  <c r="D21" i="18"/>
  <c r="E21" i="18"/>
  <c r="F21" i="18"/>
  <c r="C22" i="18"/>
  <c r="D22" i="18"/>
  <c r="E22" i="18"/>
  <c r="F22" i="18"/>
  <c r="C23" i="18"/>
  <c r="D23" i="18"/>
  <c r="E23" i="18"/>
  <c r="F23" i="18"/>
  <c r="C24" i="18"/>
  <c r="D24" i="18"/>
  <c r="E24" i="18"/>
  <c r="F24" i="18"/>
  <c r="C25" i="18"/>
  <c r="D25" i="18"/>
  <c r="E25" i="18"/>
  <c r="F25" i="18"/>
  <c r="C26" i="18"/>
  <c r="D26" i="18"/>
  <c r="E26" i="18"/>
  <c r="F26" i="18"/>
  <c r="C27" i="18"/>
  <c r="D27" i="18"/>
  <c r="E27" i="18"/>
  <c r="F27" i="18"/>
  <c r="C28" i="18"/>
  <c r="D28" i="18"/>
  <c r="E28" i="18"/>
  <c r="F28" i="18"/>
  <c r="C29" i="18"/>
  <c r="D29" i="18"/>
  <c r="E29" i="18"/>
  <c r="F29" i="18"/>
  <c r="C30" i="18"/>
  <c r="D30" i="18"/>
  <c r="E30" i="18"/>
  <c r="F30" i="18"/>
  <c r="C31" i="18"/>
  <c r="D31" i="18"/>
  <c r="E31" i="18"/>
  <c r="F31" i="18"/>
  <c r="C32" i="18"/>
  <c r="D32" i="18"/>
  <c r="E32" i="18"/>
  <c r="F32" i="18"/>
  <c r="C33" i="18"/>
  <c r="D33" i="18"/>
  <c r="E33" i="18"/>
  <c r="F33" i="18"/>
  <c r="C34" i="18"/>
  <c r="D34" i="18"/>
  <c r="E34" i="18"/>
  <c r="F34" i="18"/>
  <c r="C35" i="18"/>
  <c r="D35" i="18"/>
  <c r="E35" i="18"/>
  <c r="F35" i="18"/>
  <c r="C36" i="18"/>
  <c r="D36" i="18"/>
  <c r="E36" i="18"/>
  <c r="F36" i="18"/>
  <c r="C37" i="18"/>
  <c r="D37" i="18"/>
  <c r="E37" i="18"/>
  <c r="F37" i="18"/>
  <c r="C38" i="18"/>
  <c r="D38" i="18"/>
  <c r="E38" i="18"/>
  <c r="F38" i="18"/>
  <c r="C39" i="18"/>
  <c r="D39" i="18"/>
  <c r="E39" i="18"/>
  <c r="F39" i="18"/>
  <c r="C40" i="18"/>
  <c r="D40" i="18"/>
  <c r="E40" i="18"/>
  <c r="F40" i="18"/>
  <c r="C41" i="18"/>
  <c r="D41" i="18"/>
  <c r="E41" i="18"/>
  <c r="F41" i="18"/>
  <c r="C42" i="18"/>
  <c r="D42" i="18"/>
  <c r="E42" i="18"/>
  <c r="F42" i="18"/>
  <c r="C43" i="18"/>
  <c r="D43" i="18"/>
  <c r="E43" i="18"/>
  <c r="F43" i="18"/>
  <c r="C44" i="18"/>
  <c r="D44" i="18"/>
  <c r="E44" i="18"/>
  <c r="F44" i="18"/>
  <c r="C45" i="18"/>
  <c r="D45" i="18"/>
  <c r="E45" i="18"/>
  <c r="F45" i="18"/>
  <c r="C46" i="18"/>
  <c r="D46" i="18"/>
  <c r="E46" i="18"/>
  <c r="F46" i="18"/>
  <c r="C47" i="18"/>
  <c r="D47" i="18"/>
  <c r="E47" i="18"/>
  <c r="F47" i="18"/>
  <c r="C48" i="18"/>
  <c r="D48" i="18"/>
  <c r="E48" i="18"/>
  <c r="F48" i="18"/>
  <c r="C49" i="18"/>
  <c r="D49" i="18"/>
  <c r="E49" i="18"/>
  <c r="F49" i="18"/>
  <c r="C50" i="18"/>
  <c r="D50" i="18"/>
  <c r="E50" i="18"/>
  <c r="F50" i="18"/>
  <c r="C51" i="18"/>
  <c r="D51" i="18"/>
  <c r="E51" i="18"/>
  <c r="F51" i="18"/>
  <c r="C52" i="18"/>
  <c r="D52" i="18"/>
  <c r="E52" i="18"/>
  <c r="F52" i="18"/>
  <c r="C53" i="18"/>
  <c r="D53" i="18"/>
  <c r="E53" i="18"/>
  <c r="F53" i="18"/>
  <c r="C54" i="18"/>
  <c r="D54" i="18"/>
  <c r="E54" i="18"/>
  <c r="F54" i="18"/>
  <c r="C55" i="18"/>
  <c r="D55" i="18"/>
  <c r="E55" i="18"/>
  <c r="F55" i="18"/>
  <c r="C56" i="18"/>
  <c r="D56" i="18"/>
  <c r="E56" i="18"/>
  <c r="F56" i="18"/>
  <c r="C57" i="18"/>
  <c r="D57" i="18"/>
  <c r="E57" i="18"/>
  <c r="F57" i="18"/>
  <c r="C58" i="18"/>
  <c r="D58" i="18"/>
  <c r="E58" i="18"/>
  <c r="F58" i="18"/>
  <c r="C59" i="18"/>
  <c r="D59" i="18"/>
  <c r="E59" i="18"/>
  <c r="F59" i="18"/>
  <c r="C60" i="18"/>
  <c r="D60" i="18"/>
  <c r="E60" i="18"/>
  <c r="F60" i="18"/>
  <c r="C61" i="18"/>
  <c r="D61" i="18"/>
  <c r="E61" i="18"/>
  <c r="F61" i="18"/>
  <c r="C62" i="18"/>
  <c r="D62" i="18"/>
  <c r="E62" i="18"/>
  <c r="F62" i="18"/>
  <c r="C63" i="18"/>
  <c r="D63" i="18"/>
  <c r="E63" i="18"/>
  <c r="F63" i="18"/>
  <c r="C64" i="18"/>
  <c r="D64" i="18"/>
  <c r="E64" i="18"/>
  <c r="F64" i="18"/>
  <c r="C65" i="18"/>
  <c r="D65" i="18"/>
  <c r="E65" i="18"/>
  <c r="F65" i="18"/>
  <c r="C66" i="18"/>
  <c r="D66" i="18"/>
  <c r="E66" i="18"/>
  <c r="F66" i="18"/>
  <c r="C67" i="18"/>
  <c r="D67" i="18"/>
  <c r="E67" i="18"/>
  <c r="F67" i="18"/>
  <c r="C68" i="18"/>
  <c r="D68" i="18"/>
  <c r="E68" i="18"/>
  <c r="F68" i="18"/>
  <c r="C69" i="18"/>
  <c r="D69" i="18"/>
  <c r="E69" i="18"/>
  <c r="F69" i="18"/>
  <c r="C70" i="18"/>
  <c r="D70" i="18"/>
  <c r="E70" i="18"/>
  <c r="F70" i="18"/>
  <c r="C71" i="18"/>
  <c r="D71" i="18"/>
  <c r="E71" i="18"/>
  <c r="F71" i="18"/>
  <c r="C72" i="18"/>
  <c r="D72" i="18"/>
  <c r="E72" i="18"/>
  <c r="F72" i="18"/>
  <c r="C73" i="18"/>
  <c r="D73" i="18"/>
  <c r="E73" i="18"/>
  <c r="F73" i="18"/>
  <c r="C74" i="18"/>
  <c r="D74" i="18"/>
  <c r="E74" i="18"/>
  <c r="F74" i="18"/>
  <c r="C75" i="18"/>
  <c r="D75" i="18"/>
  <c r="E75" i="18"/>
  <c r="F75" i="18"/>
  <c r="C76" i="18"/>
  <c r="D76" i="18"/>
  <c r="E76" i="18"/>
  <c r="F76" i="18"/>
  <c r="C77" i="18"/>
  <c r="D77" i="18"/>
  <c r="E77" i="18"/>
  <c r="F77" i="18"/>
  <c r="C78" i="18"/>
  <c r="D78" i="18"/>
  <c r="E78" i="18"/>
  <c r="F78" i="18"/>
  <c r="C79" i="18"/>
  <c r="D79" i="18"/>
  <c r="E79" i="18"/>
  <c r="F79" i="18"/>
  <c r="C80" i="18"/>
  <c r="D80" i="18"/>
  <c r="E80" i="18"/>
  <c r="F80" i="18"/>
  <c r="C81" i="18"/>
  <c r="D81" i="18"/>
  <c r="E81" i="18"/>
  <c r="F81" i="18"/>
  <c r="C82" i="18"/>
  <c r="D82" i="18"/>
  <c r="E82" i="18"/>
  <c r="F82" i="18"/>
  <c r="C83" i="18"/>
  <c r="D83" i="18"/>
  <c r="E83" i="18"/>
  <c r="F83" i="18"/>
  <c r="C84" i="18"/>
  <c r="D84" i="18"/>
  <c r="E84" i="18"/>
  <c r="F84" i="18"/>
  <c r="C85" i="18"/>
  <c r="D85" i="18"/>
  <c r="E85" i="18"/>
  <c r="F85" i="18"/>
  <c r="C86" i="18"/>
  <c r="D86" i="18"/>
  <c r="E86" i="18"/>
  <c r="F86" i="18"/>
  <c r="C87" i="18"/>
  <c r="D87" i="18"/>
  <c r="E87" i="18"/>
  <c r="F87" i="18"/>
  <c r="C88" i="18"/>
  <c r="D88" i="18"/>
  <c r="E88" i="18"/>
  <c r="F88" i="18"/>
  <c r="C89" i="18"/>
  <c r="D89" i="18"/>
  <c r="E89" i="18"/>
  <c r="F89" i="18"/>
  <c r="C90" i="18"/>
  <c r="D90" i="18"/>
  <c r="E90" i="18"/>
  <c r="F90" i="18"/>
  <c r="C91" i="18"/>
  <c r="D91" i="18"/>
  <c r="E91" i="18"/>
  <c r="F91" i="18"/>
  <c r="C92" i="18"/>
  <c r="D92" i="18"/>
  <c r="E92" i="18"/>
  <c r="F92" i="18"/>
  <c r="C93" i="18"/>
  <c r="D93" i="18"/>
  <c r="E93" i="18"/>
  <c r="F93" i="18"/>
  <c r="C94" i="18"/>
  <c r="D94" i="18"/>
  <c r="E94" i="18"/>
  <c r="F94" i="18"/>
  <c r="C95" i="18"/>
  <c r="D95" i="18"/>
  <c r="E95" i="18"/>
  <c r="F95" i="18"/>
  <c r="C96" i="18"/>
  <c r="D96" i="18"/>
  <c r="E96" i="18"/>
  <c r="F96" i="18"/>
  <c r="C97" i="18"/>
  <c r="D97" i="18"/>
  <c r="E97" i="18"/>
  <c r="F97" i="18"/>
  <c r="C98" i="18"/>
  <c r="D98" i="18"/>
  <c r="E98" i="18"/>
  <c r="F98" i="18"/>
  <c r="C99" i="18"/>
  <c r="D99" i="18"/>
  <c r="E99" i="18"/>
  <c r="F99" i="18"/>
  <c r="C100" i="18"/>
  <c r="D100" i="18"/>
  <c r="E100" i="18"/>
  <c r="F100" i="18"/>
  <c r="C101" i="18"/>
  <c r="D101" i="18"/>
  <c r="E101" i="18"/>
  <c r="F101" i="18"/>
  <c r="C102" i="18"/>
  <c r="D102" i="18"/>
  <c r="E102" i="18"/>
  <c r="F102" i="18"/>
  <c r="C103" i="18"/>
  <c r="D103" i="18"/>
  <c r="E103" i="18"/>
  <c r="F103" i="18"/>
  <c r="C104" i="18"/>
  <c r="D104" i="18"/>
  <c r="E104" i="18"/>
  <c r="F104" i="18"/>
  <c r="C105" i="18"/>
  <c r="D105" i="18"/>
  <c r="E105" i="18"/>
  <c r="F105" i="18"/>
  <c r="C106" i="18"/>
  <c r="D106" i="18"/>
  <c r="E106" i="18"/>
  <c r="F106" i="18"/>
  <c r="C107" i="18"/>
  <c r="D107" i="18"/>
  <c r="E107" i="18"/>
  <c r="F107" i="18"/>
  <c r="C108" i="18"/>
  <c r="D108" i="18"/>
  <c r="E108" i="18"/>
  <c r="F108" i="18"/>
  <c r="C109" i="18"/>
  <c r="D109" i="18"/>
  <c r="E109" i="18"/>
  <c r="F109" i="18"/>
  <c r="C110" i="18"/>
  <c r="D110" i="18"/>
  <c r="E110" i="18"/>
  <c r="F110" i="18"/>
  <c r="C111" i="18"/>
  <c r="D111" i="18"/>
  <c r="E111" i="18"/>
  <c r="F111" i="18"/>
  <c r="C112" i="18"/>
  <c r="D112" i="18"/>
  <c r="E112" i="18"/>
  <c r="F112" i="18"/>
  <c r="C113" i="18"/>
  <c r="D113" i="18"/>
  <c r="E113" i="18"/>
  <c r="F113" i="18"/>
  <c r="C114" i="18"/>
  <c r="D114" i="18"/>
  <c r="E114" i="18"/>
  <c r="F114" i="18"/>
  <c r="C115" i="18"/>
  <c r="D115" i="18"/>
  <c r="E115" i="18"/>
  <c r="F115" i="18"/>
  <c r="C116" i="18"/>
  <c r="D116" i="18"/>
  <c r="E116" i="18"/>
  <c r="F116" i="18"/>
  <c r="C117" i="18"/>
  <c r="D117" i="18"/>
  <c r="E117" i="18"/>
  <c r="F117" i="18"/>
  <c r="C118" i="18"/>
  <c r="D118" i="18"/>
  <c r="E118" i="18"/>
  <c r="F118" i="18"/>
  <c r="C119" i="18"/>
  <c r="D119" i="18"/>
  <c r="E119" i="18"/>
  <c r="F119" i="18"/>
  <c r="C120" i="18"/>
  <c r="D120" i="18"/>
  <c r="E120" i="18"/>
  <c r="F120" i="18"/>
  <c r="C121" i="18"/>
  <c r="D121" i="18"/>
  <c r="E121" i="18"/>
  <c r="F121" i="18"/>
  <c r="C122" i="18"/>
  <c r="D122" i="18"/>
  <c r="E122" i="18"/>
  <c r="F122" i="18"/>
  <c r="C123" i="18"/>
  <c r="D123" i="18"/>
  <c r="E123" i="18"/>
  <c r="F123" i="18"/>
  <c r="C124" i="18"/>
  <c r="D124" i="18"/>
  <c r="E124" i="18"/>
  <c r="F124" i="18"/>
  <c r="C125" i="18"/>
  <c r="D125" i="18"/>
  <c r="E125" i="18"/>
  <c r="F125" i="18"/>
  <c r="C126" i="18"/>
  <c r="D126" i="18"/>
  <c r="E126" i="18"/>
  <c r="F126" i="18"/>
  <c r="C127" i="18"/>
  <c r="D127" i="18"/>
  <c r="E127" i="18"/>
  <c r="F127" i="18"/>
  <c r="C128" i="18"/>
  <c r="D128" i="18"/>
  <c r="E128" i="18"/>
  <c r="F128" i="18"/>
  <c r="C129" i="18"/>
  <c r="D129" i="18"/>
  <c r="E129" i="18"/>
  <c r="F129" i="18"/>
  <c r="C130" i="18"/>
  <c r="D130" i="18"/>
  <c r="E130" i="18"/>
  <c r="F130" i="18"/>
  <c r="C131" i="18"/>
  <c r="D131" i="18"/>
  <c r="E131" i="18"/>
  <c r="F131" i="18"/>
  <c r="C132" i="18"/>
  <c r="D132" i="18"/>
  <c r="E132" i="18"/>
  <c r="F132" i="18"/>
  <c r="C133" i="18"/>
  <c r="D133" i="18"/>
  <c r="E133" i="18"/>
  <c r="F133" i="18"/>
  <c r="C134" i="18"/>
  <c r="D134" i="18"/>
  <c r="E134" i="18"/>
  <c r="F134" i="18"/>
  <c r="C135" i="18"/>
  <c r="D135" i="18"/>
  <c r="E135" i="18"/>
  <c r="F135" i="18"/>
  <c r="C136" i="18"/>
  <c r="D136" i="18"/>
  <c r="E136" i="18"/>
  <c r="F136" i="18"/>
  <c r="C137" i="18"/>
  <c r="D137" i="18"/>
  <c r="E137" i="18"/>
  <c r="F137" i="18"/>
  <c r="C138" i="18"/>
  <c r="D138" i="18"/>
  <c r="E138" i="18"/>
  <c r="F138" i="18"/>
  <c r="C139" i="18"/>
  <c r="D139" i="18"/>
  <c r="E139" i="18"/>
  <c r="F139" i="18"/>
  <c r="C140" i="18"/>
  <c r="D140" i="18"/>
  <c r="E140" i="18"/>
  <c r="F140" i="18"/>
  <c r="C141" i="18"/>
  <c r="D141" i="18"/>
  <c r="E141" i="18"/>
  <c r="F141" i="18"/>
  <c r="C142" i="18"/>
  <c r="D142" i="18"/>
  <c r="E142" i="18"/>
  <c r="F142" i="18"/>
  <c r="C143" i="18"/>
  <c r="D143" i="18"/>
  <c r="E143" i="18"/>
  <c r="F143" i="18"/>
  <c r="C144" i="18"/>
  <c r="D144" i="18"/>
  <c r="E144" i="18"/>
  <c r="F144" i="18"/>
  <c r="C145" i="18"/>
  <c r="D145" i="18"/>
  <c r="E145" i="18"/>
  <c r="F145" i="18"/>
  <c r="C146" i="18"/>
  <c r="D146" i="18"/>
  <c r="E146" i="18"/>
  <c r="F146" i="18"/>
  <c r="C147" i="18"/>
  <c r="D147" i="18"/>
  <c r="E147" i="18"/>
  <c r="F147" i="18"/>
  <c r="C148" i="18"/>
  <c r="D148" i="18"/>
  <c r="E148" i="18"/>
  <c r="F148" i="18"/>
  <c r="C149" i="18"/>
  <c r="D149" i="18"/>
  <c r="E149" i="18"/>
  <c r="F149" i="18"/>
  <c r="C150" i="18"/>
  <c r="D150" i="18"/>
  <c r="E150" i="18"/>
  <c r="F150" i="18"/>
  <c r="C151" i="18"/>
  <c r="D151" i="18"/>
  <c r="E151" i="18"/>
  <c r="F151" i="18"/>
  <c r="C152" i="18"/>
  <c r="D152" i="18"/>
  <c r="E152" i="18"/>
  <c r="F152" i="18"/>
  <c r="C153" i="18"/>
  <c r="D153" i="18"/>
  <c r="E153" i="18"/>
  <c r="F153" i="18"/>
  <c r="C154" i="18"/>
  <c r="D154" i="18"/>
  <c r="E154" i="18"/>
  <c r="F154" i="18"/>
  <c r="C155" i="18"/>
  <c r="D155" i="18"/>
  <c r="E155" i="18"/>
  <c r="F155" i="18"/>
  <c r="C156" i="18"/>
  <c r="D156" i="18"/>
  <c r="E156" i="18"/>
  <c r="F156" i="18"/>
  <c r="C157" i="18"/>
  <c r="D157" i="18"/>
  <c r="E157" i="18"/>
  <c r="F157" i="18"/>
  <c r="C158" i="18"/>
  <c r="D158" i="18"/>
  <c r="E158" i="18"/>
  <c r="F158" i="18"/>
  <c r="C159" i="18"/>
  <c r="D159" i="18"/>
  <c r="E159" i="18"/>
  <c r="F159" i="18"/>
  <c r="C160" i="18"/>
  <c r="D160" i="18"/>
  <c r="E160" i="18"/>
  <c r="F160" i="18"/>
  <c r="C161" i="18"/>
  <c r="D161" i="18"/>
  <c r="E161" i="18"/>
  <c r="F161" i="18"/>
  <c r="C162" i="18"/>
  <c r="D162" i="18"/>
  <c r="E162" i="18"/>
  <c r="F162" i="18"/>
  <c r="C163" i="18"/>
  <c r="D163" i="18"/>
  <c r="E163" i="18"/>
  <c r="F163" i="18"/>
  <c r="C164" i="18"/>
  <c r="D164" i="18"/>
  <c r="E164" i="18"/>
  <c r="F164" i="18"/>
  <c r="C165" i="18"/>
  <c r="D165" i="18"/>
  <c r="E165" i="18"/>
  <c r="F165" i="18"/>
  <c r="C166" i="18"/>
  <c r="D166" i="18"/>
  <c r="E166" i="18"/>
  <c r="F166" i="18"/>
  <c r="C167" i="18"/>
  <c r="D167" i="18"/>
  <c r="E167" i="18"/>
  <c r="F167" i="18"/>
  <c r="C168" i="18"/>
  <c r="D168" i="18"/>
  <c r="E168" i="18"/>
  <c r="F168" i="18"/>
  <c r="C169" i="18"/>
  <c r="D169" i="18"/>
  <c r="E169" i="18"/>
  <c r="F169" i="18"/>
  <c r="C170" i="18"/>
  <c r="D170" i="18"/>
  <c r="E170" i="18"/>
  <c r="F170" i="18"/>
  <c r="C171" i="18"/>
  <c r="D171" i="18"/>
  <c r="E171" i="18"/>
  <c r="F171" i="18"/>
  <c r="C172" i="18"/>
  <c r="D172" i="18"/>
  <c r="E172" i="18"/>
  <c r="F172" i="18"/>
  <c r="C173" i="18"/>
  <c r="D173" i="18"/>
  <c r="E173" i="18"/>
  <c r="F173" i="18"/>
  <c r="C174" i="18"/>
  <c r="D174" i="18"/>
  <c r="E174" i="18"/>
  <c r="F174" i="18"/>
  <c r="C175" i="18"/>
  <c r="D175" i="18"/>
  <c r="E175" i="18"/>
  <c r="F175" i="18"/>
  <c r="C176" i="18"/>
  <c r="D176" i="18"/>
  <c r="E176" i="18"/>
  <c r="F176" i="18"/>
  <c r="C177" i="18"/>
  <c r="D177" i="18"/>
  <c r="E177" i="18"/>
  <c r="F177" i="18"/>
  <c r="C178" i="18"/>
  <c r="D178" i="18"/>
  <c r="E178" i="18"/>
  <c r="F178" i="18"/>
  <c r="C179" i="18"/>
  <c r="D179" i="18"/>
  <c r="E179" i="18"/>
  <c r="F179" i="18"/>
  <c r="C180" i="18"/>
  <c r="D180" i="18"/>
  <c r="E180" i="18"/>
  <c r="F180" i="18"/>
  <c r="C181" i="18"/>
  <c r="D181" i="18"/>
  <c r="E181" i="18"/>
  <c r="F181" i="18"/>
  <c r="C182" i="18"/>
  <c r="D182" i="18"/>
  <c r="E182" i="18"/>
  <c r="F182" i="18"/>
  <c r="C183" i="18"/>
  <c r="D183" i="18"/>
  <c r="E183" i="18"/>
  <c r="F183" i="18"/>
  <c r="C184" i="18"/>
  <c r="D184" i="18"/>
  <c r="E184" i="18"/>
  <c r="F184" i="18"/>
  <c r="C185" i="18"/>
  <c r="D185" i="18"/>
  <c r="E185" i="18"/>
  <c r="F185" i="18"/>
  <c r="C186" i="18"/>
  <c r="D186" i="18"/>
  <c r="E186" i="18"/>
  <c r="F186" i="18"/>
  <c r="C187" i="18"/>
  <c r="D187" i="18"/>
  <c r="E187" i="18"/>
  <c r="F187" i="18"/>
  <c r="C188" i="18"/>
  <c r="D188" i="18"/>
  <c r="E188" i="18"/>
  <c r="F188" i="18"/>
  <c r="C189" i="18"/>
  <c r="D189" i="18"/>
  <c r="E189" i="18"/>
  <c r="F189" i="18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C193" i="18"/>
  <c r="D193" i="18"/>
  <c r="E193" i="18"/>
  <c r="F193" i="18"/>
  <c r="C194" i="18"/>
  <c r="D194" i="18"/>
  <c r="E194" i="18"/>
  <c r="F194" i="18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C198" i="18"/>
  <c r="D198" i="18"/>
  <c r="E198" i="18"/>
  <c r="F198" i="18"/>
  <c r="C199" i="18"/>
  <c r="D199" i="18"/>
  <c r="E199" i="18"/>
  <c r="F199" i="18"/>
  <c r="C200" i="18"/>
  <c r="D200" i="18"/>
  <c r="E200" i="18"/>
  <c r="F200" i="18"/>
  <c r="C201" i="18"/>
  <c r="D201" i="18"/>
  <c r="E201" i="18"/>
  <c r="F201" i="18"/>
  <c r="C202" i="18"/>
  <c r="D202" i="18"/>
  <c r="E202" i="18"/>
  <c r="F202" i="18"/>
  <c r="C203" i="18"/>
  <c r="D203" i="18"/>
  <c r="E203" i="18"/>
  <c r="F203" i="18"/>
  <c r="C204" i="18"/>
  <c r="D204" i="18"/>
  <c r="E204" i="18"/>
  <c r="F204" i="18"/>
  <c r="C205" i="18"/>
  <c r="D205" i="18"/>
  <c r="E205" i="18"/>
  <c r="F205" i="18"/>
  <c r="C206" i="18"/>
  <c r="D206" i="18"/>
  <c r="E206" i="18"/>
  <c r="F206" i="18"/>
  <c r="C207" i="18"/>
  <c r="D207" i="18"/>
  <c r="E207" i="18"/>
  <c r="F207" i="18"/>
  <c r="C208" i="18"/>
  <c r="D208" i="18"/>
  <c r="E208" i="18"/>
  <c r="F208" i="18"/>
  <c r="C209" i="18"/>
  <c r="D209" i="18"/>
  <c r="E209" i="18"/>
  <c r="F209" i="18"/>
  <c r="C210" i="18"/>
  <c r="D210" i="18"/>
  <c r="E210" i="18"/>
  <c r="F210" i="18"/>
  <c r="C211" i="18"/>
  <c r="D211" i="18"/>
  <c r="E211" i="18"/>
  <c r="F211" i="18"/>
  <c r="C212" i="18"/>
  <c r="D212" i="18"/>
  <c r="E212" i="18"/>
  <c r="F212" i="18"/>
  <c r="C213" i="18"/>
  <c r="D213" i="18"/>
  <c r="E213" i="18"/>
  <c r="F213" i="18"/>
  <c r="C214" i="18"/>
  <c r="D214" i="18"/>
  <c r="E214" i="18"/>
  <c r="F214" i="18"/>
  <c r="C215" i="18"/>
  <c r="D215" i="18"/>
  <c r="E215" i="18"/>
  <c r="F215" i="18"/>
  <c r="C216" i="18"/>
  <c r="D216" i="18"/>
  <c r="E216" i="18"/>
  <c r="F216" i="18"/>
  <c r="C217" i="18"/>
  <c r="D217" i="18"/>
  <c r="E217" i="18"/>
  <c r="F217" i="18"/>
  <c r="C218" i="18"/>
  <c r="D218" i="18"/>
  <c r="E218" i="18"/>
  <c r="F218" i="18"/>
  <c r="C219" i="18"/>
  <c r="D219" i="18"/>
  <c r="E219" i="18"/>
  <c r="F219" i="18"/>
  <c r="C220" i="18"/>
  <c r="D220" i="18"/>
  <c r="E220" i="18"/>
  <c r="F220" i="18"/>
  <c r="C221" i="18"/>
  <c r="D221" i="18"/>
  <c r="E221" i="18"/>
  <c r="F221" i="18"/>
  <c r="C222" i="18"/>
  <c r="D222" i="18"/>
  <c r="E222" i="18"/>
  <c r="F222" i="18"/>
  <c r="C223" i="18"/>
  <c r="D223" i="18"/>
  <c r="E223" i="18"/>
  <c r="F223" i="18"/>
  <c r="C224" i="18"/>
  <c r="D224" i="18"/>
  <c r="E224" i="18"/>
  <c r="F224" i="18"/>
  <c r="C225" i="18"/>
  <c r="D225" i="18"/>
  <c r="E225" i="18"/>
  <c r="F225" i="18"/>
  <c r="C226" i="18"/>
  <c r="D226" i="18"/>
  <c r="E226" i="18"/>
  <c r="F226" i="18"/>
  <c r="C227" i="18"/>
  <c r="D227" i="18"/>
  <c r="E227" i="18"/>
  <c r="F227" i="18"/>
  <c r="C228" i="18"/>
  <c r="D228" i="18"/>
  <c r="E228" i="18"/>
  <c r="F228" i="18"/>
  <c r="C229" i="18"/>
  <c r="D229" i="18"/>
  <c r="E229" i="18"/>
  <c r="F229" i="18"/>
  <c r="C230" i="18"/>
  <c r="D230" i="18"/>
  <c r="E230" i="18"/>
  <c r="F230" i="18"/>
  <c r="C231" i="18"/>
  <c r="D231" i="18"/>
  <c r="E231" i="18"/>
  <c r="F231" i="18"/>
  <c r="C232" i="18"/>
  <c r="D232" i="18"/>
  <c r="E232" i="18"/>
  <c r="F232" i="18"/>
  <c r="C233" i="18"/>
  <c r="D233" i="18"/>
  <c r="E233" i="18"/>
  <c r="F233" i="18"/>
  <c r="C234" i="18"/>
  <c r="D234" i="18"/>
  <c r="E234" i="18"/>
  <c r="F234" i="18"/>
  <c r="C235" i="18"/>
  <c r="D235" i="18"/>
  <c r="E235" i="18"/>
  <c r="F235" i="18"/>
  <c r="C236" i="18"/>
  <c r="D236" i="18"/>
  <c r="E236" i="18"/>
  <c r="F236" i="18"/>
  <c r="C237" i="18"/>
  <c r="D237" i="18"/>
  <c r="E237" i="18"/>
  <c r="F237" i="18"/>
  <c r="C238" i="18"/>
  <c r="D238" i="18"/>
  <c r="E238" i="18"/>
  <c r="F238" i="18"/>
  <c r="C239" i="18"/>
  <c r="D239" i="18"/>
  <c r="E239" i="18"/>
  <c r="F239" i="18"/>
  <c r="C240" i="18"/>
  <c r="D240" i="18"/>
  <c r="E240" i="18"/>
  <c r="F240" i="18"/>
  <c r="C241" i="18"/>
  <c r="D241" i="18"/>
  <c r="E241" i="18"/>
  <c r="F241" i="18"/>
  <c r="C242" i="18"/>
  <c r="D242" i="18"/>
  <c r="E242" i="18"/>
  <c r="F242" i="18"/>
  <c r="C243" i="18"/>
  <c r="D243" i="18"/>
  <c r="E243" i="18"/>
  <c r="F243" i="18"/>
  <c r="C244" i="18"/>
  <c r="D244" i="18"/>
  <c r="E244" i="18"/>
  <c r="F244" i="18"/>
  <c r="C245" i="18"/>
  <c r="D245" i="18"/>
  <c r="E245" i="18"/>
  <c r="F245" i="18"/>
  <c r="C246" i="18"/>
  <c r="D246" i="18"/>
  <c r="E246" i="18"/>
  <c r="F246" i="18"/>
  <c r="C247" i="18"/>
  <c r="D247" i="18"/>
  <c r="E247" i="18"/>
  <c r="F247" i="18"/>
  <c r="C248" i="18"/>
  <c r="D248" i="18"/>
  <c r="E248" i="18"/>
  <c r="F248" i="18"/>
  <c r="C249" i="18"/>
  <c r="D249" i="18"/>
  <c r="E249" i="18"/>
  <c r="F249" i="18"/>
  <c r="C250" i="18"/>
  <c r="D250" i="18"/>
  <c r="E250" i="18"/>
  <c r="F250" i="18"/>
  <c r="C251" i="18"/>
  <c r="D251" i="18"/>
  <c r="E251" i="18"/>
  <c r="F251" i="18"/>
  <c r="C252" i="18"/>
  <c r="D252" i="18"/>
  <c r="E252" i="18"/>
  <c r="F252" i="18"/>
  <c r="C253" i="18"/>
  <c r="D253" i="18"/>
  <c r="E253" i="18"/>
  <c r="F253" i="18"/>
  <c r="C254" i="18"/>
  <c r="D254" i="18"/>
  <c r="E254" i="18"/>
  <c r="F254" i="18"/>
  <c r="C255" i="18"/>
  <c r="D255" i="18"/>
  <c r="E255" i="18"/>
  <c r="F255" i="18"/>
  <c r="C256" i="18"/>
  <c r="D256" i="18"/>
  <c r="E256" i="18"/>
  <c r="F256" i="18"/>
  <c r="C257" i="18"/>
  <c r="D257" i="18"/>
  <c r="E257" i="18"/>
  <c r="F257" i="18"/>
  <c r="C258" i="18"/>
  <c r="D258" i="18"/>
  <c r="E258" i="18"/>
  <c r="F258" i="18"/>
  <c r="C259" i="18"/>
  <c r="D259" i="18"/>
  <c r="E259" i="18"/>
  <c r="F259" i="18"/>
  <c r="C260" i="18"/>
  <c r="D260" i="18"/>
  <c r="E260" i="18"/>
  <c r="F260" i="18"/>
  <c r="C261" i="18"/>
  <c r="D261" i="18"/>
  <c r="E261" i="18"/>
  <c r="F261" i="18"/>
  <c r="C262" i="18"/>
  <c r="D262" i="18"/>
  <c r="E262" i="18"/>
  <c r="F262" i="18"/>
  <c r="C263" i="18"/>
  <c r="D263" i="18"/>
  <c r="E263" i="18"/>
  <c r="F263" i="18"/>
  <c r="C264" i="18"/>
  <c r="D264" i="18"/>
  <c r="E264" i="18"/>
  <c r="F264" i="18"/>
  <c r="C265" i="18"/>
  <c r="D265" i="18"/>
  <c r="E265" i="18"/>
  <c r="F265" i="18"/>
  <c r="C266" i="18"/>
  <c r="D266" i="18"/>
  <c r="E266" i="18"/>
  <c r="F266" i="18"/>
  <c r="C267" i="18"/>
  <c r="D267" i="18"/>
  <c r="E267" i="18"/>
  <c r="F267" i="18"/>
  <c r="C268" i="18"/>
  <c r="D268" i="18"/>
  <c r="E268" i="18"/>
  <c r="F268" i="18"/>
  <c r="C269" i="18"/>
  <c r="D269" i="18"/>
  <c r="E269" i="18"/>
  <c r="F269" i="18"/>
  <c r="C270" i="18"/>
  <c r="D270" i="18"/>
  <c r="E270" i="18"/>
  <c r="F270" i="18"/>
  <c r="C271" i="18"/>
  <c r="D271" i="18"/>
  <c r="E271" i="18"/>
  <c r="F271" i="18"/>
  <c r="C272" i="18"/>
  <c r="D272" i="18"/>
  <c r="E272" i="18"/>
  <c r="F272" i="18"/>
  <c r="C273" i="18"/>
  <c r="D273" i="18"/>
  <c r="E273" i="18"/>
  <c r="F273" i="18"/>
  <c r="C274" i="18"/>
  <c r="D274" i="18"/>
  <c r="E274" i="18"/>
  <c r="F274" i="18"/>
  <c r="C275" i="18"/>
  <c r="D275" i="18"/>
  <c r="E275" i="18"/>
  <c r="F275" i="18"/>
  <c r="C276" i="18"/>
  <c r="D276" i="18"/>
  <c r="E276" i="18"/>
  <c r="F276" i="18"/>
  <c r="C277" i="18"/>
  <c r="D277" i="18"/>
  <c r="E277" i="18"/>
  <c r="F277" i="18"/>
  <c r="C278" i="18"/>
  <c r="D278" i="18"/>
  <c r="E278" i="18"/>
  <c r="F278" i="18"/>
  <c r="C279" i="18"/>
  <c r="D279" i="18"/>
  <c r="E279" i="18"/>
  <c r="F279" i="18"/>
  <c r="C280" i="18"/>
  <c r="D280" i="18"/>
  <c r="E280" i="18"/>
  <c r="F280" i="18"/>
  <c r="C281" i="18"/>
  <c r="D281" i="18"/>
  <c r="E281" i="18"/>
  <c r="F281" i="18"/>
  <c r="C282" i="18"/>
  <c r="D282" i="18"/>
  <c r="E282" i="18"/>
  <c r="F282" i="18"/>
  <c r="C283" i="18"/>
  <c r="D283" i="18"/>
  <c r="E283" i="18"/>
  <c r="F283" i="18"/>
  <c r="C284" i="18"/>
  <c r="D284" i="18"/>
  <c r="E284" i="18"/>
  <c r="F284" i="18"/>
  <c r="C285" i="18"/>
  <c r="D285" i="18"/>
  <c r="E285" i="18"/>
  <c r="F285" i="18"/>
  <c r="C286" i="18"/>
  <c r="D286" i="18"/>
  <c r="E286" i="18"/>
  <c r="F286" i="18"/>
  <c r="C287" i="18"/>
  <c r="D287" i="18"/>
  <c r="E287" i="18"/>
  <c r="F287" i="18"/>
  <c r="C288" i="18"/>
  <c r="D288" i="18"/>
  <c r="E288" i="18"/>
  <c r="F288" i="18"/>
  <c r="C289" i="18"/>
  <c r="D289" i="18"/>
  <c r="E289" i="18"/>
  <c r="F289" i="18"/>
  <c r="C290" i="18"/>
  <c r="D290" i="18"/>
  <c r="E290" i="18"/>
  <c r="F290" i="18"/>
  <c r="C291" i="18"/>
  <c r="D291" i="18"/>
  <c r="E291" i="18"/>
  <c r="F291" i="18"/>
  <c r="C292" i="18"/>
  <c r="D292" i="18"/>
  <c r="E292" i="18"/>
  <c r="F292" i="18"/>
  <c r="C293" i="18"/>
  <c r="D293" i="18"/>
  <c r="E293" i="18"/>
  <c r="F293" i="18"/>
  <c r="C294" i="18"/>
  <c r="D294" i="18"/>
  <c r="E294" i="18"/>
  <c r="F294" i="18"/>
  <c r="C295" i="18"/>
  <c r="D295" i="18"/>
  <c r="E295" i="18"/>
  <c r="F295" i="18"/>
  <c r="C296" i="18"/>
  <c r="D296" i="18"/>
  <c r="E296" i="18"/>
  <c r="F296" i="18"/>
  <c r="C297" i="18"/>
  <c r="D297" i="18"/>
  <c r="E297" i="18"/>
  <c r="F297" i="18"/>
  <c r="C298" i="18"/>
  <c r="D298" i="18"/>
  <c r="E298" i="18"/>
  <c r="F298" i="18"/>
  <c r="C299" i="18"/>
  <c r="D299" i="18"/>
  <c r="E299" i="18"/>
  <c r="F299" i="18"/>
  <c r="C300" i="18"/>
  <c r="D300" i="18"/>
  <c r="E300" i="18"/>
  <c r="F300" i="18"/>
  <c r="C301" i="18"/>
  <c r="D301" i="18"/>
  <c r="E301" i="18"/>
  <c r="F301" i="18"/>
  <c r="C302" i="18"/>
  <c r="D302" i="18"/>
  <c r="E302" i="18"/>
  <c r="F302" i="18"/>
  <c r="C303" i="18"/>
  <c r="D303" i="18"/>
  <c r="E303" i="18"/>
  <c r="F303" i="18"/>
  <c r="C304" i="18"/>
  <c r="D304" i="18"/>
  <c r="E304" i="18"/>
  <c r="F304" i="18"/>
  <c r="C305" i="18"/>
  <c r="D305" i="18"/>
  <c r="E305" i="18"/>
  <c r="F305" i="18"/>
  <c r="C306" i="18"/>
  <c r="D306" i="18"/>
  <c r="E306" i="18"/>
  <c r="F306" i="18"/>
  <c r="C307" i="18"/>
  <c r="D307" i="18"/>
  <c r="E307" i="18"/>
  <c r="F307" i="18"/>
  <c r="C308" i="18"/>
  <c r="D308" i="18"/>
  <c r="E308" i="18"/>
  <c r="F308" i="18"/>
  <c r="C309" i="18"/>
  <c r="D309" i="18"/>
  <c r="E309" i="18"/>
  <c r="F309" i="18"/>
  <c r="C310" i="18"/>
  <c r="D310" i="18"/>
  <c r="E310" i="18"/>
  <c r="F310" i="18"/>
  <c r="C311" i="18"/>
  <c r="D311" i="18"/>
  <c r="E311" i="18"/>
  <c r="F311" i="18"/>
  <c r="C312" i="18"/>
  <c r="D312" i="18"/>
  <c r="E312" i="18"/>
  <c r="F312" i="18"/>
  <c r="C313" i="18"/>
  <c r="D313" i="18"/>
  <c r="E313" i="18"/>
  <c r="F313" i="18"/>
  <c r="C314" i="18"/>
  <c r="D314" i="18"/>
  <c r="E314" i="18"/>
  <c r="F314" i="18"/>
  <c r="C315" i="18"/>
  <c r="D315" i="18"/>
  <c r="E315" i="18"/>
  <c r="F315" i="18"/>
  <c r="C316" i="18"/>
  <c r="D316" i="18"/>
  <c r="E316" i="18"/>
  <c r="F316" i="18"/>
  <c r="C317" i="18"/>
  <c r="D317" i="18"/>
  <c r="E317" i="18"/>
  <c r="F317" i="18"/>
  <c r="C318" i="18"/>
  <c r="D318" i="18"/>
  <c r="E318" i="18"/>
  <c r="F318" i="18"/>
  <c r="C319" i="18"/>
  <c r="D319" i="18"/>
  <c r="E319" i="18"/>
  <c r="F319" i="18"/>
  <c r="C320" i="18"/>
  <c r="D320" i="18"/>
  <c r="E320" i="18"/>
  <c r="F320" i="18"/>
  <c r="C321" i="18"/>
  <c r="D321" i="18"/>
  <c r="E321" i="18"/>
  <c r="F321" i="18"/>
  <c r="C322" i="18"/>
  <c r="D322" i="18"/>
  <c r="E322" i="18"/>
  <c r="F322" i="18"/>
  <c r="C323" i="18"/>
  <c r="D323" i="18"/>
  <c r="E323" i="18"/>
  <c r="F323" i="18"/>
  <c r="C324" i="18"/>
  <c r="D324" i="18"/>
  <c r="E324" i="18"/>
  <c r="F324" i="18"/>
  <c r="C325" i="18"/>
  <c r="D325" i="18"/>
  <c r="E325" i="18"/>
  <c r="F325" i="18"/>
  <c r="C326" i="18"/>
  <c r="D326" i="18"/>
  <c r="E326" i="18"/>
  <c r="F326" i="18"/>
  <c r="C327" i="18"/>
  <c r="D327" i="18"/>
  <c r="E327" i="18"/>
  <c r="F327" i="18"/>
  <c r="C328" i="18"/>
  <c r="D328" i="18"/>
  <c r="E328" i="18"/>
  <c r="F328" i="18"/>
  <c r="C329" i="18"/>
  <c r="D329" i="18"/>
  <c r="E329" i="18"/>
  <c r="F329" i="18"/>
  <c r="C330" i="18"/>
  <c r="D330" i="18"/>
  <c r="E330" i="18"/>
  <c r="F330" i="18"/>
  <c r="C331" i="18"/>
  <c r="D331" i="18"/>
  <c r="E331" i="18"/>
  <c r="F331" i="18"/>
  <c r="C332" i="18"/>
  <c r="D332" i="18"/>
  <c r="E332" i="18"/>
  <c r="F332" i="18"/>
  <c r="C333" i="18"/>
  <c r="D333" i="18"/>
  <c r="E333" i="18"/>
  <c r="F333" i="18"/>
  <c r="C334" i="18"/>
  <c r="D334" i="18"/>
  <c r="E334" i="18"/>
  <c r="F334" i="18"/>
  <c r="C335" i="18"/>
  <c r="D335" i="18"/>
  <c r="E335" i="18"/>
  <c r="F335" i="18"/>
  <c r="C336" i="18"/>
  <c r="D336" i="18"/>
  <c r="E336" i="18"/>
  <c r="F336" i="18"/>
  <c r="C337" i="18"/>
  <c r="D337" i="18"/>
  <c r="E337" i="18"/>
  <c r="F337" i="18"/>
  <c r="C338" i="18"/>
  <c r="D338" i="18"/>
  <c r="E338" i="18"/>
  <c r="F338" i="18"/>
  <c r="C339" i="18"/>
  <c r="D339" i="18"/>
  <c r="E339" i="18"/>
  <c r="F339" i="18"/>
  <c r="C340" i="18"/>
  <c r="D340" i="18"/>
  <c r="E340" i="18"/>
  <c r="F340" i="18"/>
  <c r="C341" i="18"/>
  <c r="D341" i="18"/>
  <c r="E341" i="18"/>
  <c r="F341" i="18"/>
  <c r="C342" i="18"/>
  <c r="D342" i="18"/>
  <c r="E342" i="18"/>
  <c r="F342" i="18"/>
  <c r="C343" i="18"/>
  <c r="D343" i="18"/>
  <c r="E343" i="18"/>
  <c r="F343" i="18"/>
  <c r="C344" i="18"/>
  <c r="D344" i="18"/>
  <c r="E344" i="18"/>
  <c r="F344" i="18"/>
  <c r="C345" i="18"/>
  <c r="D345" i="18"/>
  <c r="E345" i="18"/>
  <c r="F345" i="18"/>
  <c r="C346" i="18"/>
  <c r="D346" i="18"/>
  <c r="E346" i="18"/>
  <c r="F346" i="18"/>
  <c r="C347" i="18"/>
  <c r="D347" i="18"/>
  <c r="E347" i="18"/>
  <c r="F347" i="18"/>
  <c r="C348" i="18"/>
  <c r="D348" i="18"/>
  <c r="E348" i="18"/>
  <c r="F348" i="18"/>
  <c r="C349" i="18"/>
  <c r="D349" i="18"/>
  <c r="E349" i="18"/>
  <c r="F349" i="18"/>
  <c r="C350" i="18"/>
  <c r="D350" i="18"/>
  <c r="E350" i="18"/>
  <c r="F350" i="18"/>
  <c r="C351" i="18"/>
  <c r="D351" i="18"/>
  <c r="E351" i="18"/>
  <c r="F351" i="18"/>
  <c r="C352" i="18"/>
  <c r="D352" i="18"/>
  <c r="E352" i="18"/>
  <c r="F352" i="18"/>
  <c r="C353" i="18"/>
  <c r="D353" i="18"/>
  <c r="E353" i="18"/>
  <c r="F353" i="18"/>
  <c r="C354" i="18"/>
  <c r="D354" i="18"/>
  <c r="E354" i="18"/>
  <c r="F354" i="18"/>
  <c r="C355" i="18"/>
  <c r="D355" i="18"/>
  <c r="E355" i="18"/>
  <c r="F355" i="18"/>
  <c r="C356" i="18"/>
  <c r="D356" i="18"/>
  <c r="E356" i="18"/>
  <c r="F356" i="18"/>
  <c r="C357" i="18"/>
  <c r="D357" i="18"/>
  <c r="E357" i="18"/>
  <c r="F357" i="18"/>
  <c r="C358" i="18"/>
  <c r="D358" i="18"/>
  <c r="E358" i="18"/>
  <c r="F358" i="18"/>
  <c r="C359" i="18"/>
  <c r="D359" i="18"/>
  <c r="E359" i="18"/>
  <c r="F359" i="18"/>
  <c r="C360" i="18"/>
  <c r="D360" i="18"/>
  <c r="E360" i="18"/>
  <c r="F360" i="18"/>
  <c r="C361" i="18"/>
  <c r="D361" i="18"/>
  <c r="E361" i="18"/>
  <c r="F361" i="18"/>
  <c r="C362" i="18"/>
  <c r="D362" i="18"/>
  <c r="E362" i="18"/>
  <c r="F362" i="18"/>
  <c r="C363" i="18"/>
  <c r="D363" i="18"/>
  <c r="E363" i="18"/>
  <c r="F363" i="18"/>
  <c r="C364" i="18"/>
  <c r="D364" i="18"/>
  <c r="E364" i="18"/>
  <c r="F364" i="18"/>
  <c r="C365" i="18"/>
  <c r="D365" i="18"/>
  <c r="E365" i="18"/>
  <c r="F365" i="18"/>
  <c r="C366" i="18"/>
  <c r="D366" i="18"/>
  <c r="E366" i="18"/>
  <c r="F366" i="18"/>
  <c r="C367" i="18"/>
  <c r="D367" i="18"/>
  <c r="E367" i="18"/>
  <c r="F367" i="18"/>
  <c r="C368" i="18"/>
  <c r="D368" i="18"/>
  <c r="E368" i="18"/>
  <c r="F368" i="18"/>
  <c r="C369" i="18"/>
  <c r="D369" i="18"/>
  <c r="E369" i="18"/>
  <c r="F369" i="18"/>
  <c r="C370" i="18"/>
  <c r="D370" i="18"/>
  <c r="E370" i="18"/>
  <c r="F370" i="18"/>
  <c r="C371" i="18"/>
  <c r="D371" i="18"/>
  <c r="E371" i="18"/>
  <c r="F371" i="18"/>
  <c r="C372" i="18"/>
  <c r="D372" i="18"/>
  <c r="E372" i="18"/>
  <c r="F372" i="18"/>
  <c r="C373" i="18"/>
  <c r="D373" i="18"/>
  <c r="E373" i="18"/>
  <c r="F373" i="18"/>
  <c r="C374" i="18"/>
  <c r="D374" i="18"/>
  <c r="E374" i="18"/>
  <c r="F374" i="18"/>
  <c r="C375" i="18"/>
  <c r="D375" i="18"/>
  <c r="E375" i="18"/>
  <c r="F375" i="18"/>
  <c r="C376" i="18"/>
  <c r="D376" i="18"/>
  <c r="E376" i="18"/>
  <c r="F376" i="18"/>
  <c r="C377" i="18"/>
  <c r="D377" i="18"/>
  <c r="E377" i="18"/>
  <c r="F377" i="18"/>
  <c r="C378" i="18"/>
  <c r="D378" i="18"/>
  <c r="E378" i="18"/>
  <c r="F378" i="18"/>
  <c r="C379" i="18"/>
  <c r="D379" i="18"/>
  <c r="E379" i="18"/>
  <c r="F379" i="18"/>
  <c r="C380" i="18"/>
  <c r="D380" i="18"/>
  <c r="E380" i="18"/>
  <c r="F380" i="18"/>
  <c r="C381" i="18"/>
  <c r="D381" i="18"/>
  <c r="E381" i="18"/>
  <c r="F381" i="18"/>
  <c r="C382" i="18"/>
  <c r="D382" i="18"/>
  <c r="E382" i="18"/>
  <c r="F382" i="18"/>
  <c r="C383" i="18"/>
  <c r="D383" i="18"/>
  <c r="E383" i="18"/>
  <c r="F383" i="18"/>
  <c r="C384" i="18"/>
  <c r="D384" i="18"/>
  <c r="E384" i="18"/>
  <c r="F384" i="18"/>
  <c r="C385" i="18"/>
  <c r="D385" i="18"/>
  <c r="E385" i="18"/>
  <c r="F385" i="18"/>
  <c r="C386" i="18"/>
  <c r="D386" i="18"/>
  <c r="E386" i="18"/>
  <c r="F386" i="18"/>
  <c r="C387" i="18"/>
  <c r="D387" i="18"/>
  <c r="E387" i="18"/>
  <c r="F387" i="18"/>
  <c r="C388" i="18"/>
  <c r="D388" i="18"/>
  <c r="E388" i="18"/>
  <c r="F388" i="18"/>
  <c r="C389" i="18"/>
  <c r="D389" i="18"/>
  <c r="E389" i="18"/>
  <c r="F389" i="18"/>
  <c r="C390" i="18"/>
  <c r="D390" i="18"/>
  <c r="E390" i="18"/>
  <c r="F390" i="18"/>
  <c r="C391" i="18"/>
  <c r="D391" i="18"/>
  <c r="E391" i="18"/>
  <c r="F391" i="18"/>
  <c r="C392" i="18"/>
  <c r="D392" i="18"/>
  <c r="E392" i="18"/>
  <c r="F392" i="18"/>
  <c r="C393" i="18"/>
  <c r="D393" i="18"/>
  <c r="E393" i="18"/>
  <c r="F393" i="18"/>
  <c r="C394" i="18"/>
  <c r="D394" i="18"/>
  <c r="E394" i="18"/>
  <c r="F394" i="18"/>
  <c r="C395" i="18"/>
  <c r="D395" i="18"/>
  <c r="E395" i="18"/>
  <c r="F395" i="18"/>
  <c r="C396" i="18"/>
  <c r="D396" i="18"/>
  <c r="E396" i="18"/>
  <c r="F396" i="18"/>
  <c r="C397" i="18"/>
  <c r="D397" i="18"/>
  <c r="E397" i="18"/>
  <c r="F397" i="18"/>
  <c r="C398" i="18"/>
  <c r="D398" i="18"/>
  <c r="E398" i="18"/>
  <c r="F398" i="18"/>
  <c r="C399" i="18"/>
  <c r="D399" i="18"/>
  <c r="E399" i="18"/>
  <c r="F399" i="18"/>
  <c r="C400" i="18"/>
  <c r="D400" i="18"/>
  <c r="E400" i="18"/>
  <c r="F400" i="18"/>
  <c r="C401" i="18"/>
  <c r="D401" i="18"/>
  <c r="E401" i="18"/>
  <c r="F401" i="18"/>
  <c r="C402" i="18"/>
  <c r="D402" i="18"/>
  <c r="E402" i="18"/>
  <c r="F402" i="18"/>
  <c r="C403" i="18"/>
  <c r="D403" i="18"/>
  <c r="E403" i="18"/>
  <c r="F403" i="18"/>
  <c r="C404" i="18"/>
  <c r="D404" i="18"/>
  <c r="E404" i="18"/>
  <c r="F404" i="18"/>
  <c r="C405" i="18"/>
  <c r="D405" i="18"/>
  <c r="E405" i="18"/>
  <c r="F405" i="18"/>
  <c r="C406" i="18"/>
  <c r="D406" i="18"/>
  <c r="E406" i="18"/>
  <c r="F406" i="18"/>
  <c r="C407" i="18"/>
  <c r="D407" i="18"/>
  <c r="E407" i="18"/>
  <c r="F407" i="18"/>
  <c r="C408" i="18"/>
  <c r="D408" i="18"/>
  <c r="E408" i="18"/>
  <c r="F408" i="18"/>
  <c r="C409" i="18"/>
  <c r="D409" i="18"/>
  <c r="E409" i="18"/>
  <c r="F409" i="18"/>
  <c r="C410" i="18"/>
  <c r="D410" i="18"/>
  <c r="E410" i="18"/>
  <c r="F410" i="18"/>
  <c r="C411" i="18"/>
  <c r="D411" i="18"/>
  <c r="E411" i="18"/>
  <c r="F411" i="18"/>
  <c r="C412" i="18"/>
  <c r="D412" i="18"/>
  <c r="E412" i="18"/>
  <c r="F412" i="18"/>
  <c r="C413" i="18"/>
  <c r="D413" i="18"/>
  <c r="E413" i="18"/>
  <c r="F413" i="18"/>
  <c r="C414" i="18"/>
  <c r="D414" i="18"/>
  <c r="E414" i="18"/>
  <c r="F414" i="18"/>
  <c r="C415" i="18"/>
  <c r="D415" i="18"/>
  <c r="E415" i="18"/>
  <c r="F415" i="18"/>
  <c r="C416" i="18"/>
  <c r="D416" i="18"/>
  <c r="E416" i="18"/>
  <c r="F416" i="18"/>
  <c r="C417" i="18"/>
  <c r="D417" i="18"/>
  <c r="E417" i="18"/>
  <c r="F417" i="18"/>
  <c r="C418" i="18"/>
  <c r="D418" i="18"/>
  <c r="E418" i="18"/>
  <c r="F418" i="18"/>
  <c r="C419" i="18"/>
  <c r="D419" i="18"/>
  <c r="E419" i="18"/>
  <c r="F419" i="18"/>
  <c r="C420" i="18"/>
  <c r="D420" i="18"/>
  <c r="E420" i="18"/>
  <c r="F420" i="18"/>
  <c r="C421" i="18"/>
  <c r="D421" i="18"/>
  <c r="E421" i="18"/>
  <c r="F421" i="18"/>
  <c r="C422" i="18"/>
  <c r="D422" i="18"/>
  <c r="E422" i="18"/>
  <c r="F422" i="18"/>
  <c r="C423" i="18"/>
  <c r="D423" i="18"/>
  <c r="E423" i="18"/>
  <c r="F423" i="18"/>
  <c r="C424" i="18"/>
  <c r="D424" i="18"/>
  <c r="E424" i="18"/>
  <c r="F424" i="18"/>
  <c r="C425" i="18"/>
  <c r="D425" i="18"/>
  <c r="E425" i="18"/>
  <c r="F425" i="18"/>
  <c r="C426" i="18"/>
  <c r="D426" i="18"/>
  <c r="E426" i="18"/>
  <c r="F426" i="18"/>
  <c r="C427" i="18"/>
  <c r="D427" i="18"/>
  <c r="E427" i="18"/>
  <c r="F427" i="18"/>
  <c r="C428" i="18"/>
  <c r="D428" i="18"/>
  <c r="E428" i="18"/>
  <c r="F428" i="18"/>
  <c r="C429" i="18"/>
  <c r="D429" i="18"/>
  <c r="E429" i="18"/>
  <c r="F429" i="18"/>
  <c r="C430" i="18"/>
  <c r="D430" i="18"/>
  <c r="E430" i="18"/>
  <c r="F430" i="18"/>
  <c r="C431" i="18"/>
  <c r="D431" i="18"/>
  <c r="E431" i="18"/>
  <c r="F431" i="18"/>
  <c r="C432" i="18"/>
  <c r="D432" i="18"/>
  <c r="E432" i="18"/>
  <c r="F432" i="18"/>
  <c r="C433" i="18"/>
  <c r="D433" i="18"/>
  <c r="E433" i="18"/>
  <c r="F433" i="18"/>
  <c r="C434" i="18"/>
  <c r="D434" i="18"/>
  <c r="E434" i="18"/>
  <c r="F434" i="18"/>
  <c r="C435" i="18"/>
  <c r="D435" i="18"/>
  <c r="E435" i="18"/>
  <c r="F435" i="18"/>
  <c r="C436" i="18"/>
  <c r="D436" i="18"/>
  <c r="E436" i="18"/>
  <c r="F436" i="18"/>
  <c r="C437" i="18"/>
  <c r="D437" i="18"/>
  <c r="E437" i="18"/>
  <c r="F437" i="18"/>
  <c r="C438" i="18"/>
  <c r="D438" i="18"/>
  <c r="E438" i="18"/>
  <c r="F438" i="18"/>
  <c r="C439" i="18"/>
  <c r="D439" i="18"/>
  <c r="E439" i="18"/>
  <c r="F439" i="18"/>
  <c r="C440" i="18"/>
  <c r="D440" i="18"/>
  <c r="E440" i="18"/>
  <c r="F440" i="18"/>
  <c r="C441" i="18"/>
  <c r="D441" i="18"/>
  <c r="E441" i="18"/>
  <c r="F441" i="18"/>
  <c r="C442" i="18"/>
  <c r="D442" i="18"/>
  <c r="E442" i="18"/>
  <c r="F442" i="18"/>
  <c r="C443" i="18"/>
  <c r="D443" i="18"/>
  <c r="E443" i="18"/>
  <c r="F443" i="18"/>
  <c r="C444" i="18"/>
  <c r="D444" i="18"/>
  <c r="E444" i="18"/>
  <c r="F444" i="18"/>
  <c r="C445" i="18"/>
  <c r="D445" i="18"/>
  <c r="E445" i="18"/>
  <c r="F445" i="18"/>
  <c r="C446" i="18"/>
  <c r="D446" i="18"/>
  <c r="E446" i="18"/>
  <c r="F446" i="18"/>
  <c r="C447" i="18"/>
  <c r="D447" i="18"/>
  <c r="E447" i="18"/>
  <c r="F447" i="18"/>
  <c r="C448" i="18"/>
  <c r="D448" i="18"/>
  <c r="E448" i="18"/>
  <c r="F448" i="18"/>
  <c r="C449" i="18"/>
  <c r="D449" i="18"/>
  <c r="E449" i="18"/>
  <c r="F449" i="18"/>
  <c r="C450" i="18"/>
  <c r="D450" i="18"/>
  <c r="E450" i="18"/>
  <c r="F450" i="18"/>
  <c r="C451" i="18"/>
  <c r="D451" i="18"/>
  <c r="E451" i="18"/>
  <c r="F451" i="18"/>
  <c r="C452" i="18"/>
  <c r="D452" i="18"/>
  <c r="E452" i="18"/>
  <c r="F452" i="18"/>
  <c r="C453" i="18"/>
  <c r="D453" i="18"/>
  <c r="E453" i="18"/>
  <c r="F453" i="18"/>
  <c r="C454" i="18"/>
  <c r="D454" i="18"/>
  <c r="E454" i="18"/>
  <c r="F454" i="18"/>
  <c r="C455" i="18"/>
  <c r="D455" i="18"/>
  <c r="E455" i="18"/>
  <c r="F455" i="18"/>
  <c r="C456" i="18"/>
  <c r="D456" i="18"/>
  <c r="E456" i="18"/>
  <c r="F456" i="18"/>
  <c r="C457" i="18"/>
  <c r="D457" i="18"/>
  <c r="E457" i="18"/>
  <c r="F457" i="18"/>
  <c r="C458" i="18"/>
  <c r="D458" i="18"/>
  <c r="E458" i="18"/>
  <c r="F458" i="18"/>
  <c r="C459" i="18"/>
  <c r="D459" i="18"/>
  <c r="E459" i="18"/>
  <c r="F459" i="18"/>
  <c r="C460" i="18"/>
  <c r="D460" i="18"/>
  <c r="E460" i="18"/>
  <c r="F460" i="18"/>
  <c r="C461" i="18"/>
  <c r="D461" i="18"/>
  <c r="E461" i="18"/>
  <c r="F461" i="18"/>
  <c r="C462" i="18"/>
  <c r="D462" i="18"/>
  <c r="E462" i="18"/>
  <c r="F462" i="18"/>
  <c r="C463" i="18"/>
  <c r="D463" i="18"/>
  <c r="E463" i="18"/>
  <c r="F463" i="18"/>
  <c r="C464" i="18"/>
  <c r="D464" i="18"/>
  <c r="E464" i="18"/>
  <c r="F464" i="18"/>
  <c r="C465" i="18"/>
  <c r="D465" i="18"/>
  <c r="E465" i="18"/>
  <c r="F465" i="18"/>
  <c r="C466" i="18"/>
  <c r="D466" i="18"/>
  <c r="E466" i="18"/>
  <c r="F466" i="18"/>
  <c r="C467" i="18"/>
  <c r="D467" i="18"/>
  <c r="E467" i="18"/>
  <c r="F467" i="18"/>
  <c r="C468" i="18"/>
  <c r="D468" i="18"/>
  <c r="E468" i="18"/>
  <c r="F468" i="18"/>
  <c r="C469" i="18"/>
  <c r="D469" i="18"/>
  <c r="E469" i="18"/>
  <c r="F469" i="18"/>
  <c r="C470" i="18"/>
  <c r="D470" i="18"/>
  <c r="E470" i="18"/>
  <c r="F470" i="18"/>
  <c r="C471" i="18"/>
  <c r="D471" i="18"/>
  <c r="E471" i="18"/>
  <c r="F471" i="18"/>
  <c r="C472" i="18"/>
  <c r="D472" i="18"/>
  <c r="E472" i="18"/>
  <c r="F472" i="18"/>
  <c r="C473" i="18"/>
  <c r="D473" i="18"/>
  <c r="E473" i="18"/>
  <c r="F473" i="18"/>
  <c r="C474" i="18"/>
  <c r="D474" i="18"/>
  <c r="E474" i="18"/>
  <c r="F474" i="18"/>
  <c r="C475" i="18"/>
  <c r="D475" i="18"/>
  <c r="E475" i="18"/>
  <c r="F475" i="18"/>
  <c r="C476" i="18"/>
  <c r="D476" i="18"/>
  <c r="E476" i="18"/>
  <c r="F476" i="18"/>
  <c r="C477" i="18"/>
  <c r="D477" i="18"/>
  <c r="E477" i="18"/>
  <c r="F477" i="18"/>
  <c r="C478" i="18"/>
  <c r="D478" i="18"/>
  <c r="E478" i="18"/>
  <c r="F478" i="18"/>
  <c r="C479" i="18"/>
  <c r="D479" i="18"/>
  <c r="E479" i="18"/>
  <c r="F479" i="18"/>
  <c r="C480" i="18"/>
  <c r="D480" i="18"/>
  <c r="E480" i="18"/>
  <c r="F480" i="18"/>
  <c r="C481" i="18"/>
  <c r="D481" i="18"/>
  <c r="E481" i="18"/>
  <c r="F481" i="18"/>
  <c r="C482" i="18"/>
  <c r="D482" i="18"/>
  <c r="E482" i="18"/>
  <c r="F482" i="18"/>
  <c r="C483" i="18"/>
  <c r="D483" i="18"/>
  <c r="E483" i="18"/>
  <c r="F483" i="18"/>
  <c r="C484" i="18"/>
  <c r="D484" i="18"/>
  <c r="E484" i="18"/>
  <c r="F484" i="18"/>
  <c r="C485" i="18"/>
  <c r="D485" i="18"/>
  <c r="E485" i="18"/>
  <c r="F485" i="18"/>
  <c r="C486" i="18"/>
  <c r="D486" i="18"/>
  <c r="E486" i="18"/>
  <c r="F486" i="18"/>
  <c r="C487" i="18"/>
  <c r="D487" i="18"/>
  <c r="E487" i="18"/>
  <c r="F487" i="18"/>
  <c r="C488" i="18"/>
  <c r="D488" i="18"/>
  <c r="E488" i="18"/>
  <c r="F488" i="18"/>
  <c r="C489" i="18"/>
  <c r="D489" i="18"/>
  <c r="E489" i="18"/>
  <c r="F489" i="18"/>
  <c r="C490" i="18"/>
  <c r="D490" i="18"/>
  <c r="E490" i="18"/>
  <c r="F490" i="18"/>
  <c r="C491" i="18"/>
  <c r="D491" i="18"/>
  <c r="E491" i="18"/>
  <c r="F491" i="18"/>
  <c r="C492" i="18"/>
  <c r="D492" i="18"/>
  <c r="E492" i="18"/>
  <c r="F492" i="18"/>
  <c r="C493" i="18"/>
  <c r="D493" i="18"/>
  <c r="E493" i="18"/>
  <c r="F493" i="18"/>
  <c r="C494" i="18"/>
  <c r="D494" i="18"/>
  <c r="E494" i="18"/>
  <c r="F494" i="18"/>
  <c r="C495" i="18"/>
  <c r="D495" i="18"/>
  <c r="E495" i="18"/>
  <c r="F495" i="18"/>
  <c r="C496" i="18"/>
  <c r="D496" i="18"/>
  <c r="E496" i="18"/>
  <c r="F496" i="18"/>
  <c r="C497" i="18"/>
  <c r="D497" i="18"/>
  <c r="E497" i="18"/>
  <c r="F497" i="18"/>
  <c r="C498" i="18"/>
  <c r="D498" i="18"/>
  <c r="E498" i="18"/>
  <c r="F498" i="18"/>
  <c r="C499" i="18"/>
  <c r="D499" i="18"/>
  <c r="E499" i="18"/>
  <c r="F499" i="18"/>
  <c r="C500" i="18"/>
  <c r="D500" i="18"/>
  <c r="E500" i="18"/>
  <c r="F500" i="18"/>
  <c r="C501" i="18"/>
  <c r="D501" i="18"/>
  <c r="E501" i="18"/>
  <c r="F501" i="18"/>
  <c r="C502" i="18"/>
  <c r="D502" i="18"/>
  <c r="E502" i="18"/>
  <c r="F502" i="18"/>
  <c r="C503" i="18"/>
  <c r="D503" i="18"/>
  <c r="E503" i="18"/>
  <c r="F503" i="18"/>
  <c r="C504" i="18"/>
  <c r="D504" i="18"/>
  <c r="E504" i="18"/>
  <c r="F504" i="18"/>
  <c r="C505" i="18"/>
  <c r="D505" i="18"/>
  <c r="E505" i="18"/>
  <c r="F505" i="18"/>
  <c r="C506" i="18"/>
  <c r="D506" i="18"/>
  <c r="E506" i="18"/>
  <c r="F506" i="18"/>
  <c r="C507" i="18"/>
  <c r="D507" i="18"/>
  <c r="E507" i="18"/>
  <c r="F507" i="18"/>
  <c r="C508" i="18"/>
  <c r="D508" i="18"/>
  <c r="E508" i="18"/>
  <c r="F508" i="18"/>
  <c r="C509" i="18"/>
  <c r="D509" i="18"/>
  <c r="E509" i="18"/>
  <c r="F509" i="18"/>
  <c r="C510" i="18"/>
  <c r="D510" i="18"/>
  <c r="E510" i="18"/>
  <c r="F510" i="18"/>
  <c r="C511" i="18"/>
  <c r="D511" i="18"/>
  <c r="E511" i="18"/>
  <c r="F511" i="18"/>
  <c r="C512" i="18"/>
  <c r="D512" i="18"/>
  <c r="E512" i="18"/>
  <c r="F512" i="18"/>
  <c r="C513" i="18"/>
  <c r="D513" i="18"/>
  <c r="E513" i="18"/>
  <c r="F513" i="18"/>
  <c r="C514" i="18"/>
  <c r="D514" i="18"/>
  <c r="E514" i="18"/>
  <c r="F514" i="18"/>
  <c r="C515" i="18"/>
  <c r="D515" i="18"/>
  <c r="E515" i="18"/>
  <c r="F515" i="18"/>
  <c r="C516" i="18"/>
  <c r="D516" i="18"/>
  <c r="E516" i="18"/>
  <c r="F516" i="18"/>
  <c r="C517" i="18"/>
  <c r="D517" i="18"/>
  <c r="E517" i="18"/>
  <c r="F517" i="18"/>
  <c r="C518" i="18"/>
  <c r="D518" i="18"/>
  <c r="E518" i="18"/>
  <c r="F518" i="18"/>
  <c r="C519" i="18"/>
  <c r="D519" i="18"/>
  <c r="E519" i="18"/>
  <c r="F519" i="18"/>
  <c r="C520" i="18"/>
  <c r="D520" i="18"/>
  <c r="E520" i="18"/>
  <c r="F520" i="18"/>
  <c r="C521" i="18"/>
  <c r="D521" i="18"/>
  <c r="E521" i="18"/>
  <c r="F521" i="18"/>
  <c r="C522" i="18"/>
  <c r="D522" i="18"/>
  <c r="E522" i="18"/>
  <c r="F522" i="18"/>
  <c r="C523" i="18"/>
  <c r="D523" i="18"/>
  <c r="E523" i="18"/>
  <c r="F523" i="18"/>
  <c r="C524" i="18"/>
  <c r="D524" i="18"/>
  <c r="E524" i="18"/>
  <c r="F524" i="18"/>
  <c r="C525" i="18"/>
  <c r="D525" i="18"/>
  <c r="E525" i="18"/>
  <c r="F525" i="18"/>
  <c r="C526" i="18"/>
  <c r="D526" i="18"/>
  <c r="E526" i="18"/>
  <c r="F526" i="18"/>
  <c r="C527" i="18"/>
  <c r="D527" i="18"/>
  <c r="E527" i="18"/>
  <c r="F527" i="18"/>
  <c r="C528" i="18"/>
  <c r="D528" i="18"/>
  <c r="E528" i="18"/>
  <c r="F528" i="18"/>
  <c r="C529" i="18"/>
  <c r="D529" i="18"/>
  <c r="E529" i="18"/>
  <c r="F529" i="18"/>
  <c r="C530" i="18"/>
  <c r="D530" i="18"/>
  <c r="E530" i="18"/>
  <c r="F530" i="18"/>
  <c r="C531" i="18"/>
  <c r="D531" i="18"/>
  <c r="E531" i="18"/>
  <c r="F531" i="18"/>
  <c r="C532" i="18"/>
  <c r="D532" i="18"/>
  <c r="E532" i="18"/>
  <c r="F532" i="18"/>
  <c r="C533" i="18"/>
  <c r="D533" i="18"/>
  <c r="E533" i="18"/>
  <c r="F533" i="18"/>
  <c r="C534" i="18"/>
  <c r="D534" i="18"/>
  <c r="E534" i="18"/>
  <c r="F534" i="18"/>
  <c r="C535" i="18"/>
  <c r="D535" i="18"/>
  <c r="E535" i="18"/>
  <c r="F535" i="18"/>
  <c r="C536" i="18"/>
  <c r="D536" i="18"/>
  <c r="E536" i="18"/>
  <c r="F536" i="18"/>
  <c r="C537" i="18"/>
  <c r="D537" i="18"/>
  <c r="E537" i="18"/>
  <c r="F537" i="18"/>
  <c r="C538" i="18"/>
  <c r="D538" i="18"/>
  <c r="E538" i="18"/>
  <c r="F538" i="18"/>
  <c r="C539" i="18"/>
  <c r="D539" i="18"/>
  <c r="E539" i="18"/>
  <c r="F539" i="18"/>
  <c r="C540" i="18"/>
  <c r="D540" i="18"/>
  <c r="E540" i="18"/>
  <c r="F540" i="18"/>
  <c r="C541" i="18"/>
  <c r="D541" i="18"/>
  <c r="E541" i="18"/>
  <c r="F541" i="18"/>
  <c r="C542" i="18"/>
  <c r="D542" i="18"/>
  <c r="E542" i="18"/>
  <c r="F542" i="18"/>
  <c r="C543" i="18"/>
  <c r="D543" i="18"/>
  <c r="E543" i="18"/>
  <c r="F543" i="18"/>
  <c r="C544" i="18"/>
  <c r="D544" i="18"/>
  <c r="E544" i="18"/>
  <c r="F544" i="18"/>
  <c r="C545" i="18"/>
  <c r="D545" i="18"/>
  <c r="E545" i="18"/>
  <c r="F545" i="18"/>
  <c r="C546" i="18"/>
  <c r="D546" i="18"/>
  <c r="E546" i="18"/>
  <c r="F546" i="18"/>
  <c r="C547" i="18"/>
  <c r="D547" i="18"/>
  <c r="E547" i="18"/>
  <c r="F547" i="18"/>
  <c r="C548" i="18"/>
  <c r="D548" i="18"/>
  <c r="E548" i="18"/>
  <c r="F548" i="18"/>
  <c r="C549" i="18"/>
  <c r="D549" i="18"/>
  <c r="E549" i="18"/>
  <c r="F549" i="18"/>
  <c r="C550" i="18"/>
  <c r="D550" i="18"/>
  <c r="E550" i="18"/>
  <c r="F550" i="18"/>
  <c r="C551" i="18"/>
  <c r="D551" i="18"/>
  <c r="E551" i="18"/>
  <c r="F551" i="18"/>
  <c r="C552" i="18"/>
  <c r="D552" i="18"/>
  <c r="E552" i="18"/>
  <c r="F552" i="18"/>
  <c r="C553" i="18"/>
  <c r="D553" i="18"/>
  <c r="E553" i="18"/>
  <c r="F553" i="18"/>
  <c r="C554" i="18"/>
  <c r="D554" i="18"/>
  <c r="E554" i="18"/>
  <c r="F554" i="18"/>
  <c r="C555" i="18"/>
  <c r="D555" i="18"/>
  <c r="E555" i="18"/>
  <c r="F555" i="18"/>
  <c r="C556" i="18"/>
  <c r="D556" i="18"/>
  <c r="E556" i="18"/>
  <c r="F556" i="18"/>
  <c r="C557" i="18"/>
  <c r="D557" i="18"/>
  <c r="E557" i="18"/>
  <c r="F557" i="18"/>
  <c r="C558" i="18"/>
  <c r="D558" i="18"/>
  <c r="E558" i="18"/>
  <c r="F558" i="18"/>
  <c r="C559" i="18"/>
  <c r="D559" i="18"/>
  <c r="E559" i="18"/>
  <c r="F559" i="18"/>
  <c r="C560" i="18"/>
  <c r="D560" i="18"/>
  <c r="E560" i="18"/>
  <c r="F560" i="18"/>
  <c r="C561" i="18"/>
  <c r="D561" i="18"/>
  <c r="E561" i="18"/>
  <c r="F561" i="18"/>
  <c r="C562" i="18"/>
  <c r="D562" i="18"/>
  <c r="E562" i="18"/>
  <c r="F562" i="18"/>
  <c r="C563" i="18"/>
  <c r="D563" i="18"/>
  <c r="E563" i="18"/>
  <c r="F563" i="18"/>
  <c r="C564" i="18"/>
  <c r="D564" i="18"/>
  <c r="E564" i="18"/>
  <c r="F564" i="18"/>
  <c r="C565" i="18"/>
  <c r="D565" i="18"/>
  <c r="E565" i="18"/>
  <c r="F565" i="18"/>
  <c r="C566" i="18"/>
  <c r="D566" i="18"/>
  <c r="E566" i="18"/>
  <c r="F566" i="18"/>
  <c r="C567" i="18"/>
  <c r="D567" i="18"/>
  <c r="E567" i="18"/>
  <c r="F567" i="18"/>
  <c r="C568" i="18"/>
  <c r="D568" i="18"/>
  <c r="E568" i="18"/>
  <c r="F568" i="18"/>
  <c r="C569" i="18"/>
  <c r="D569" i="18"/>
  <c r="E569" i="18"/>
  <c r="F569" i="18"/>
  <c r="C570" i="18"/>
  <c r="D570" i="18"/>
  <c r="E570" i="18"/>
  <c r="F570" i="18"/>
  <c r="C571" i="18"/>
  <c r="D571" i="18"/>
  <c r="E571" i="18"/>
  <c r="F571" i="18"/>
  <c r="C572" i="18"/>
  <c r="D572" i="18"/>
  <c r="E572" i="18"/>
  <c r="F572" i="18"/>
  <c r="C573" i="18"/>
  <c r="D573" i="18"/>
  <c r="E573" i="18"/>
  <c r="F573" i="18"/>
  <c r="C574" i="18"/>
  <c r="D574" i="18"/>
  <c r="E574" i="18"/>
  <c r="F574" i="18"/>
  <c r="C575" i="18"/>
  <c r="D575" i="18"/>
  <c r="E575" i="18"/>
  <c r="F575" i="18"/>
  <c r="C576" i="18"/>
  <c r="D576" i="18"/>
  <c r="E576" i="18"/>
  <c r="F576" i="18"/>
  <c r="C577" i="18"/>
  <c r="D577" i="18"/>
  <c r="E577" i="18"/>
  <c r="F577" i="18"/>
  <c r="C578" i="18"/>
  <c r="D578" i="18"/>
  <c r="E578" i="18"/>
  <c r="F578" i="18"/>
  <c r="C579" i="18"/>
  <c r="D579" i="18"/>
  <c r="E579" i="18"/>
  <c r="F579" i="18"/>
  <c r="C580" i="18"/>
  <c r="D580" i="18"/>
  <c r="E580" i="18"/>
  <c r="F580" i="18"/>
  <c r="C581" i="18"/>
  <c r="D581" i="18"/>
  <c r="E581" i="18"/>
  <c r="F581" i="18"/>
  <c r="C582" i="18"/>
  <c r="D582" i="18"/>
  <c r="E582" i="18"/>
  <c r="F582" i="18"/>
  <c r="C583" i="18"/>
  <c r="D583" i="18"/>
  <c r="E583" i="18"/>
  <c r="F583" i="18"/>
  <c r="C584" i="18"/>
  <c r="D584" i="18"/>
  <c r="E584" i="18"/>
  <c r="F584" i="18"/>
  <c r="C585" i="18"/>
  <c r="D585" i="18"/>
  <c r="E585" i="18"/>
  <c r="F585" i="18"/>
  <c r="C586" i="18"/>
  <c r="D586" i="18"/>
  <c r="E586" i="18"/>
  <c r="F586" i="18"/>
  <c r="C587" i="18"/>
  <c r="D587" i="18"/>
  <c r="E587" i="18"/>
  <c r="F587" i="18"/>
  <c r="C588" i="18"/>
  <c r="D588" i="18"/>
  <c r="E588" i="18"/>
  <c r="F588" i="18"/>
  <c r="C589" i="18"/>
  <c r="D589" i="18"/>
  <c r="E589" i="18"/>
  <c r="F589" i="18"/>
  <c r="C590" i="18"/>
  <c r="D590" i="18"/>
  <c r="E590" i="18"/>
  <c r="F590" i="18"/>
  <c r="C591" i="18"/>
  <c r="D591" i="18"/>
  <c r="E591" i="18"/>
  <c r="F591" i="18"/>
  <c r="C592" i="18"/>
  <c r="D592" i="18"/>
  <c r="E592" i="18"/>
  <c r="F592" i="18"/>
  <c r="C593" i="18"/>
  <c r="D593" i="18"/>
  <c r="E593" i="18"/>
  <c r="F593" i="18"/>
  <c r="C594" i="18"/>
  <c r="D594" i="18"/>
  <c r="E594" i="18"/>
  <c r="F594" i="18"/>
  <c r="C595" i="18"/>
  <c r="D595" i="18"/>
  <c r="E595" i="18"/>
  <c r="F595" i="18"/>
  <c r="C596" i="18"/>
  <c r="D596" i="18"/>
  <c r="E596" i="18"/>
  <c r="F596" i="18"/>
  <c r="C597" i="18"/>
  <c r="D597" i="18"/>
  <c r="E597" i="18"/>
  <c r="F597" i="18"/>
  <c r="C598" i="18"/>
  <c r="D598" i="18"/>
  <c r="E598" i="18"/>
  <c r="F598" i="18"/>
  <c r="C599" i="18"/>
  <c r="D599" i="18"/>
  <c r="E599" i="18"/>
  <c r="F599" i="18"/>
  <c r="C600" i="18"/>
  <c r="D600" i="18"/>
  <c r="E600" i="18"/>
  <c r="F600" i="18"/>
  <c r="C601" i="18"/>
  <c r="D601" i="18"/>
  <c r="E601" i="18"/>
  <c r="F601" i="18"/>
  <c r="C602" i="18"/>
  <c r="D602" i="18"/>
  <c r="E602" i="18"/>
  <c r="F602" i="18"/>
  <c r="C603" i="18"/>
  <c r="D603" i="18"/>
  <c r="E603" i="18"/>
  <c r="F603" i="18"/>
  <c r="C604" i="18"/>
  <c r="D604" i="18"/>
  <c r="E604" i="18"/>
  <c r="F604" i="18"/>
  <c r="C605" i="18"/>
  <c r="D605" i="18"/>
  <c r="E605" i="18"/>
  <c r="F605" i="18"/>
  <c r="C606" i="18"/>
  <c r="D606" i="18"/>
  <c r="E606" i="18"/>
  <c r="F606" i="18"/>
  <c r="C607" i="18"/>
  <c r="D607" i="18"/>
  <c r="E607" i="18"/>
  <c r="F607" i="18"/>
  <c r="C608" i="18"/>
  <c r="D608" i="18"/>
  <c r="E608" i="18"/>
  <c r="F608" i="18"/>
  <c r="C609" i="18"/>
  <c r="D609" i="18"/>
  <c r="E609" i="18"/>
  <c r="F609" i="18"/>
  <c r="C610" i="18"/>
  <c r="D610" i="18"/>
  <c r="E610" i="18"/>
  <c r="F610" i="18"/>
  <c r="C611" i="18"/>
  <c r="D611" i="18"/>
  <c r="E611" i="18"/>
  <c r="F611" i="18"/>
  <c r="C612" i="18"/>
  <c r="D612" i="18"/>
  <c r="E612" i="18"/>
  <c r="F612" i="18"/>
  <c r="C613" i="18"/>
  <c r="D613" i="18"/>
  <c r="E613" i="18"/>
  <c r="F613" i="18"/>
  <c r="C614" i="18"/>
  <c r="D614" i="18"/>
  <c r="E614" i="18"/>
  <c r="F614" i="18"/>
  <c r="C615" i="18"/>
  <c r="D615" i="18"/>
  <c r="E615" i="18"/>
  <c r="F615" i="18"/>
  <c r="C616" i="18"/>
  <c r="D616" i="18"/>
  <c r="E616" i="18"/>
  <c r="F616" i="18"/>
  <c r="C617" i="18"/>
  <c r="D617" i="18"/>
  <c r="E617" i="18"/>
  <c r="F617" i="18"/>
  <c r="C618" i="18"/>
  <c r="D618" i="18"/>
  <c r="E618" i="18"/>
  <c r="F618" i="18"/>
  <c r="C619" i="18"/>
  <c r="D619" i="18"/>
  <c r="E619" i="18"/>
  <c r="F619" i="18"/>
  <c r="C620" i="18"/>
  <c r="D620" i="18"/>
  <c r="E620" i="18"/>
  <c r="F620" i="18"/>
  <c r="C621" i="18"/>
  <c r="D621" i="18"/>
  <c r="E621" i="18"/>
  <c r="F621" i="18"/>
  <c r="C622" i="18"/>
  <c r="D622" i="18"/>
  <c r="E622" i="18"/>
  <c r="F622" i="18"/>
  <c r="C623" i="18"/>
  <c r="D623" i="18"/>
  <c r="E623" i="18"/>
  <c r="F623" i="18"/>
  <c r="C624" i="18"/>
  <c r="D624" i="18"/>
  <c r="E624" i="18"/>
  <c r="F624" i="18"/>
  <c r="C625" i="18"/>
  <c r="D625" i="18"/>
  <c r="E625" i="18"/>
  <c r="F625" i="18"/>
  <c r="C626" i="18"/>
  <c r="D626" i="18"/>
  <c r="E626" i="18"/>
  <c r="F626" i="18"/>
  <c r="C627" i="18"/>
  <c r="D627" i="18"/>
  <c r="E627" i="18"/>
  <c r="F627" i="18"/>
  <c r="C628" i="18"/>
  <c r="D628" i="18"/>
  <c r="E628" i="18"/>
  <c r="F628" i="18"/>
  <c r="C629" i="18"/>
  <c r="D629" i="18"/>
  <c r="E629" i="18"/>
  <c r="F629" i="18"/>
  <c r="C630" i="18"/>
  <c r="D630" i="18"/>
  <c r="E630" i="18"/>
  <c r="F630" i="18"/>
  <c r="C631" i="18"/>
  <c r="D631" i="18"/>
  <c r="E631" i="18"/>
  <c r="F631" i="18"/>
  <c r="C632" i="18"/>
  <c r="D632" i="18"/>
  <c r="E632" i="18"/>
  <c r="F632" i="18"/>
  <c r="C633" i="18"/>
  <c r="D633" i="18"/>
  <c r="E633" i="18"/>
  <c r="F633" i="18"/>
  <c r="C634" i="18"/>
  <c r="D634" i="18"/>
  <c r="E634" i="18"/>
  <c r="F634" i="18"/>
  <c r="C635" i="18"/>
  <c r="D635" i="18"/>
  <c r="E635" i="18"/>
  <c r="F635" i="18"/>
  <c r="C636" i="18"/>
  <c r="D636" i="18"/>
  <c r="E636" i="18"/>
  <c r="F636" i="18"/>
  <c r="C637" i="18"/>
  <c r="D637" i="18"/>
  <c r="E637" i="18"/>
  <c r="F637" i="18"/>
  <c r="C638" i="18"/>
  <c r="D638" i="18"/>
  <c r="E638" i="18"/>
  <c r="F638" i="18"/>
  <c r="C639" i="18"/>
  <c r="D639" i="18"/>
  <c r="E639" i="18"/>
  <c r="F639" i="18"/>
  <c r="C640" i="18"/>
  <c r="D640" i="18"/>
  <c r="E640" i="18"/>
  <c r="F640" i="18"/>
  <c r="C641" i="18"/>
  <c r="D641" i="18"/>
  <c r="E641" i="18"/>
  <c r="F641" i="18"/>
  <c r="C642" i="18"/>
  <c r="D642" i="18"/>
  <c r="E642" i="18"/>
  <c r="F642" i="18"/>
  <c r="C643" i="18"/>
  <c r="D643" i="18"/>
  <c r="E643" i="18"/>
  <c r="F643" i="18"/>
  <c r="C644" i="18"/>
  <c r="D644" i="18"/>
  <c r="E644" i="18"/>
  <c r="F644" i="18"/>
  <c r="C645" i="18"/>
  <c r="D645" i="18"/>
  <c r="E645" i="18"/>
  <c r="F645" i="18"/>
  <c r="C646" i="18"/>
  <c r="D646" i="18"/>
  <c r="E646" i="18"/>
  <c r="F646" i="18"/>
  <c r="C647" i="18"/>
  <c r="D647" i="18"/>
  <c r="E647" i="18"/>
  <c r="F647" i="18"/>
  <c r="C648" i="18"/>
  <c r="D648" i="18"/>
  <c r="E648" i="18"/>
  <c r="F648" i="18"/>
  <c r="C649" i="18"/>
  <c r="D649" i="18"/>
  <c r="E649" i="18"/>
  <c r="F649" i="18"/>
  <c r="C650" i="18"/>
  <c r="D650" i="18"/>
  <c r="E650" i="18"/>
  <c r="F650" i="18"/>
  <c r="C651" i="18"/>
  <c r="D651" i="18"/>
  <c r="E651" i="18"/>
  <c r="F651" i="18"/>
  <c r="C652" i="18"/>
  <c r="D652" i="18"/>
  <c r="E652" i="18"/>
  <c r="F652" i="18"/>
  <c r="C653" i="18"/>
  <c r="D653" i="18"/>
  <c r="E653" i="18"/>
  <c r="F653" i="18"/>
  <c r="C654" i="18"/>
  <c r="D654" i="18"/>
  <c r="E654" i="18"/>
  <c r="F654" i="18"/>
  <c r="C655" i="18"/>
  <c r="D655" i="18"/>
  <c r="E655" i="18"/>
  <c r="F655" i="18"/>
  <c r="C656" i="18"/>
  <c r="D656" i="18"/>
  <c r="E656" i="18"/>
  <c r="F656" i="18"/>
  <c r="C657" i="18"/>
  <c r="D657" i="18"/>
  <c r="E657" i="18"/>
  <c r="F657" i="18"/>
  <c r="C658" i="18"/>
  <c r="D658" i="18"/>
  <c r="E658" i="18"/>
  <c r="F658" i="18"/>
  <c r="C659" i="18"/>
  <c r="D659" i="18"/>
  <c r="E659" i="18"/>
  <c r="F659" i="18"/>
  <c r="C660" i="18"/>
  <c r="D660" i="18"/>
  <c r="E660" i="18"/>
  <c r="F660" i="18"/>
  <c r="C661" i="18"/>
  <c r="D661" i="18"/>
  <c r="E661" i="18"/>
  <c r="F661" i="18"/>
  <c r="C662" i="18"/>
  <c r="D662" i="18"/>
  <c r="E662" i="18"/>
  <c r="F662" i="18"/>
  <c r="C663" i="18"/>
  <c r="D663" i="18"/>
  <c r="E663" i="18"/>
  <c r="F663" i="18"/>
  <c r="C664" i="18"/>
  <c r="D664" i="18"/>
  <c r="E664" i="18"/>
  <c r="F664" i="18"/>
  <c r="C665" i="18"/>
  <c r="D665" i="18"/>
  <c r="E665" i="18"/>
  <c r="F665" i="18"/>
  <c r="C666" i="18"/>
  <c r="D666" i="18"/>
  <c r="E666" i="18"/>
  <c r="F666" i="18"/>
  <c r="C667" i="18"/>
  <c r="D667" i="18"/>
  <c r="E667" i="18"/>
  <c r="F667" i="18"/>
  <c r="C668" i="18"/>
  <c r="D668" i="18"/>
  <c r="E668" i="18"/>
  <c r="F668" i="18"/>
  <c r="C669" i="18"/>
  <c r="D669" i="18"/>
  <c r="E669" i="18"/>
  <c r="F669" i="18"/>
  <c r="C670" i="18"/>
  <c r="D670" i="18"/>
  <c r="E670" i="18"/>
  <c r="F670" i="18"/>
  <c r="C671" i="18"/>
  <c r="D671" i="18"/>
  <c r="E671" i="18"/>
  <c r="F671" i="18"/>
  <c r="C672" i="18"/>
  <c r="D672" i="18"/>
  <c r="E672" i="18"/>
  <c r="F672" i="18"/>
  <c r="C673" i="18"/>
  <c r="D673" i="18"/>
  <c r="E673" i="18"/>
  <c r="F673" i="18"/>
  <c r="C674" i="18"/>
  <c r="D674" i="18"/>
  <c r="E674" i="18"/>
  <c r="F674" i="18"/>
  <c r="C675" i="18"/>
  <c r="D675" i="18"/>
  <c r="E675" i="18"/>
  <c r="F675" i="18"/>
  <c r="C676" i="18"/>
  <c r="D676" i="18"/>
  <c r="E676" i="18"/>
  <c r="F676" i="18"/>
  <c r="C677" i="18"/>
  <c r="D677" i="18"/>
  <c r="E677" i="18"/>
  <c r="F677" i="18"/>
  <c r="C678" i="18"/>
  <c r="D678" i="18"/>
  <c r="E678" i="18"/>
  <c r="F678" i="18"/>
  <c r="C679" i="18"/>
  <c r="D679" i="18"/>
  <c r="E679" i="18"/>
  <c r="F679" i="18"/>
  <c r="C680" i="18"/>
  <c r="D680" i="18"/>
  <c r="E680" i="18"/>
  <c r="F680" i="18"/>
  <c r="C681" i="18"/>
  <c r="D681" i="18"/>
  <c r="E681" i="18"/>
  <c r="F681" i="18"/>
  <c r="C682" i="18"/>
  <c r="D682" i="18"/>
  <c r="E682" i="18"/>
  <c r="F682" i="18"/>
  <c r="C683" i="18"/>
  <c r="D683" i="18"/>
  <c r="E683" i="18"/>
  <c r="F683" i="18"/>
  <c r="C684" i="18"/>
  <c r="D684" i="18"/>
  <c r="E684" i="18"/>
  <c r="F684" i="18"/>
  <c r="C685" i="18"/>
  <c r="D685" i="18"/>
  <c r="E685" i="18"/>
  <c r="F685" i="18"/>
  <c r="C686" i="18"/>
  <c r="D686" i="18"/>
  <c r="E686" i="18"/>
  <c r="F686" i="18"/>
  <c r="C687" i="18"/>
  <c r="D687" i="18"/>
  <c r="E687" i="18"/>
  <c r="F687" i="18"/>
  <c r="C688" i="18"/>
  <c r="D688" i="18"/>
  <c r="E688" i="18"/>
  <c r="F688" i="18"/>
  <c r="C689" i="18"/>
  <c r="D689" i="18"/>
  <c r="E689" i="18"/>
  <c r="F689" i="18"/>
  <c r="C690" i="18"/>
  <c r="D690" i="18"/>
  <c r="E690" i="18"/>
  <c r="F690" i="18"/>
  <c r="C691" i="18"/>
  <c r="D691" i="18"/>
  <c r="E691" i="18"/>
  <c r="F691" i="18"/>
  <c r="C692" i="18"/>
  <c r="D692" i="18"/>
  <c r="E692" i="18"/>
  <c r="F692" i="18"/>
  <c r="C693" i="18"/>
  <c r="D693" i="18"/>
  <c r="E693" i="18"/>
  <c r="F693" i="18"/>
  <c r="C694" i="18"/>
  <c r="D694" i="18"/>
  <c r="E694" i="18"/>
  <c r="F694" i="18"/>
  <c r="C695" i="18"/>
  <c r="D695" i="18"/>
  <c r="E695" i="18"/>
  <c r="F695" i="18"/>
  <c r="C696" i="18"/>
  <c r="D696" i="18"/>
  <c r="E696" i="18"/>
  <c r="F696" i="18"/>
  <c r="C697" i="18"/>
  <c r="D697" i="18"/>
  <c r="E697" i="18"/>
  <c r="F697" i="18"/>
  <c r="C698" i="18"/>
  <c r="D698" i="18"/>
  <c r="E698" i="18"/>
  <c r="F698" i="18"/>
  <c r="C699" i="18"/>
  <c r="D699" i="18"/>
  <c r="E699" i="18"/>
  <c r="F699" i="18"/>
  <c r="C700" i="18"/>
  <c r="D700" i="18"/>
  <c r="E700" i="18"/>
  <c r="F700" i="18"/>
  <c r="C701" i="18"/>
  <c r="D701" i="18"/>
  <c r="E701" i="18"/>
  <c r="F701" i="18"/>
  <c r="C702" i="18"/>
  <c r="D702" i="18"/>
  <c r="E702" i="18"/>
  <c r="F702" i="18"/>
  <c r="C703" i="18"/>
  <c r="D703" i="18"/>
  <c r="E703" i="18"/>
  <c r="F703" i="18"/>
  <c r="C704" i="18"/>
  <c r="D704" i="18"/>
  <c r="E704" i="18"/>
  <c r="F704" i="18"/>
  <c r="C705" i="18"/>
  <c r="D705" i="18"/>
  <c r="E705" i="18"/>
  <c r="F705" i="18"/>
  <c r="C706" i="18"/>
  <c r="D706" i="18"/>
  <c r="E706" i="18"/>
  <c r="F706" i="18"/>
  <c r="C707" i="18"/>
  <c r="D707" i="18"/>
  <c r="E707" i="18"/>
  <c r="F707" i="18"/>
  <c r="C708" i="18"/>
  <c r="D708" i="18"/>
  <c r="E708" i="18"/>
  <c r="F708" i="18"/>
  <c r="C709" i="18"/>
  <c r="D709" i="18"/>
  <c r="E709" i="18"/>
  <c r="F709" i="18"/>
  <c r="C710" i="18"/>
  <c r="D710" i="18"/>
  <c r="E710" i="18"/>
  <c r="F710" i="18"/>
  <c r="C711" i="18"/>
  <c r="D711" i="18"/>
  <c r="E711" i="18"/>
  <c r="F711" i="18"/>
  <c r="C712" i="18"/>
  <c r="D712" i="18"/>
  <c r="E712" i="18"/>
  <c r="F712" i="18"/>
  <c r="C713" i="18"/>
  <c r="D713" i="18"/>
  <c r="E713" i="18"/>
  <c r="F713" i="18"/>
  <c r="C714" i="18"/>
  <c r="D714" i="18"/>
  <c r="E714" i="18"/>
  <c r="F714" i="18"/>
  <c r="C715" i="18"/>
  <c r="D715" i="18"/>
  <c r="E715" i="18"/>
  <c r="F715" i="18"/>
  <c r="C716" i="18"/>
  <c r="D716" i="18"/>
  <c r="E716" i="18"/>
  <c r="F716" i="18"/>
  <c r="C717" i="18"/>
  <c r="D717" i="18"/>
  <c r="E717" i="18"/>
  <c r="F717" i="18"/>
  <c r="C718" i="18"/>
  <c r="D718" i="18"/>
  <c r="E718" i="18"/>
  <c r="F718" i="18"/>
  <c r="C719" i="18"/>
  <c r="D719" i="18"/>
  <c r="E719" i="18"/>
  <c r="F719" i="18"/>
  <c r="C720" i="18"/>
  <c r="D720" i="18"/>
  <c r="E720" i="18"/>
  <c r="F720" i="18"/>
  <c r="C721" i="18"/>
  <c r="D721" i="18"/>
  <c r="E721" i="18"/>
  <c r="F721" i="18"/>
  <c r="C722" i="18"/>
  <c r="D722" i="18"/>
  <c r="E722" i="18"/>
  <c r="F722" i="18"/>
  <c r="C723" i="18"/>
  <c r="D723" i="18"/>
  <c r="E723" i="18"/>
  <c r="F723" i="18"/>
  <c r="C724" i="18"/>
  <c r="D724" i="18"/>
  <c r="E724" i="18"/>
  <c r="F724" i="18"/>
  <c r="C725" i="18"/>
  <c r="D725" i="18"/>
  <c r="E725" i="18"/>
  <c r="F725" i="18"/>
  <c r="C726" i="18"/>
  <c r="D726" i="18"/>
  <c r="E726" i="18"/>
  <c r="F726" i="18"/>
  <c r="C727" i="18"/>
  <c r="D727" i="18"/>
  <c r="E727" i="18"/>
  <c r="F727" i="18"/>
  <c r="C728" i="18"/>
  <c r="D728" i="18"/>
  <c r="E728" i="18"/>
  <c r="F728" i="18"/>
  <c r="C729" i="18"/>
  <c r="D729" i="18"/>
  <c r="E729" i="18"/>
  <c r="F729" i="18"/>
  <c r="C730" i="18"/>
  <c r="D730" i="18"/>
  <c r="E730" i="18"/>
  <c r="F730" i="18"/>
  <c r="C731" i="18"/>
  <c r="D731" i="18"/>
  <c r="E731" i="18"/>
  <c r="F731" i="18"/>
  <c r="C732" i="18"/>
  <c r="D732" i="18"/>
  <c r="E732" i="18"/>
  <c r="F732" i="18"/>
  <c r="C733" i="18"/>
  <c r="D733" i="18"/>
  <c r="E733" i="18"/>
  <c r="F733" i="18"/>
  <c r="C734" i="18"/>
  <c r="D734" i="18"/>
  <c r="E734" i="18"/>
  <c r="F734" i="18"/>
  <c r="C735" i="18"/>
  <c r="D735" i="18"/>
  <c r="E735" i="18"/>
  <c r="F735" i="18"/>
  <c r="C736" i="18"/>
  <c r="D736" i="18"/>
  <c r="E736" i="18"/>
  <c r="F736" i="18"/>
  <c r="C737" i="18"/>
  <c r="D737" i="18"/>
  <c r="E737" i="18"/>
  <c r="F737" i="18"/>
  <c r="C738" i="18"/>
  <c r="D738" i="18"/>
  <c r="E738" i="18"/>
  <c r="F738" i="18"/>
  <c r="C739" i="18"/>
  <c r="D739" i="18"/>
  <c r="E739" i="18"/>
  <c r="F739" i="18"/>
  <c r="C740" i="18"/>
  <c r="D740" i="18"/>
  <c r="E740" i="18"/>
  <c r="F740" i="18"/>
  <c r="C741" i="18"/>
  <c r="D741" i="18"/>
  <c r="E741" i="18"/>
  <c r="F741" i="18"/>
  <c r="C742" i="18"/>
  <c r="D742" i="18"/>
  <c r="E742" i="18"/>
  <c r="F742" i="18"/>
  <c r="C743" i="18"/>
  <c r="D743" i="18"/>
  <c r="E743" i="18"/>
  <c r="F743" i="18"/>
  <c r="C744" i="18"/>
  <c r="D744" i="18"/>
  <c r="E744" i="18"/>
  <c r="F744" i="18"/>
  <c r="C745" i="18"/>
  <c r="D745" i="18"/>
  <c r="E745" i="18"/>
  <c r="F745" i="18"/>
  <c r="C746" i="18"/>
  <c r="D746" i="18"/>
  <c r="E746" i="18"/>
  <c r="F746" i="18"/>
  <c r="C747" i="18"/>
  <c r="D747" i="18"/>
  <c r="E747" i="18"/>
  <c r="F747" i="18"/>
  <c r="C748" i="18"/>
  <c r="D748" i="18"/>
  <c r="E748" i="18"/>
  <c r="F748" i="18"/>
  <c r="C749" i="18"/>
  <c r="D749" i="18"/>
  <c r="E749" i="18"/>
  <c r="F749" i="18"/>
  <c r="C750" i="18"/>
  <c r="D750" i="18"/>
  <c r="E750" i="18"/>
  <c r="F750" i="18"/>
  <c r="C751" i="18"/>
  <c r="D751" i="18"/>
  <c r="E751" i="18"/>
  <c r="F751" i="18"/>
  <c r="C752" i="18"/>
  <c r="D752" i="18"/>
  <c r="E752" i="18"/>
  <c r="F752" i="18"/>
  <c r="C753" i="18"/>
  <c r="D753" i="18"/>
  <c r="E753" i="18"/>
  <c r="F753" i="18"/>
  <c r="C754" i="18"/>
  <c r="D754" i="18"/>
  <c r="E754" i="18"/>
  <c r="F754" i="18"/>
  <c r="C755" i="18"/>
  <c r="D755" i="18"/>
  <c r="E755" i="18"/>
  <c r="F755" i="18"/>
  <c r="C756" i="18"/>
  <c r="D756" i="18"/>
  <c r="E756" i="18"/>
  <c r="F756" i="18"/>
  <c r="C757" i="18"/>
  <c r="D757" i="18"/>
  <c r="E757" i="18"/>
  <c r="F757" i="18"/>
  <c r="C758" i="18"/>
  <c r="D758" i="18"/>
  <c r="E758" i="18"/>
  <c r="F758" i="18"/>
  <c r="C759" i="18"/>
  <c r="D759" i="18"/>
  <c r="E759" i="18"/>
  <c r="F759" i="18"/>
  <c r="C760" i="18"/>
  <c r="D760" i="18"/>
  <c r="E760" i="18"/>
  <c r="F760" i="18"/>
  <c r="C761" i="18"/>
  <c r="D761" i="18"/>
  <c r="E761" i="18"/>
  <c r="F761" i="18"/>
  <c r="C762" i="18"/>
  <c r="D762" i="18"/>
  <c r="E762" i="18"/>
  <c r="F762" i="18"/>
  <c r="C763" i="18"/>
  <c r="D763" i="18"/>
  <c r="E763" i="18"/>
  <c r="F763" i="18"/>
  <c r="C764" i="18"/>
  <c r="D764" i="18"/>
  <c r="E764" i="18"/>
  <c r="F764" i="18"/>
  <c r="C765" i="18"/>
  <c r="D765" i="18"/>
  <c r="E765" i="18"/>
  <c r="F765" i="18"/>
  <c r="C766" i="18"/>
  <c r="D766" i="18"/>
  <c r="E766" i="18"/>
  <c r="F766" i="18"/>
  <c r="C767" i="18"/>
  <c r="D767" i="18"/>
  <c r="E767" i="18"/>
  <c r="F767" i="18"/>
  <c r="C768" i="18"/>
  <c r="D768" i="18"/>
  <c r="E768" i="18"/>
  <c r="F768" i="18"/>
  <c r="C769" i="18"/>
  <c r="D769" i="18"/>
  <c r="E769" i="18"/>
  <c r="F769" i="18"/>
  <c r="C770" i="18"/>
  <c r="D770" i="18"/>
  <c r="E770" i="18"/>
  <c r="F770" i="18"/>
  <c r="C771" i="18"/>
  <c r="D771" i="18"/>
  <c r="E771" i="18"/>
  <c r="F771" i="18"/>
  <c r="C772" i="18"/>
  <c r="D772" i="18"/>
  <c r="E772" i="18"/>
  <c r="F772" i="18"/>
  <c r="C773" i="18"/>
  <c r="D773" i="18"/>
  <c r="E773" i="18"/>
  <c r="F773" i="18"/>
  <c r="C774" i="18"/>
  <c r="D774" i="18"/>
  <c r="E774" i="18"/>
  <c r="F774" i="18"/>
  <c r="C775" i="18"/>
  <c r="D775" i="18"/>
  <c r="E775" i="18"/>
  <c r="F775" i="18"/>
  <c r="C776" i="18"/>
  <c r="D776" i="18"/>
  <c r="E776" i="18"/>
  <c r="F776" i="18"/>
  <c r="C777" i="18"/>
  <c r="D777" i="18"/>
  <c r="E777" i="18"/>
  <c r="F777" i="18"/>
  <c r="C778" i="18"/>
  <c r="D778" i="18"/>
  <c r="E778" i="18"/>
  <c r="F778" i="18"/>
  <c r="C779" i="18"/>
  <c r="D779" i="18"/>
  <c r="E779" i="18"/>
  <c r="F779" i="18"/>
  <c r="C780" i="18"/>
  <c r="D780" i="18"/>
  <c r="E780" i="18"/>
  <c r="F780" i="18"/>
  <c r="C781" i="18"/>
  <c r="D781" i="18"/>
  <c r="E781" i="18"/>
  <c r="F781" i="18"/>
  <c r="C782" i="18"/>
  <c r="D782" i="18"/>
  <c r="E782" i="18"/>
  <c r="F782" i="18"/>
  <c r="C783" i="18"/>
  <c r="D783" i="18"/>
  <c r="E783" i="18"/>
  <c r="F783" i="18"/>
  <c r="C784" i="18"/>
  <c r="D784" i="18"/>
  <c r="E784" i="18"/>
  <c r="F784" i="18"/>
  <c r="C785" i="18"/>
  <c r="D785" i="18"/>
  <c r="E785" i="18"/>
  <c r="F785" i="18"/>
  <c r="C786" i="18"/>
  <c r="D786" i="18"/>
  <c r="E786" i="18"/>
  <c r="F786" i="18"/>
  <c r="C787" i="18"/>
  <c r="D787" i="18"/>
  <c r="E787" i="18"/>
  <c r="F787" i="18"/>
  <c r="C788" i="18"/>
  <c r="D788" i="18"/>
  <c r="E788" i="18"/>
  <c r="F788" i="18"/>
  <c r="C789" i="18"/>
  <c r="D789" i="18"/>
  <c r="E789" i="18"/>
  <c r="F789" i="18"/>
  <c r="C790" i="18"/>
  <c r="D790" i="18"/>
  <c r="E790" i="18"/>
  <c r="F790" i="18"/>
  <c r="C791" i="18"/>
  <c r="D791" i="18"/>
  <c r="E791" i="18"/>
  <c r="F791" i="18"/>
  <c r="C792" i="18"/>
  <c r="D792" i="18"/>
  <c r="E792" i="18"/>
  <c r="F792" i="18"/>
  <c r="C793" i="18"/>
  <c r="D793" i="18"/>
  <c r="E793" i="18"/>
  <c r="F793" i="18"/>
  <c r="C794" i="18"/>
  <c r="D794" i="18"/>
  <c r="E794" i="18"/>
  <c r="F794" i="18"/>
  <c r="C795" i="18"/>
  <c r="D795" i="18"/>
  <c r="E795" i="18"/>
  <c r="F795" i="18"/>
  <c r="C796" i="18"/>
  <c r="D796" i="18"/>
  <c r="E796" i="18"/>
  <c r="F796" i="18"/>
  <c r="C797" i="18"/>
  <c r="D797" i="18"/>
  <c r="E797" i="18"/>
  <c r="F797" i="18"/>
  <c r="C798" i="18"/>
  <c r="D798" i="18"/>
  <c r="E798" i="18"/>
  <c r="F798" i="18"/>
  <c r="C799" i="18"/>
  <c r="D799" i="18"/>
  <c r="E799" i="18"/>
  <c r="F799" i="18"/>
  <c r="C800" i="18"/>
  <c r="D800" i="18"/>
  <c r="E800" i="18"/>
  <c r="F800" i="18"/>
  <c r="C801" i="18"/>
  <c r="D801" i="18"/>
  <c r="E801" i="18"/>
  <c r="F801" i="18"/>
  <c r="C802" i="18"/>
  <c r="D802" i="18"/>
  <c r="E802" i="18"/>
  <c r="F802" i="18"/>
  <c r="C803" i="18"/>
  <c r="D803" i="18"/>
  <c r="E803" i="18"/>
  <c r="F803" i="18"/>
  <c r="C804" i="18"/>
  <c r="D804" i="18"/>
  <c r="E804" i="18"/>
  <c r="F804" i="18"/>
  <c r="C805" i="18"/>
  <c r="D805" i="18"/>
  <c r="E805" i="18"/>
  <c r="F805" i="18"/>
  <c r="C806" i="18"/>
  <c r="D806" i="18"/>
  <c r="E806" i="18"/>
  <c r="F806" i="18"/>
  <c r="C807" i="18"/>
  <c r="D807" i="18"/>
  <c r="E807" i="18"/>
  <c r="F807" i="18"/>
  <c r="C808" i="18"/>
  <c r="D808" i="18"/>
  <c r="E808" i="18"/>
  <c r="F808" i="18"/>
  <c r="C809" i="18"/>
  <c r="D809" i="18"/>
  <c r="E809" i="18"/>
  <c r="F809" i="18"/>
  <c r="C810" i="18"/>
  <c r="D810" i="18"/>
  <c r="E810" i="18"/>
  <c r="F810" i="18"/>
  <c r="C811" i="18"/>
  <c r="D811" i="18"/>
  <c r="E811" i="18"/>
  <c r="F811" i="18"/>
  <c r="C812" i="18"/>
  <c r="D812" i="18"/>
  <c r="E812" i="18"/>
  <c r="F812" i="18"/>
  <c r="C813" i="18"/>
  <c r="D813" i="18"/>
  <c r="E813" i="18"/>
  <c r="F813" i="18"/>
  <c r="C814" i="18"/>
  <c r="D814" i="18"/>
  <c r="E814" i="18"/>
  <c r="F814" i="18"/>
  <c r="C815" i="18"/>
  <c r="D815" i="18"/>
  <c r="E815" i="18"/>
  <c r="F815" i="18"/>
  <c r="C816" i="18"/>
  <c r="D816" i="18"/>
  <c r="E816" i="18"/>
  <c r="F816" i="18"/>
  <c r="C817" i="18"/>
  <c r="D817" i="18"/>
  <c r="E817" i="18"/>
  <c r="F817" i="18"/>
  <c r="C818" i="18"/>
  <c r="D818" i="18"/>
  <c r="E818" i="18"/>
  <c r="F818" i="18"/>
  <c r="C819" i="18"/>
  <c r="D819" i="18"/>
  <c r="E819" i="18"/>
  <c r="F819" i="18"/>
  <c r="C820" i="18"/>
  <c r="D820" i="18"/>
  <c r="E820" i="18"/>
  <c r="F820" i="18"/>
  <c r="C821" i="18"/>
  <c r="D821" i="18"/>
  <c r="E821" i="18"/>
  <c r="F821" i="18"/>
  <c r="C822" i="18"/>
  <c r="D822" i="18"/>
  <c r="E822" i="18"/>
  <c r="F822" i="18"/>
  <c r="C823" i="18"/>
  <c r="D823" i="18"/>
  <c r="E823" i="18"/>
  <c r="F823" i="18"/>
  <c r="C824" i="18"/>
  <c r="D824" i="18"/>
  <c r="E824" i="18"/>
  <c r="F824" i="18"/>
  <c r="C825" i="18"/>
  <c r="D825" i="18"/>
  <c r="E825" i="18"/>
  <c r="F825" i="18"/>
  <c r="C826" i="18"/>
  <c r="D826" i="18"/>
  <c r="E826" i="18"/>
  <c r="F826" i="18"/>
  <c r="C827" i="18"/>
  <c r="D827" i="18"/>
  <c r="E827" i="18"/>
  <c r="F827" i="18"/>
  <c r="C828" i="18"/>
  <c r="D828" i="18"/>
  <c r="E828" i="18"/>
  <c r="F828" i="18"/>
  <c r="C829" i="18"/>
  <c r="D829" i="18"/>
  <c r="E829" i="18"/>
  <c r="F829" i="18"/>
  <c r="C830" i="18"/>
  <c r="D830" i="18"/>
  <c r="E830" i="18"/>
  <c r="F830" i="18"/>
  <c r="C831" i="18"/>
  <c r="D831" i="18"/>
  <c r="E831" i="18"/>
  <c r="F831" i="18"/>
  <c r="C832" i="18"/>
  <c r="D832" i="18"/>
  <c r="E832" i="18"/>
  <c r="F832" i="18"/>
  <c r="C833" i="18"/>
  <c r="D833" i="18"/>
  <c r="E833" i="18"/>
  <c r="F833" i="18"/>
  <c r="C834" i="18"/>
  <c r="D834" i="18"/>
  <c r="E834" i="18"/>
  <c r="F834" i="18"/>
  <c r="C835" i="18"/>
  <c r="D835" i="18"/>
  <c r="E835" i="18"/>
  <c r="F835" i="18"/>
  <c r="C836" i="18"/>
  <c r="D836" i="18"/>
  <c r="E836" i="18"/>
  <c r="F836" i="18"/>
  <c r="C837" i="18"/>
  <c r="D837" i="18"/>
  <c r="E837" i="18"/>
  <c r="F837" i="18"/>
  <c r="C838" i="18"/>
  <c r="D838" i="18"/>
  <c r="E838" i="18"/>
  <c r="F838" i="18"/>
  <c r="C839" i="18"/>
  <c r="D839" i="18"/>
  <c r="E839" i="18"/>
  <c r="F839" i="18"/>
  <c r="C840" i="18"/>
  <c r="D840" i="18"/>
  <c r="E840" i="18"/>
  <c r="F840" i="18"/>
  <c r="C841" i="18"/>
  <c r="D841" i="18"/>
  <c r="E841" i="18"/>
  <c r="F841" i="18"/>
  <c r="C842" i="18"/>
  <c r="D842" i="18"/>
  <c r="E842" i="18"/>
  <c r="F842" i="18"/>
  <c r="C843" i="18"/>
  <c r="D843" i="18"/>
  <c r="E843" i="18"/>
  <c r="F843" i="18"/>
  <c r="C844" i="18"/>
  <c r="D844" i="18"/>
  <c r="E844" i="18"/>
  <c r="F844" i="18"/>
  <c r="C845" i="18"/>
  <c r="D845" i="18"/>
  <c r="E845" i="18"/>
  <c r="F845" i="18"/>
  <c r="C846" i="18"/>
  <c r="D846" i="18"/>
  <c r="E846" i="18"/>
  <c r="F846" i="18"/>
  <c r="C847" i="18"/>
  <c r="D847" i="18"/>
  <c r="E847" i="18"/>
  <c r="F847" i="18"/>
  <c r="C848" i="18"/>
  <c r="D848" i="18"/>
  <c r="E848" i="18"/>
  <c r="F848" i="18"/>
  <c r="C849" i="18"/>
  <c r="D849" i="18"/>
  <c r="E849" i="18"/>
  <c r="F849" i="18"/>
  <c r="C850" i="18"/>
  <c r="D850" i="18"/>
  <c r="E850" i="18"/>
  <c r="F850" i="18"/>
  <c r="C851" i="18"/>
  <c r="D851" i="18"/>
  <c r="E851" i="18"/>
  <c r="F851" i="18"/>
  <c r="C852" i="18"/>
  <c r="D852" i="18"/>
  <c r="E852" i="18"/>
  <c r="F852" i="18"/>
  <c r="C853" i="18"/>
  <c r="D853" i="18"/>
  <c r="E853" i="18"/>
  <c r="F853" i="18"/>
  <c r="C854" i="18"/>
  <c r="D854" i="18"/>
  <c r="E854" i="18"/>
  <c r="F854" i="18"/>
  <c r="C855" i="18"/>
  <c r="D855" i="18"/>
  <c r="E855" i="18"/>
  <c r="F855" i="18"/>
  <c r="C856" i="18"/>
  <c r="D856" i="18"/>
  <c r="E856" i="18"/>
  <c r="F856" i="18"/>
  <c r="C857" i="18"/>
  <c r="D857" i="18"/>
  <c r="E857" i="18"/>
  <c r="F857" i="18"/>
  <c r="C858" i="18"/>
  <c r="D858" i="18"/>
  <c r="E858" i="18"/>
  <c r="F858" i="18"/>
  <c r="C859" i="18"/>
  <c r="D859" i="18"/>
  <c r="E859" i="18"/>
  <c r="F859" i="18"/>
  <c r="C860" i="18"/>
  <c r="D860" i="18"/>
  <c r="E860" i="18"/>
  <c r="F860" i="18"/>
  <c r="C861" i="18"/>
  <c r="D861" i="18"/>
  <c r="E861" i="18"/>
  <c r="F861" i="18"/>
  <c r="C862" i="18"/>
  <c r="D862" i="18"/>
  <c r="E862" i="18"/>
  <c r="F862" i="18"/>
  <c r="C863" i="18"/>
  <c r="D863" i="18"/>
  <c r="E863" i="18"/>
  <c r="F863" i="18"/>
  <c r="C864" i="18"/>
  <c r="D864" i="18"/>
  <c r="E864" i="18"/>
  <c r="F864" i="18"/>
  <c r="C865" i="18"/>
  <c r="D865" i="18"/>
  <c r="E865" i="18"/>
  <c r="F865" i="18"/>
  <c r="C866" i="18"/>
  <c r="D866" i="18"/>
  <c r="E866" i="18"/>
  <c r="F866" i="18"/>
  <c r="C867" i="18"/>
  <c r="D867" i="18"/>
  <c r="E867" i="18"/>
  <c r="F867" i="18"/>
  <c r="C868" i="18"/>
  <c r="D868" i="18"/>
  <c r="E868" i="18"/>
  <c r="F868" i="18"/>
  <c r="C869" i="18"/>
  <c r="D869" i="18"/>
  <c r="E869" i="18"/>
  <c r="F869" i="18"/>
  <c r="C870" i="18"/>
  <c r="D870" i="18"/>
  <c r="E870" i="18"/>
  <c r="F870" i="18"/>
  <c r="C871" i="18"/>
  <c r="D871" i="18"/>
  <c r="E871" i="18"/>
  <c r="F871" i="18"/>
  <c r="C872" i="18"/>
  <c r="D872" i="18"/>
  <c r="E872" i="18"/>
  <c r="F872" i="18"/>
  <c r="C873" i="18"/>
  <c r="D873" i="18"/>
  <c r="E873" i="18"/>
  <c r="F873" i="18"/>
  <c r="C874" i="18"/>
  <c r="D874" i="18"/>
  <c r="E874" i="18"/>
  <c r="F874" i="18"/>
  <c r="C875" i="18"/>
  <c r="D875" i="18"/>
  <c r="E875" i="18"/>
  <c r="F875" i="18"/>
  <c r="C876" i="18"/>
  <c r="D876" i="18"/>
  <c r="E876" i="18"/>
  <c r="F876" i="18"/>
  <c r="C877" i="18"/>
  <c r="D877" i="18"/>
  <c r="E877" i="18"/>
  <c r="F877" i="18"/>
  <c r="C878" i="18"/>
  <c r="D878" i="18"/>
  <c r="E878" i="18"/>
  <c r="F878" i="18"/>
  <c r="C879" i="18"/>
  <c r="D879" i="18"/>
  <c r="E879" i="18"/>
  <c r="F879" i="18"/>
  <c r="C880" i="18"/>
  <c r="D880" i="18"/>
  <c r="E880" i="18"/>
  <c r="F880" i="18"/>
  <c r="C881" i="18"/>
  <c r="D881" i="18"/>
  <c r="E881" i="18"/>
  <c r="F881" i="18"/>
  <c r="C882" i="18"/>
  <c r="D882" i="18"/>
  <c r="E882" i="18"/>
  <c r="F882" i="18"/>
  <c r="C883" i="18"/>
  <c r="D883" i="18"/>
  <c r="E883" i="18"/>
  <c r="F883" i="18"/>
  <c r="C884" i="18"/>
  <c r="D884" i="18"/>
  <c r="E884" i="18"/>
  <c r="F884" i="18"/>
  <c r="C885" i="18"/>
  <c r="D885" i="18"/>
  <c r="E885" i="18"/>
  <c r="F885" i="18"/>
  <c r="C886" i="18"/>
  <c r="D886" i="18"/>
  <c r="E886" i="18"/>
  <c r="F886" i="18"/>
  <c r="C887" i="18"/>
  <c r="D887" i="18"/>
  <c r="E887" i="18"/>
  <c r="F887" i="18"/>
  <c r="C888" i="18"/>
  <c r="D888" i="18"/>
  <c r="E888" i="18"/>
  <c r="F888" i="18"/>
  <c r="C889" i="18"/>
  <c r="D889" i="18"/>
  <c r="E889" i="18"/>
  <c r="F889" i="18"/>
  <c r="C890" i="18"/>
  <c r="D890" i="18"/>
  <c r="E890" i="18"/>
  <c r="F890" i="18"/>
  <c r="C891" i="18"/>
  <c r="D891" i="18"/>
  <c r="E891" i="18"/>
  <c r="F891" i="18"/>
  <c r="C892" i="18"/>
  <c r="D892" i="18"/>
  <c r="E892" i="18"/>
  <c r="F892" i="18"/>
  <c r="C893" i="18"/>
  <c r="D893" i="18"/>
  <c r="E893" i="18"/>
  <c r="F893" i="18"/>
  <c r="C894" i="18"/>
  <c r="D894" i="18"/>
  <c r="E894" i="18"/>
  <c r="F894" i="18"/>
  <c r="C895" i="18"/>
  <c r="D895" i="18"/>
  <c r="E895" i="18"/>
  <c r="F895" i="18"/>
  <c r="C896" i="18"/>
  <c r="D896" i="18"/>
  <c r="E896" i="18"/>
  <c r="F896" i="18"/>
  <c r="C897" i="18"/>
  <c r="D897" i="18"/>
  <c r="E897" i="18"/>
  <c r="F897" i="18"/>
  <c r="C898" i="18"/>
  <c r="D898" i="18"/>
  <c r="E898" i="18"/>
  <c r="F898" i="18"/>
  <c r="C899" i="18"/>
  <c r="D899" i="18"/>
  <c r="E899" i="18"/>
  <c r="F899" i="18"/>
  <c r="C900" i="18"/>
  <c r="D900" i="18"/>
  <c r="E900" i="18"/>
  <c r="F900" i="18"/>
  <c r="C901" i="18"/>
  <c r="D901" i="18"/>
  <c r="E901" i="18"/>
  <c r="F901" i="18"/>
  <c r="C902" i="18"/>
  <c r="D902" i="18"/>
  <c r="E902" i="18"/>
  <c r="F902" i="18"/>
  <c r="C903" i="18"/>
  <c r="D903" i="18"/>
  <c r="E903" i="18"/>
  <c r="F903" i="18"/>
  <c r="C904" i="18"/>
  <c r="D904" i="18"/>
  <c r="E904" i="18"/>
  <c r="F904" i="18"/>
  <c r="C905" i="18"/>
  <c r="D905" i="18"/>
  <c r="E905" i="18"/>
  <c r="F905" i="18"/>
  <c r="C906" i="18"/>
  <c r="D906" i="18"/>
  <c r="E906" i="18"/>
  <c r="F906" i="18"/>
  <c r="C907" i="18"/>
  <c r="D907" i="18"/>
  <c r="E907" i="18"/>
  <c r="F907" i="18"/>
  <c r="C908" i="18"/>
  <c r="D908" i="18"/>
  <c r="E908" i="18"/>
  <c r="F908" i="18"/>
  <c r="C909" i="18"/>
  <c r="D909" i="18"/>
  <c r="E909" i="18"/>
  <c r="F909" i="18"/>
  <c r="C910" i="18"/>
  <c r="D910" i="18"/>
  <c r="E910" i="18"/>
  <c r="F910" i="18"/>
  <c r="C911" i="18"/>
  <c r="D911" i="18"/>
  <c r="E911" i="18"/>
  <c r="F911" i="18"/>
  <c r="C912" i="18"/>
  <c r="D912" i="18"/>
  <c r="E912" i="18"/>
  <c r="F912" i="18"/>
  <c r="C913" i="18"/>
  <c r="D913" i="18"/>
  <c r="E913" i="18"/>
  <c r="F913" i="18"/>
  <c r="C914" i="18"/>
  <c r="D914" i="18"/>
  <c r="E914" i="18"/>
  <c r="F914" i="18"/>
  <c r="C915" i="18"/>
  <c r="D915" i="18"/>
  <c r="E915" i="18"/>
  <c r="F915" i="18"/>
  <c r="C916" i="18"/>
  <c r="D916" i="18"/>
  <c r="E916" i="18"/>
  <c r="F916" i="18"/>
  <c r="C917" i="18"/>
  <c r="D917" i="18"/>
  <c r="E917" i="18"/>
  <c r="F917" i="18"/>
  <c r="C918" i="18"/>
  <c r="D918" i="18"/>
  <c r="E918" i="18"/>
  <c r="F918" i="18"/>
  <c r="C919" i="18"/>
  <c r="D919" i="18"/>
  <c r="E919" i="18"/>
  <c r="F919" i="18"/>
  <c r="C920" i="18"/>
  <c r="D920" i="18"/>
  <c r="E920" i="18"/>
  <c r="F920" i="18"/>
  <c r="C921" i="18"/>
  <c r="D921" i="18"/>
  <c r="E921" i="18"/>
  <c r="F921" i="18"/>
  <c r="C922" i="18"/>
  <c r="D922" i="18"/>
  <c r="E922" i="18"/>
  <c r="F922" i="18"/>
  <c r="C923" i="18"/>
  <c r="D923" i="18"/>
  <c r="E923" i="18"/>
  <c r="F923" i="18"/>
  <c r="C924" i="18"/>
  <c r="D924" i="18"/>
  <c r="E924" i="18"/>
  <c r="F924" i="18"/>
  <c r="C925" i="18"/>
  <c r="D925" i="18"/>
  <c r="E925" i="18"/>
  <c r="F925" i="18"/>
  <c r="C926" i="18"/>
  <c r="D926" i="18"/>
  <c r="E926" i="18"/>
  <c r="F926" i="18"/>
  <c r="C927" i="18"/>
  <c r="D927" i="18"/>
  <c r="E927" i="18"/>
  <c r="F927" i="18"/>
  <c r="C928" i="18"/>
  <c r="D928" i="18"/>
  <c r="E928" i="18"/>
  <c r="F928" i="18"/>
  <c r="C929" i="18"/>
  <c r="D929" i="18"/>
  <c r="E929" i="18"/>
  <c r="F929" i="18"/>
  <c r="C930" i="18"/>
  <c r="D930" i="18"/>
  <c r="E930" i="18"/>
  <c r="F930" i="18"/>
  <c r="C931" i="18"/>
  <c r="D931" i="18"/>
  <c r="E931" i="18"/>
  <c r="F931" i="18"/>
  <c r="C932" i="18"/>
  <c r="D932" i="18"/>
  <c r="E932" i="18"/>
  <c r="F932" i="18"/>
  <c r="C933" i="18"/>
  <c r="D933" i="18"/>
  <c r="E933" i="18"/>
  <c r="F933" i="18"/>
  <c r="C934" i="18"/>
  <c r="D934" i="18"/>
  <c r="E934" i="18"/>
  <c r="F934" i="18"/>
  <c r="C935" i="18"/>
  <c r="D935" i="18"/>
  <c r="E935" i="18"/>
  <c r="F935" i="18"/>
  <c r="C936" i="18"/>
  <c r="D936" i="18"/>
  <c r="E936" i="18"/>
  <c r="F936" i="18"/>
  <c r="C937" i="18"/>
  <c r="D937" i="18"/>
  <c r="E937" i="18"/>
  <c r="F937" i="18"/>
  <c r="C938" i="18"/>
  <c r="D938" i="18"/>
  <c r="E938" i="18"/>
  <c r="F938" i="18"/>
  <c r="C939" i="18"/>
  <c r="D939" i="18"/>
  <c r="E939" i="18"/>
  <c r="F939" i="18"/>
  <c r="C940" i="18"/>
  <c r="D940" i="18"/>
  <c r="E940" i="18"/>
  <c r="F940" i="18"/>
  <c r="C941" i="18"/>
  <c r="D941" i="18"/>
  <c r="E941" i="18"/>
  <c r="F941" i="18"/>
  <c r="C942" i="18"/>
  <c r="D942" i="18"/>
  <c r="E942" i="18"/>
  <c r="F942" i="18"/>
  <c r="C943" i="18"/>
  <c r="D943" i="18"/>
  <c r="E943" i="18"/>
  <c r="F943" i="18"/>
  <c r="C944" i="18"/>
  <c r="D944" i="18"/>
  <c r="E944" i="18"/>
  <c r="F944" i="18"/>
  <c r="C945" i="18"/>
  <c r="D945" i="18"/>
  <c r="E945" i="18"/>
  <c r="F945" i="18"/>
  <c r="C946" i="18"/>
  <c r="D946" i="18"/>
  <c r="E946" i="18"/>
  <c r="F946" i="18"/>
  <c r="C947" i="18"/>
  <c r="D947" i="18"/>
  <c r="E947" i="18"/>
  <c r="F947" i="18"/>
  <c r="C948" i="18"/>
  <c r="D948" i="18"/>
  <c r="E948" i="18"/>
  <c r="F948" i="18"/>
  <c r="C949" i="18"/>
  <c r="D949" i="18"/>
  <c r="E949" i="18"/>
  <c r="F949" i="18"/>
  <c r="C950" i="18"/>
  <c r="D950" i="18"/>
  <c r="E950" i="18"/>
  <c r="F950" i="18"/>
  <c r="C951" i="18"/>
  <c r="D951" i="18"/>
  <c r="E951" i="18"/>
  <c r="F951" i="18"/>
  <c r="C952" i="18"/>
  <c r="D952" i="18"/>
  <c r="E952" i="18"/>
  <c r="F952" i="18"/>
  <c r="C953" i="18"/>
  <c r="D953" i="18"/>
  <c r="E953" i="18"/>
  <c r="F953" i="18"/>
  <c r="C954" i="18"/>
  <c r="D954" i="18"/>
  <c r="E954" i="18"/>
  <c r="F954" i="18"/>
  <c r="C955" i="18"/>
  <c r="D955" i="18"/>
  <c r="E955" i="18"/>
  <c r="F955" i="18"/>
  <c r="C956" i="18"/>
  <c r="D956" i="18"/>
  <c r="E956" i="18"/>
  <c r="F956" i="18"/>
  <c r="C957" i="18"/>
  <c r="D957" i="18"/>
  <c r="E957" i="18"/>
  <c r="F957" i="18"/>
  <c r="C958" i="18"/>
  <c r="D958" i="18"/>
  <c r="E958" i="18"/>
  <c r="F958" i="18"/>
  <c r="C959" i="18"/>
  <c r="D959" i="18"/>
  <c r="E959" i="18"/>
  <c r="F959" i="18"/>
  <c r="C960" i="18"/>
  <c r="D960" i="18"/>
  <c r="E960" i="18"/>
  <c r="F960" i="18"/>
  <c r="C961" i="18"/>
  <c r="D961" i="18"/>
  <c r="E961" i="18"/>
  <c r="F961" i="18"/>
  <c r="C962" i="18"/>
  <c r="D962" i="18"/>
  <c r="E962" i="18"/>
  <c r="F962" i="18"/>
  <c r="C963" i="18"/>
  <c r="D963" i="18"/>
  <c r="E963" i="18"/>
  <c r="F963" i="18"/>
  <c r="C964" i="18"/>
  <c r="D964" i="18"/>
  <c r="E964" i="18"/>
  <c r="F964" i="18"/>
  <c r="C965" i="18"/>
  <c r="D965" i="18"/>
  <c r="E965" i="18"/>
  <c r="F965" i="18"/>
  <c r="C966" i="18"/>
  <c r="D966" i="18"/>
  <c r="E966" i="18"/>
  <c r="F966" i="18"/>
  <c r="C967" i="18"/>
  <c r="D967" i="18"/>
  <c r="E967" i="18"/>
  <c r="F967" i="18"/>
  <c r="C968" i="18"/>
  <c r="D968" i="18"/>
  <c r="E968" i="18"/>
  <c r="F968" i="18"/>
  <c r="C969" i="18"/>
  <c r="D969" i="18"/>
  <c r="E969" i="18"/>
  <c r="F969" i="18"/>
  <c r="C970" i="18"/>
  <c r="D970" i="18"/>
  <c r="E970" i="18"/>
  <c r="F970" i="18"/>
  <c r="C971" i="18"/>
  <c r="D971" i="18"/>
  <c r="E971" i="18"/>
  <c r="F971" i="18"/>
  <c r="C972" i="18"/>
  <c r="D972" i="18"/>
  <c r="E972" i="18"/>
  <c r="F972" i="18"/>
  <c r="C973" i="18"/>
  <c r="D973" i="18"/>
  <c r="E973" i="18"/>
  <c r="F973" i="18"/>
  <c r="C974" i="18"/>
  <c r="D974" i="18"/>
  <c r="E974" i="18"/>
  <c r="F974" i="18"/>
  <c r="C975" i="18"/>
  <c r="D975" i="18"/>
  <c r="E975" i="18"/>
  <c r="F975" i="18"/>
  <c r="C976" i="18"/>
  <c r="D976" i="18"/>
  <c r="E976" i="18"/>
  <c r="F976" i="18"/>
  <c r="C977" i="18"/>
  <c r="D977" i="18"/>
  <c r="E977" i="18"/>
  <c r="F977" i="18"/>
  <c r="C978" i="18"/>
  <c r="D978" i="18"/>
  <c r="E978" i="18"/>
  <c r="F978" i="18"/>
  <c r="C979" i="18"/>
  <c r="D979" i="18"/>
  <c r="E979" i="18"/>
  <c r="F979" i="18"/>
  <c r="C980" i="18"/>
  <c r="D980" i="18"/>
  <c r="E980" i="18"/>
  <c r="F980" i="18"/>
  <c r="C981" i="18"/>
  <c r="D981" i="18"/>
  <c r="E981" i="18"/>
  <c r="F981" i="18"/>
  <c r="C982" i="18"/>
  <c r="D982" i="18"/>
  <c r="E982" i="18"/>
  <c r="F982" i="18"/>
  <c r="C983" i="18"/>
  <c r="D983" i="18"/>
  <c r="E983" i="18"/>
  <c r="F983" i="18"/>
  <c r="C984" i="18"/>
  <c r="D984" i="18"/>
  <c r="E984" i="18"/>
  <c r="F984" i="18"/>
  <c r="C985" i="18"/>
  <c r="D985" i="18"/>
  <c r="E985" i="18"/>
  <c r="F985" i="18"/>
  <c r="C986" i="18"/>
  <c r="D986" i="18"/>
  <c r="E986" i="18"/>
  <c r="F986" i="18"/>
  <c r="C987" i="18"/>
  <c r="D987" i="18"/>
  <c r="E987" i="18"/>
  <c r="F987" i="18"/>
  <c r="C988" i="18"/>
  <c r="D988" i="18"/>
  <c r="E988" i="18"/>
  <c r="F988" i="18"/>
  <c r="C989" i="18"/>
  <c r="D989" i="18"/>
  <c r="E989" i="18"/>
  <c r="F989" i="18"/>
  <c r="C990" i="18"/>
  <c r="D990" i="18"/>
  <c r="E990" i="18"/>
  <c r="F990" i="18"/>
  <c r="C991" i="18"/>
  <c r="D991" i="18"/>
  <c r="E991" i="18"/>
  <c r="F991" i="18"/>
  <c r="C992" i="18"/>
  <c r="D992" i="18"/>
  <c r="E992" i="18"/>
  <c r="F992" i="18"/>
  <c r="C993" i="18"/>
  <c r="D993" i="18"/>
  <c r="E993" i="18"/>
  <c r="F993" i="18"/>
  <c r="C994" i="18"/>
  <c r="D994" i="18"/>
  <c r="E994" i="18"/>
  <c r="F994" i="18"/>
  <c r="C995" i="18"/>
  <c r="D995" i="18"/>
  <c r="E995" i="18"/>
  <c r="F995" i="18"/>
  <c r="C996" i="18"/>
  <c r="D996" i="18"/>
  <c r="E996" i="18"/>
  <c r="F996" i="18"/>
  <c r="C997" i="18"/>
  <c r="D997" i="18"/>
  <c r="E997" i="18"/>
  <c r="F997" i="18"/>
  <c r="C998" i="18"/>
  <c r="D998" i="18"/>
  <c r="E998" i="18"/>
  <c r="F998" i="18"/>
  <c r="C999" i="18"/>
  <c r="D999" i="18"/>
  <c r="E999" i="18"/>
  <c r="F999" i="18"/>
  <c r="C1000" i="18"/>
  <c r="D1000" i="18"/>
  <c r="E1000" i="18"/>
  <c r="F1000" i="18"/>
  <c r="C1001" i="18"/>
  <c r="D1001" i="18"/>
  <c r="E1001" i="18"/>
  <c r="F1001" i="18"/>
  <c r="C1002" i="18"/>
  <c r="D1002" i="18"/>
  <c r="E1002" i="18"/>
  <c r="F1002" i="18"/>
  <c r="C1003" i="18"/>
  <c r="D1003" i="18"/>
  <c r="E1003" i="18"/>
  <c r="F1003" i="18"/>
  <c r="C1004" i="18"/>
  <c r="D1004" i="18"/>
  <c r="E1004" i="18"/>
  <c r="F1004" i="18"/>
  <c r="C1005" i="18"/>
  <c r="D1005" i="18"/>
  <c r="E1005" i="18"/>
  <c r="F1005" i="18"/>
  <c r="C1006" i="18"/>
  <c r="D1006" i="18"/>
  <c r="E1006" i="18"/>
  <c r="F1006" i="18"/>
  <c r="C1007" i="18"/>
  <c r="D1007" i="18"/>
  <c r="E1007" i="18"/>
  <c r="F1007" i="18"/>
  <c r="C1008" i="18"/>
  <c r="D1008" i="18"/>
  <c r="E1008" i="18"/>
  <c r="F1008" i="18"/>
  <c r="C1009" i="18"/>
  <c r="D1009" i="18"/>
  <c r="E1009" i="18"/>
  <c r="F1009" i="18"/>
  <c r="C1010" i="18"/>
  <c r="D1010" i="18"/>
  <c r="E1010" i="18"/>
  <c r="F1010" i="18"/>
  <c r="C1011" i="18"/>
  <c r="D1011" i="18"/>
  <c r="E1011" i="18"/>
  <c r="F1011" i="18"/>
  <c r="C1012" i="18"/>
  <c r="D1012" i="18"/>
  <c r="E1012" i="18"/>
  <c r="F1012" i="18"/>
  <c r="C1013" i="18"/>
  <c r="D1013" i="18"/>
  <c r="E1013" i="18"/>
  <c r="F1013" i="18"/>
  <c r="C1014" i="18"/>
  <c r="D1014" i="18"/>
  <c r="E1014" i="18"/>
  <c r="F1014" i="18"/>
  <c r="C1015" i="18"/>
  <c r="D1015" i="18"/>
  <c r="E1015" i="18"/>
  <c r="F1015" i="18"/>
  <c r="C1016" i="18"/>
  <c r="D1016" i="18"/>
  <c r="E1016" i="18"/>
  <c r="F1016" i="18"/>
  <c r="C1017" i="18"/>
  <c r="D1017" i="18"/>
  <c r="E1017" i="18"/>
  <c r="F1017" i="18"/>
  <c r="C1018" i="18"/>
  <c r="D1018" i="18"/>
  <c r="E1018" i="18"/>
  <c r="F1018" i="18"/>
  <c r="C1019" i="18"/>
  <c r="D1019" i="18"/>
  <c r="E1019" i="18"/>
  <c r="F1019" i="18"/>
  <c r="C1020" i="18"/>
  <c r="D1020" i="18"/>
  <c r="E1020" i="18"/>
  <c r="F1020" i="18"/>
  <c r="C1021" i="18"/>
  <c r="D1021" i="18"/>
  <c r="E1021" i="18"/>
  <c r="F1021" i="18"/>
  <c r="C1022" i="18"/>
  <c r="D1022" i="18"/>
  <c r="E1022" i="18"/>
  <c r="F1022" i="18"/>
  <c r="C1023" i="18"/>
  <c r="D1023" i="18"/>
  <c r="E1023" i="18"/>
  <c r="F1023" i="18"/>
  <c r="C1024" i="18"/>
  <c r="D1024" i="18"/>
  <c r="E1024" i="18"/>
  <c r="F1024" i="18"/>
  <c r="C1025" i="18"/>
  <c r="D1025" i="18"/>
  <c r="E1025" i="18"/>
  <c r="F1025" i="18"/>
  <c r="C1026" i="18"/>
  <c r="D1026" i="18"/>
  <c r="E1026" i="18"/>
  <c r="F1026" i="18"/>
  <c r="C1027" i="18"/>
  <c r="D1027" i="18"/>
  <c r="E1027" i="18"/>
  <c r="F1027" i="18"/>
  <c r="C1028" i="18"/>
  <c r="D1028" i="18"/>
  <c r="E1028" i="18"/>
  <c r="F1028" i="18"/>
  <c r="C1029" i="18"/>
  <c r="D1029" i="18"/>
  <c r="E1029" i="18"/>
  <c r="F1029" i="18"/>
  <c r="C1030" i="18"/>
  <c r="D1030" i="18"/>
  <c r="E1030" i="18"/>
  <c r="F1030" i="18"/>
  <c r="C1031" i="18"/>
  <c r="D1031" i="18"/>
  <c r="E1031" i="18"/>
  <c r="F1031" i="18"/>
  <c r="C1032" i="18"/>
  <c r="D1032" i="18"/>
  <c r="E1032" i="18"/>
  <c r="F1032" i="18"/>
  <c r="D6" i="18"/>
  <c r="E6" i="18"/>
  <c r="F6" i="18"/>
  <c r="C6" i="18"/>
  <c r="F5" i="18"/>
  <c r="D5" i="18"/>
  <c r="E5" i="18"/>
  <c r="C5" i="18"/>
  <c r="B6" i="18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B103" i="18" s="1"/>
  <c r="B104" i="18" s="1"/>
  <c r="B105" i="18" s="1"/>
  <c r="B106" i="18" s="1"/>
  <c r="B107" i="18" s="1"/>
  <c r="B108" i="18" s="1"/>
  <c r="B109" i="18" s="1"/>
  <c r="B110" i="18" s="1"/>
  <c r="B111" i="18" s="1"/>
  <c r="B112" i="18" s="1"/>
  <c r="B113" i="18" s="1"/>
  <c r="B114" i="18" s="1"/>
  <c r="B115" i="18" s="1"/>
  <c r="B116" i="18" s="1"/>
  <c r="B117" i="18" s="1"/>
  <c r="B118" i="18" s="1"/>
  <c r="B119" i="18" s="1"/>
  <c r="B120" i="18" s="1"/>
  <c r="B121" i="18" s="1"/>
  <c r="B122" i="18" s="1"/>
  <c r="B123" i="18" s="1"/>
  <c r="B124" i="18" s="1"/>
  <c r="B125" i="18" s="1"/>
  <c r="B126" i="18" s="1"/>
  <c r="B127" i="18" s="1"/>
  <c r="B128" i="18" s="1"/>
  <c r="B129" i="18" s="1"/>
  <c r="B130" i="18" s="1"/>
  <c r="B131" i="18" s="1"/>
  <c r="B132" i="18" s="1"/>
  <c r="B133" i="18" s="1"/>
  <c r="B134" i="18" s="1"/>
  <c r="B135" i="18" s="1"/>
  <c r="B136" i="18" s="1"/>
  <c r="B137" i="18" s="1"/>
  <c r="B138" i="18" s="1"/>
  <c r="B139" i="18" s="1"/>
  <c r="B140" i="18" s="1"/>
  <c r="B141" i="18" s="1"/>
  <c r="B142" i="18" s="1"/>
  <c r="B143" i="18" s="1"/>
  <c r="B144" i="18" s="1"/>
  <c r="B145" i="18" s="1"/>
  <c r="B146" i="18" s="1"/>
  <c r="B147" i="18" s="1"/>
  <c r="B148" i="18" s="1"/>
  <c r="B149" i="18" s="1"/>
  <c r="B150" i="18" s="1"/>
  <c r="B151" i="18" s="1"/>
  <c r="B152" i="18" s="1"/>
  <c r="B153" i="18" s="1"/>
  <c r="B154" i="18" s="1"/>
  <c r="B155" i="18" s="1"/>
  <c r="B156" i="18" s="1"/>
  <c r="B157" i="18" s="1"/>
  <c r="B158" i="18" s="1"/>
  <c r="B159" i="18" s="1"/>
  <c r="B160" i="18" s="1"/>
  <c r="B161" i="18" s="1"/>
  <c r="B162" i="18" s="1"/>
  <c r="B163" i="18" s="1"/>
  <c r="B164" i="18" s="1"/>
  <c r="B165" i="18" s="1"/>
  <c r="B166" i="18" s="1"/>
  <c r="B167" i="18" s="1"/>
  <c r="B168" i="18" s="1"/>
  <c r="B169" i="18" s="1"/>
  <c r="B170" i="18" s="1"/>
  <c r="B171" i="18" s="1"/>
  <c r="B172" i="18" s="1"/>
  <c r="B173" i="18" s="1"/>
  <c r="B174" i="18" s="1"/>
  <c r="B175" i="18" s="1"/>
  <c r="B176" i="18" s="1"/>
  <c r="B177" i="18" s="1"/>
  <c r="B178" i="18" s="1"/>
  <c r="B179" i="18" s="1"/>
  <c r="B180" i="18" s="1"/>
  <c r="B181" i="18" s="1"/>
  <c r="B182" i="18" s="1"/>
  <c r="B183" i="18" s="1"/>
  <c r="B184" i="18" s="1"/>
  <c r="B185" i="18" s="1"/>
  <c r="B186" i="18" s="1"/>
  <c r="B187" i="18" s="1"/>
  <c r="B188" i="18" s="1"/>
  <c r="B189" i="18" s="1"/>
  <c r="B190" i="18" s="1"/>
  <c r="B191" i="18" s="1"/>
  <c r="B192" i="18" s="1"/>
  <c r="B193" i="18" s="1"/>
  <c r="B194" i="18" s="1"/>
  <c r="B195" i="18" s="1"/>
  <c r="B196" i="18" s="1"/>
  <c r="B197" i="18" s="1"/>
  <c r="B198" i="18" s="1"/>
  <c r="B199" i="18" s="1"/>
  <c r="B200" i="18" s="1"/>
  <c r="B201" i="18" s="1"/>
  <c r="B202" i="18" s="1"/>
  <c r="B203" i="18" s="1"/>
  <c r="B204" i="18" s="1"/>
  <c r="B205" i="18" s="1"/>
  <c r="B206" i="18" s="1"/>
  <c r="B207" i="18" s="1"/>
  <c r="B208" i="18" s="1"/>
  <c r="B209" i="18" s="1"/>
  <c r="B210" i="18" s="1"/>
  <c r="B211" i="18" s="1"/>
  <c r="B212" i="18" s="1"/>
  <c r="B213" i="18" s="1"/>
  <c r="B214" i="18" s="1"/>
  <c r="B215" i="18" s="1"/>
  <c r="B216" i="18" s="1"/>
  <c r="B217" i="18" s="1"/>
  <c r="B218" i="18" s="1"/>
  <c r="B219" i="18" s="1"/>
  <c r="B220" i="18" s="1"/>
  <c r="B221" i="18" s="1"/>
  <c r="B222" i="18" s="1"/>
  <c r="B223" i="18" s="1"/>
  <c r="B224" i="18" s="1"/>
  <c r="B225" i="18" s="1"/>
  <c r="B226" i="18" s="1"/>
  <c r="B227" i="18" s="1"/>
  <c r="B228" i="18" s="1"/>
  <c r="B229" i="18" s="1"/>
  <c r="B230" i="18" s="1"/>
  <c r="B231" i="18" s="1"/>
  <c r="B232" i="18" s="1"/>
  <c r="B233" i="18" s="1"/>
  <c r="B234" i="18" s="1"/>
  <c r="B235" i="18" s="1"/>
  <c r="B236" i="18" s="1"/>
  <c r="B237" i="18" s="1"/>
  <c r="B238" i="18" s="1"/>
  <c r="B239" i="18" s="1"/>
  <c r="B240" i="18" s="1"/>
  <c r="B241" i="18" s="1"/>
  <c r="B242" i="18" s="1"/>
  <c r="B243" i="18" s="1"/>
  <c r="B244" i="18" s="1"/>
  <c r="B245" i="18" s="1"/>
  <c r="B246" i="18" s="1"/>
  <c r="B247" i="18" s="1"/>
  <c r="B248" i="18" s="1"/>
  <c r="B249" i="18" s="1"/>
  <c r="B250" i="18" s="1"/>
  <c r="B251" i="18" s="1"/>
  <c r="B252" i="18" s="1"/>
  <c r="B253" i="18" s="1"/>
  <c r="B254" i="18" s="1"/>
  <c r="B255" i="18" s="1"/>
  <c r="B256" i="18" s="1"/>
  <c r="B257" i="18" s="1"/>
  <c r="B258" i="18" s="1"/>
  <c r="B259" i="18" s="1"/>
  <c r="B260" i="18" s="1"/>
  <c r="B261" i="18" s="1"/>
  <c r="B262" i="18" s="1"/>
  <c r="B263" i="18" s="1"/>
  <c r="B264" i="18" s="1"/>
  <c r="B265" i="18" s="1"/>
  <c r="B266" i="18" s="1"/>
  <c r="B267" i="18" s="1"/>
  <c r="B268" i="18" s="1"/>
  <c r="B269" i="18" s="1"/>
  <c r="B270" i="18" s="1"/>
  <c r="B271" i="18" s="1"/>
  <c r="B272" i="18" s="1"/>
  <c r="B273" i="18" s="1"/>
  <c r="B274" i="18" s="1"/>
  <c r="B275" i="18" s="1"/>
  <c r="B276" i="18" s="1"/>
  <c r="B277" i="18" s="1"/>
  <c r="B278" i="18" s="1"/>
  <c r="B279" i="18" s="1"/>
  <c r="B280" i="18" s="1"/>
  <c r="B281" i="18" s="1"/>
  <c r="B282" i="18" s="1"/>
  <c r="B283" i="18" s="1"/>
  <c r="B284" i="18" s="1"/>
  <c r="B285" i="18" s="1"/>
  <c r="B286" i="18" s="1"/>
  <c r="B287" i="18" s="1"/>
  <c r="B288" i="18" s="1"/>
  <c r="B289" i="18" s="1"/>
  <c r="B290" i="18" s="1"/>
  <c r="B291" i="18" s="1"/>
  <c r="B292" i="18" s="1"/>
  <c r="B293" i="18" s="1"/>
  <c r="B294" i="18" s="1"/>
  <c r="B295" i="18" s="1"/>
  <c r="B296" i="18" s="1"/>
  <c r="B297" i="18" s="1"/>
  <c r="B298" i="18" s="1"/>
  <c r="B299" i="18" s="1"/>
  <c r="B300" i="18" s="1"/>
  <c r="B301" i="18" s="1"/>
  <c r="B302" i="18" s="1"/>
  <c r="B303" i="18" s="1"/>
  <c r="B304" i="18" s="1"/>
  <c r="B305" i="18" s="1"/>
  <c r="B306" i="18" s="1"/>
  <c r="B307" i="18" s="1"/>
  <c r="B308" i="18" s="1"/>
  <c r="B309" i="18" s="1"/>
  <c r="B310" i="18" s="1"/>
  <c r="B311" i="18" s="1"/>
  <c r="B312" i="18" s="1"/>
  <c r="B313" i="18" s="1"/>
  <c r="B314" i="18" s="1"/>
  <c r="B315" i="18" s="1"/>
  <c r="B316" i="18" s="1"/>
  <c r="B317" i="18" s="1"/>
  <c r="B318" i="18" s="1"/>
  <c r="B319" i="18" s="1"/>
  <c r="B320" i="18" s="1"/>
  <c r="B321" i="18" s="1"/>
  <c r="B322" i="18" s="1"/>
  <c r="B323" i="18" s="1"/>
  <c r="B324" i="18" s="1"/>
  <c r="B325" i="18" s="1"/>
  <c r="B326" i="18" s="1"/>
  <c r="B327" i="18" s="1"/>
  <c r="B328" i="18" s="1"/>
  <c r="B329" i="18" s="1"/>
  <c r="B330" i="18" s="1"/>
  <c r="B331" i="18" s="1"/>
  <c r="B332" i="18" s="1"/>
  <c r="B333" i="18" s="1"/>
  <c r="B334" i="18" s="1"/>
  <c r="B335" i="18" s="1"/>
  <c r="B336" i="18" s="1"/>
  <c r="B337" i="18" s="1"/>
  <c r="B338" i="18" s="1"/>
  <c r="B339" i="18" s="1"/>
  <c r="B340" i="18" s="1"/>
  <c r="B341" i="18" s="1"/>
  <c r="B342" i="18" s="1"/>
  <c r="B343" i="18" s="1"/>
  <c r="B344" i="18" s="1"/>
  <c r="B345" i="18" s="1"/>
  <c r="B346" i="18" s="1"/>
  <c r="B347" i="18" s="1"/>
  <c r="B348" i="18" s="1"/>
  <c r="B349" i="18" s="1"/>
  <c r="B350" i="18" s="1"/>
  <c r="B351" i="18" s="1"/>
  <c r="B352" i="18" s="1"/>
  <c r="B353" i="18" s="1"/>
  <c r="B354" i="18" s="1"/>
  <c r="B355" i="18" s="1"/>
  <c r="B356" i="18" s="1"/>
  <c r="B357" i="18" s="1"/>
  <c r="B358" i="18" s="1"/>
  <c r="B359" i="18" s="1"/>
  <c r="B360" i="18" s="1"/>
  <c r="B361" i="18" s="1"/>
  <c r="B362" i="18" s="1"/>
  <c r="B363" i="18" s="1"/>
  <c r="B364" i="18" s="1"/>
  <c r="B365" i="18" s="1"/>
  <c r="B366" i="18" s="1"/>
  <c r="B367" i="18" s="1"/>
  <c r="B368" i="18" s="1"/>
  <c r="B369" i="18" s="1"/>
  <c r="B370" i="18" s="1"/>
  <c r="B371" i="18" s="1"/>
  <c r="B372" i="18" s="1"/>
  <c r="B373" i="18" s="1"/>
  <c r="B374" i="18" s="1"/>
  <c r="B375" i="18" s="1"/>
  <c r="B376" i="18" s="1"/>
  <c r="B377" i="18" s="1"/>
  <c r="B378" i="18" s="1"/>
  <c r="B379" i="18" s="1"/>
  <c r="B380" i="18" s="1"/>
  <c r="B381" i="18" s="1"/>
  <c r="B382" i="18" s="1"/>
  <c r="B383" i="18" s="1"/>
  <c r="B384" i="18" s="1"/>
  <c r="B385" i="18" s="1"/>
  <c r="B386" i="18" s="1"/>
  <c r="B387" i="18" s="1"/>
  <c r="B388" i="18" s="1"/>
  <c r="B389" i="18" s="1"/>
  <c r="B390" i="18" s="1"/>
  <c r="B391" i="18" s="1"/>
  <c r="B392" i="18" s="1"/>
  <c r="B393" i="18" s="1"/>
  <c r="B394" i="18" s="1"/>
  <c r="B395" i="18" s="1"/>
  <c r="B396" i="18" s="1"/>
  <c r="B397" i="18" s="1"/>
  <c r="B398" i="18" s="1"/>
  <c r="B399" i="18" s="1"/>
  <c r="B400" i="18" s="1"/>
  <c r="B401" i="18" s="1"/>
  <c r="B402" i="18" s="1"/>
  <c r="B403" i="18" s="1"/>
  <c r="B404" i="18" s="1"/>
  <c r="B405" i="18" s="1"/>
  <c r="B406" i="18" s="1"/>
  <c r="B407" i="18" s="1"/>
  <c r="B408" i="18" s="1"/>
  <c r="B409" i="18" s="1"/>
  <c r="B410" i="18" s="1"/>
  <c r="B411" i="18" s="1"/>
  <c r="B412" i="18" s="1"/>
  <c r="B413" i="18" s="1"/>
  <c r="B414" i="18" s="1"/>
  <c r="B415" i="18" s="1"/>
  <c r="B416" i="18" s="1"/>
  <c r="B417" i="18" s="1"/>
  <c r="B418" i="18" s="1"/>
  <c r="B419" i="18" s="1"/>
  <c r="B420" i="18" s="1"/>
  <c r="B421" i="18" s="1"/>
  <c r="B422" i="18" s="1"/>
  <c r="B423" i="18" s="1"/>
  <c r="B424" i="18" s="1"/>
  <c r="B425" i="18" s="1"/>
  <c r="B426" i="18" s="1"/>
  <c r="B427" i="18" s="1"/>
  <c r="B428" i="18" s="1"/>
  <c r="B429" i="18" s="1"/>
  <c r="B430" i="18" s="1"/>
  <c r="B431" i="18" s="1"/>
  <c r="B432" i="18" s="1"/>
  <c r="B433" i="18" s="1"/>
  <c r="B434" i="18" s="1"/>
  <c r="B435" i="18" s="1"/>
  <c r="B436" i="18" s="1"/>
  <c r="B437" i="18" s="1"/>
  <c r="B438" i="18" s="1"/>
  <c r="B439" i="18" s="1"/>
  <c r="B440" i="18" s="1"/>
  <c r="B441" i="18" s="1"/>
  <c r="B442" i="18" s="1"/>
  <c r="B443" i="18" s="1"/>
  <c r="B444" i="18" s="1"/>
  <c r="B445" i="18" s="1"/>
  <c r="B446" i="18" s="1"/>
  <c r="B447" i="18" s="1"/>
  <c r="B448" i="18" s="1"/>
  <c r="B449" i="18" s="1"/>
  <c r="B450" i="18" s="1"/>
  <c r="B451" i="18" s="1"/>
  <c r="B452" i="18" s="1"/>
  <c r="B453" i="18" s="1"/>
  <c r="B454" i="18" s="1"/>
  <c r="B455" i="18" s="1"/>
  <c r="B456" i="18" s="1"/>
  <c r="B457" i="18" s="1"/>
  <c r="B458" i="18" s="1"/>
  <c r="B459" i="18" s="1"/>
  <c r="B460" i="18" s="1"/>
  <c r="B461" i="18" s="1"/>
  <c r="B462" i="18" s="1"/>
  <c r="B463" i="18" s="1"/>
  <c r="B464" i="18" s="1"/>
  <c r="B465" i="18" s="1"/>
  <c r="B466" i="18" s="1"/>
  <c r="B467" i="18" s="1"/>
  <c r="B468" i="18" s="1"/>
  <c r="B469" i="18" s="1"/>
  <c r="B470" i="18" s="1"/>
  <c r="B471" i="18" s="1"/>
  <c r="B472" i="18" s="1"/>
  <c r="B473" i="18" s="1"/>
  <c r="B474" i="18" s="1"/>
  <c r="B475" i="18" s="1"/>
  <c r="B476" i="18" s="1"/>
  <c r="B477" i="18" s="1"/>
  <c r="B478" i="18" s="1"/>
  <c r="B479" i="18" s="1"/>
  <c r="B480" i="18" s="1"/>
  <c r="B481" i="18" s="1"/>
  <c r="B482" i="18" s="1"/>
  <c r="B483" i="18" s="1"/>
  <c r="B484" i="18" s="1"/>
  <c r="B485" i="18" s="1"/>
  <c r="B486" i="18" s="1"/>
  <c r="B487" i="18" s="1"/>
  <c r="B488" i="18" s="1"/>
  <c r="B489" i="18" s="1"/>
  <c r="B490" i="18" s="1"/>
  <c r="B491" i="18" s="1"/>
  <c r="B492" i="18" s="1"/>
  <c r="B493" i="18" s="1"/>
  <c r="B494" i="18" s="1"/>
  <c r="B495" i="18" s="1"/>
  <c r="B496" i="18" s="1"/>
  <c r="B497" i="18" s="1"/>
  <c r="B498" i="18" s="1"/>
  <c r="B499" i="18" s="1"/>
  <c r="B500" i="18" s="1"/>
  <c r="B501" i="18" s="1"/>
  <c r="B502" i="18" s="1"/>
  <c r="B503" i="18" s="1"/>
  <c r="B504" i="18" s="1"/>
  <c r="B505" i="18" s="1"/>
  <c r="B506" i="18" s="1"/>
  <c r="B507" i="18" s="1"/>
  <c r="B508" i="18" s="1"/>
  <c r="B509" i="18" s="1"/>
  <c r="B510" i="18" s="1"/>
  <c r="B511" i="18" s="1"/>
  <c r="B512" i="18" s="1"/>
  <c r="B513" i="18" s="1"/>
  <c r="B514" i="18" s="1"/>
  <c r="B515" i="18" s="1"/>
  <c r="B516" i="18" s="1"/>
  <c r="B517" i="18" s="1"/>
  <c r="B518" i="18" s="1"/>
  <c r="B519" i="18" s="1"/>
  <c r="B520" i="18" s="1"/>
  <c r="B521" i="18" s="1"/>
  <c r="B522" i="18" s="1"/>
  <c r="B523" i="18" s="1"/>
  <c r="B524" i="18" s="1"/>
  <c r="B525" i="18" s="1"/>
  <c r="B526" i="18" s="1"/>
  <c r="B527" i="18" s="1"/>
  <c r="B528" i="18" s="1"/>
  <c r="B529" i="18" s="1"/>
  <c r="B530" i="18" s="1"/>
  <c r="B531" i="18" s="1"/>
  <c r="B532" i="18" s="1"/>
  <c r="B533" i="18" s="1"/>
  <c r="B534" i="18" s="1"/>
  <c r="B535" i="18" s="1"/>
  <c r="B536" i="18" s="1"/>
  <c r="B537" i="18" s="1"/>
  <c r="B538" i="18" s="1"/>
  <c r="B539" i="18" s="1"/>
  <c r="B540" i="18" s="1"/>
  <c r="B541" i="18" s="1"/>
  <c r="B542" i="18" s="1"/>
  <c r="B543" i="18" s="1"/>
  <c r="B544" i="18" s="1"/>
  <c r="B545" i="18" s="1"/>
  <c r="B546" i="18" s="1"/>
  <c r="B547" i="18" s="1"/>
  <c r="B548" i="18" s="1"/>
  <c r="B549" i="18" s="1"/>
  <c r="B550" i="18" s="1"/>
  <c r="B551" i="18" s="1"/>
  <c r="B552" i="18" s="1"/>
  <c r="B553" i="18" s="1"/>
  <c r="B554" i="18" s="1"/>
  <c r="B555" i="18" s="1"/>
  <c r="B556" i="18" s="1"/>
  <c r="B557" i="18" s="1"/>
  <c r="B558" i="18" s="1"/>
  <c r="B559" i="18" s="1"/>
  <c r="B560" i="18" s="1"/>
  <c r="B561" i="18" s="1"/>
  <c r="B562" i="18" s="1"/>
  <c r="B563" i="18" s="1"/>
  <c r="B564" i="18" s="1"/>
  <c r="B565" i="18" s="1"/>
  <c r="B566" i="18" s="1"/>
  <c r="B567" i="18" s="1"/>
  <c r="B568" i="18" s="1"/>
  <c r="B569" i="18" s="1"/>
  <c r="B570" i="18" s="1"/>
  <c r="B571" i="18" s="1"/>
  <c r="B572" i="18" s="1"/>
  <c r="B573" i="18" s="1"/>
  <c r="B574" i="18" s="1"/>
  <c r="B575" i="18" s="1"/>
  <c r="B576" i="18" s="1"/>
  <c r="B577" i="18" s="1"/>
  <c r="B578" i="18" s="1"/>
  <c r="B579" i="18" s="1"/>
  <c r="B580" i="18" s="1"/>
  <c r="B581" i="18" s="1"/>
  <c r="B582" i="18" s="1"/>
  <c r="B583" i="18" s="1"/>
  <c r="B584" i="18" s="1"/>
  <c r="B585" i="18" s="1"/>
  <c r="B586" i="18" s="1"/>
  <c r="B587" i="18" s="1"/>
  <c r="B588" i="18" s="1"/>
  <c r="B589" i="18" s="1"/>
  <c r="B590" i="18" s="1"/>
  <c r="B591" i="18" s="1"/>
  <c r="B592" i="18" s="1"/>
  <c r="B593" i="18" s="1"/>
  <c r="B594" i="18" s="1"/>
  <c r="B595" i="18" s="1"/>
  <c r="B596" i="18" s="1"/>
  <c r="B597" i="18" s="1"/>
  <c r="B598" i="18" s="1"/>
  <c r="B599" i="18" s="1"/>
  <c r="B600" i="18" s="1"/>
  <c r="B601" i="18" s="1"/>
  <c r="B602" i="18" s="1"/>
  <c r="B603" i="18" s="1"/>
  <c r="B604" i="18" s="1"/>
  <c r="B605" i="18" s="1"/>
  <c r="B606" i="18" s="1"/>
  <c r="B607" i="18" s="1"/>
  <c r="B608" i="18" s="1"/>
  <c r="B609" i="18" s="1"/>
  <c r="B610" i="18" s="1"/>
  <c r="B611" i="18" s="1"/>
  <c r="B612" i="18" s="1"/>
  <c r="B613" i="18" s="1"/>
  <c r="B614" i="18" s="1"/>
  <c r="B615" i="18" s="1"/>
  <c r="B616" i="18" s="1"/>
  <c r="B617" i="18" s="1"/>
  <c r="B618" i="18" s="1"/>
  <c r="B619" i="18" s="1"/>
  <c r="B620" i="18" s="1"/>
  <c r="B621" i="18" s="1"/>
  <c r="B622" i="18" s="1"/>
  <c r="B623" i="18" s="1"/>
  <c r="B624" i="18" s="1"/>
  <c r="B625" i="18" s="1"/>
  <c r="B626" i="18" s="1"/>
  <c r="B627" i="18" s="1"/>
  <c r="B628" i="18" s="1"/>
  <c r="B629" i="18" s="1"/>
  <c r="B630" i="18" s="1"/>
  <c r="B631" i="18" s="1"/>
  <c r="B632" i="18" s="1"/>
  <c r="B633" i="18" s="1"/>
  <c r="B634" i="18" s="1"/>
  <c r="B635" i="18" s="1"/>
  <c r="B636" i="18" s="1"/>
  <c r="B637" i="18" s="1"/>
  <c r="B638" i="18" s="1"/>
  <c r="B639" i="18" s="1"/>
  <c r="B640" i="18" s="1"/>
  <c r="B641" i="18" s="1"/>
  <c r="B642" i="18" s="1"/>
  <c r="B643" i="18" s="1"/>
  <c r="B644" i="18" s="1"/>
  <c r="B645" i="18" s="1"/>
  <c r="B646" i="18" s="1"/>
  <c r="B647" i="18" s="1"/>
  <c r="B648" i="18" s="1"/>
  <c r="B649" i="18" s="1"/>
  <c r="B650" i="18" s="1"/>
  <c r="B651" i="18" s="1"/>
  <c r="B652" i="18" s="1"/>
  <c r="B653" i="18" s="1"/>
  <c r="B654" i="18" s="1"/>
  <c r="B655" i="18" s="1"/>
  <c r="B656" i="18" s="1"/>
  <c r="B657" i="18" s="1"/>
  <c r="B658" i="18" s="1"/>
  <c r="B659" i="18" s="1"/>
  <c r="B660" i="18" s="1"/>
  <c r="B661" i="18" s="1"/>
  <c r="B662" i="18" s="1"/>
  <c r="B663" i="18" s="1"/>
  <c r="B664" i="18" s="1"/>
  <c r="B665" i="18" s="1"/>
  <c r="B666" i="18" s="1"/>
  <c r="B667" i="18" s="1"/>
  <c r="B668" i="18" s="1"/>
  <c r="B669" i="18" s="1"/>
  <c r="B670" i="18" s="1"/>
  <c r="B671" i="18" s="1"/>
  <c r="B672" i="18" s="1"/>
  <c r="B673" i="18" s="1"/>
  <c r="B674" i="18" s="1"/>
  <c r="B675" i="18" s="1"/>
  <c r="B676" i="18" s="1"/>
  <c r="B677" i="18" s="1"/>
  <c r="B678" i="18" s="1"/>
  <c r="B679" i="18" s="1"/>
  <c r="B680" i="18" s="1"/>
  <c r="B681" i="18" s="1"/>
  <c r="B682" i="18" s="1"/>
  <c r="B683" i="18" s="1"/>
  <c r="B684" i="18" s="1"/>
  <c r="B685" i="18" s="1"/>
  <c r="B686" i="18" s="1"/>
  <c r="B687" i="18" s="1"/>
  <c r="B688" i="18" s="1"/>
  <c r="B689" i="18" s="1"/>
  <c r="B690" i="18" s="1"/>
  <c r="B691" i="18" s="1"/>
  <c r="B692" i="18" s="1"/>
  <c r="B693" i="18" s="1"/>
  <c r="B694" i="18" s="1"/>
  <c r="B695" i="18" s="1"/>
  <c r="B696" i="18" s="1"/>
  <c r="B697" i="18" s="1"/>
  <c r="B698" i="18" s="1"/>
  <c r="B699" i="18" s="1"/>
  <c r="B700" i="18" s="1"/>
  <c r="B701" i="18" s="1"/>
  <c r="B702" i="18" s="1"/>
  <c r="B703" i="18" s="1"/>
  <c r="B704" i="18" s="1"/>
  <c r="B705" i="18" s="1"/>
  <c r="B706" i="18" s="1"/>
  <c r="B707" i="18" s="1"/>
  <c r="B708" i="18" s="1"/>
  <c r="B709" i="18" s="1"/>
  <c r="B710" i="18" s="1"/>
  <c r="B711" i="18" s="1"/>
  <c r="B712" i="18" s="1"/>
  <c r="B713" i="18" s="1"/>
  <c r="B714" i="18" s="1"/>
  <c r="B715" i="18" s="1"/>
  <c r="B716" i="18" s="1"/>
  <c r="B717" i="18" s="1"/>
  <c r="B718" i="18" s="1"/>
  <c r="B719" i="18" s="1"/>
  <c r="B720" i="18" s="1"/>
  <c r="B721" i="18" s="1"/>
  <c r="B722" i="18" s="1"/>
  <c r="B723" i="18" s="1"/>
  <c r="B724" i="18" s="1"/>
  <c r="B725" i="18" s="1"/>
  <c r="B726" i="18" s="1"/>
  <c r="B727" i="18" s="1"/>
  <c r="B728" i="18" s="1"/>
  <c r="B729" i="18" s="1"/>
  <c r="B730" i="18" s="1"/>
  <c r="B731" i="18" s="1"/>
  <c r="B732" i="18" s="1"/>
  <c r="B733" i="18" s="1"/>
  <c r="B734" i="18" s="1"/>
  <c r="B735" i="18" s="1"/>
  <c r="B736" i="18" s="1"/>
  <c r="B737" i="18" s="1"/>
  <c r="B738" i="18" s="1"/>
  <c r="B739" i="18" s="1"/>
  <c r="B740" i="18" s="1"/>
  <c r="B741" i="18" s="1"/>
  <c r="B742" i="18" s="1"/>
  <c r="B743" i="18" s="1"/>
  <c r="B744" i="18" s="1"/>
  <c r="B745" i="18" s="1"/>
  <c r="B746" i="18" s="1"/>
  <c r="B747" i="18" s="1"/>
  <c r="B748" i="18" s="1"/>
  <c r="B749" i="18" s="1"/>
  <c r="B750" i="18" s="1"/>
  <c r="B751" i="18" s="1"/>
  <c r="B752" i="18" s="1"/>
  <c r="B753" i="18" s="1"/>
  <c r="B754" i="18" s="1"/>
  <c r="B755" i="18" s="1"/>
  <c r="B756" i="18" s="1"/>
  <c r="B757" i="18" s="1"/>
  <c r="B758" i="18" s="1"/>
  <c r="B759" i="18" s="1"/>
  <c r="B760" i="18" s="1"/>
  <c r="B761" i="18" s="1"/>
  <c r="B762" i="18" s="1"/>
  <c r="B763" i="18" s="1"/>
  <c r="B764" i="18" s="1"/>
  <c r="B765" i="18" s="1"/>
  <c r="B766" i="18" s="1"/>
  <c r="B767" i="18" s="1"/>
  <c r="B768" i="18" s="1"/>
  <c r="B769" i="18" s="1"/>
  <c r="B770" i="18" s="1"/>
  <c r="B771" i="18" s="1"/>
  <c r="B772" i="18" s="1"/>
  <c r="B773" i="18" s="1"/>
  <c r="B774" i="18" s="1"/>
  <c r="B775" i="18" s="1"/>
  <c r="B776" i="18" s="1"/>
  <c r="B777" i="18" s="1"/>
  <c r="B778" i="18" s="1"/>
  <c r="B779" i="18" s="1"/>
  <c r="B780" i="18" s="1"/>
  <c r="B781" i="18" s="1"/>
  <c r="B782" i="18" s="1"/>
  <c r="B783" i="18" s="1"/>
  <c r="B784" i="18" s="1"/>
  <c r="B785" i="18" s="1"/>
  <c r="B786" i="18" s="1"/>
  <c r="B787" i="18" s="1"/>
  <c r="B788" i="18" s="1"/>
  <c r="B789" i="18" s="1"/>
  <c r="B790" i="18" s="1"/>
  <c r="B791" i="18" s="1"/>
  <c r="B792" i="18" s="1"/>
  <c r="B793" i="18" s="1"/>
  <c r="B794" i="18" s="1"/>
  <c r="B795" i="18" s="1"/>
  <c r="B796" i="18" s="1"/>
  <c r="B797" i="18" s="1"/>
  <c r="B798" i="18" s="1"/>
  <c r="B799" i="18" s="1"/>
  <c r="B800" i="18" s="1"/>
  <c r="B801" i="18" s="1"/>
  <c r="B802" i="18" s="1"/>
  <c r="B803" i="18" s="1"/>
  <c r="B804" i="18" s="1"/>
  <c r="B805" i="18" s="1"/>
  <c r="B806" i="18" s="1"/>
  <c r="B807" i="18" s="1"/>
  <c r="B808" i="18" s="1"/>
  <c r="B809" i="18" s="1"/>
  <c r="B810" i="18" s="1"/>
  <c r="B811" i="18" s="1"/>
  <c r="B812" i="18" s="1"/>
  <c r="B813" i="18" s="1"/>
  <c r="B814" i="18" s="1"/>
  <c r="B815" i="18" s="1"/>
  <c r="B816" i="18" s="1"/>
  <c r="B817" i="18" s="1"/>
  <c r="B818" i="18" s="1"/>
  <c r="B819" i="18" s="1"/>
  <c r="B820" i="18" s="1"/>
  <c r="B821" i="18" s="1"/>
  <c r="B822" i="18" s="1"/>
  <c r="B823" i="18" s="1"/>
  <c r="B824" i="18" s="1"/>
  <c r="B825" i="18" s="1"/>
  <c r="B826" i="18" s="1"/>
  <c r="B827" i="18" s="1"/>
  <c r="B828" i="18" s="1"/>
  <c r="B829" i="18" s="1"/>
  <c r="B830" i="18" s="1"/>
  <c r="B831" i="18" s="1"/>
  <c r="B832" i="18" s="1"/>
  <c r="B833" i="18" s="1"/>
  <c r="B834" i="18" s="1"/>
  <c r="B835" i="18" s="1"/>
  <c r="B836" i="18" s="1"/>
  <c r="B837" i="18" s="1"/>
  <c r="B838" i="18" s="1"/>
  <c r="B839" i="18" s="1"/>
  <c r="B840" i="18" s="1"/>
  <c r="B841" i="18" s="1"/>
  <c r="B842" i="18" s="1"/>
  <c r="B843" i="18" s="1"/>
  <c r="B844" i="18" s="1"/>
  <c r="B845" i="18" s="1"/>
  <c r="B846" i="18" s="1"/>
  <c r="B847" i="18" s="1"/>
  <c r="B848" i="18" s="1"/>
  <c r="B849" i="18" s="1"/>
  <c r="B850" i="18" s="1"/>
  <c r="B851" i="18" s="1"/>
  <c r="B852" i="18" s="1"/>
  <c r="B853" i="18" s="1"/>
  <c r="B854" i="18" s="1"/>
  <c r="B855" i="18" s="1"/>
  <c r="B856" i="18" s="1"/>
  <c r="B857" i="18" s="1"/>
  <c r="B858" i="18" s="1"/>
  <c r="B859" i="18" s="1"/>
  <c r="B860" i="18" s="1"/>
  <c r="B861" i="18" s="1"/>
  <c r="B862" i="18" s="1"/>
  <c r="B863" i="18" s="1"/>
  <c r="B864" i="18" s="1"/>
  <c r="B865" i="18" s="1"/>
  <c r="B866" i="18" s="1"/>
  <c r="B867" i="18" s="1"/>
  <c r="B868" i="18" s="1"/>
  <c r="B869" i="18" s="1"/>
  <c r="B870" i="18" s="1"/>
  <c r="B871" i="18" s="1"/>
  <c r="B872" i="18" s="1"/>
  <c r="B873" i="18" s="1"/>
  <c r="B874" i="18" s="1"/>
  <c r="B875" i="18" s="1"/>
  <c r="B876" i="18" s="1"/>
  <c r="B877" i="18" s="1"/>
  <c r="B878" i="18" s="1"/>
  <c r="B879" i="18" s="1"/>
  <c r="B880" i="18" s="1"/>
  <c r="B881" i="18" s="1"/>
  <c r="B882" i="18" s="1"/>
  <c r="B883" i="18" s="1"/>
  <c r="B884" i="18" s="1"/>
  <c r="B885" i="18" s="1"/>
  <c r="B886" i="18" s="1"/>
  <c r="B887" i="18" s="1"/>
  <c r="B888" i="18" s="1"/>
  <c r="B889" i="18" s="1"/>
  <c r="B890" i="18" s="1"/>
  <c r="B891" i="18" s="1"/>
  <c r="B892" i="18" s="1"/>
  <c r="B893" i="18" s="1"/>
  <c r="B894" i="18" s="1"/>
  <c r="B895" i="18" s="1"/>
  <c r="B896" i="18" s="1"/>
  <c r="B897" i="18" s="1"/>
  <c r="B898" i="18" s="1"/>
  <c r="B899" i="18" s="1"/>
  <c r="B900" i="18" s="1"/>
  <c r="B901" i="18" s="1"/>
  <c r="B902" i="18" s="1"/>
  <c r="B903" i="18" s="1"/>
  <c r="B904" i="18" s="1"/>
  <c r="B905" i="18" s="1"/>
  <c r="B906" i="18" s="1"/>
  <c r="B907" i="18" s="1"/>
  <c r="B908" i="18" s="1"/>
  <c r="B909" i="18" s="1"/>
  <c r="B910" i="18" s="1"/>
  <c r="B911" i="18" s="1"/>
  <c r="B912" i="18" s="1"/>
  <c r="B913" i="18" s="1"/>
  <c r="B914" i="18" s="1"/>
  <c r="B915" i="18" s="1"/>
  <c r="B916" i="18" s="1"/>
  <c r="B917" i="18" s="1"/>
  <c r="B918" i="18" s="1"/>
  <c r="B919" i="18" s="1"/>
  <c r="B920" i="18" s="1"/>
  <c r="B921" i="18" s="1"/>
  <c r="B922" i="18" s="1"/>
  <c r="B923" i="18" s="1"/>
  <c r="B924" i="18" s="1"/>
  <c r="B925" i="18" s="1"/>
  <c r="B926" i="18" s="1"/>
  <c r="B927" i="18" s="1"/>
  <c r="B928" i="18" s="1"/>
  <c r="B929" i="18" s="1"/>
  <c r="B930" i="18" s="1"/>
  <c r="B931" i="18" s="1"/>
  <c r="B932" i="18" s="1"/>
  <c r="B933" i="18" s="1"/>
  <c r="B934" i="18" s="1"/>
  <c r="B935" i="18" s="1"/>
  <c r="B936" i="18" s="1"/>
  <c r="B937" i="18" s="1"/>
  <c r="B938" i="18" s="1"/>
  <c r="B939" i="18" s="1"/>
  <c r="B940" i="18" s="1"/>
  <c r="B941" i="18" s="1"/>
  <c r="B942" i="18" s="1"/>
  <c r="B943" i="18" s="1"/>
  <c r="B944" i="18" s="1"/>
  <c r="B945" i="18" s="1"/>
  <c r="B946" i="18" s="1"/>
  <c r="B947" i="18" s="1"/>
  <c r="B948" i="18" s="1"/>
  <c r="B949" i="18" s="1"/>
  <c r="B950" i="18" s="1"/>
  <c r="B951" i="18" s="1"/>
  <c r="B952" i="18" s="1"/>
  <c r="B953" i="18" s="1"/>
  <c r="B954" i="18" s="1"/>
  <c r="B955" i="18" s="1"/>
  <c r="B956" i="18" s="1"/>
  <c r="B957" i="18" s="1"/>
  <c r="B958" i="18" s="1"/>
  <c r="B959" i="18" s="1"/>
  <c r="B960" i="18" s="1"/>
  <c r="B961" i="18" s="1"/>
  <c r="B962" i="18" s="1"/>
  <c r="B963" i="18" s="1"/>
  <c r="B964" i="18" s="1"/>
  <c r="B965" i="18" s="1"/>
  <c r="B966" i="18" s="1"/>
  <c r="B967" i="18" s="1"/>
  <c r="B968" i="18" s="1"/>
  <c r="B969" i="18" s="1"/>
  <c r="B970" i="18" s="1"/>
  <c r="B971" i="18" s="1"/>
  <c r="B972" i="18" s="1"/>
  <c r="B973" i="18" s="1"/>
  <c r="B974" i="18" s="1"/>
  <c r="B975" i="18" s="1"/>
  <c r="B976" i="18" s="1"/>
  <c r="B977" i="18" s="1"/>
  <c r="B978" i="18" s="1"/>
  <c r="B979" i="18" s="1"/>
  <c r="B980" i="18" s="1"/>
  <c r="B981" i="18" s="1"/>
  <c r="B982" i="18" s="1"/>
  <c r="B983" i="18" s="1"/>
  <c r="B984" i="18" s="1"/>
  <c r="B985" i="18" s="1"/>
  <c r="B986" i="18" s="1"/>
  <c r="B987" i="18" s="1"/>
  <c r="B988" i="18" s="1"/>
  <c r="B989" i="18" s="1"/>
  <c r="B990" i="18" s="1"/>
  <c r="B991" i="18" s="1"/>
  <c r="B992" i="18" s="1"/>
  <c r="B993" i="18" s="1"/>
  <c r="B994" i="18" s="1"/>
  <c r="B995" i="18" s="1"/>
  <c r="B996" i="18" s="1"/>
  <c r="B997" i="18" s="1"/>
  <c r="B998" i="18" s="1"/>
  <c r="B999" i="18" s="1"/>
  <c r="B1000" i="18" s="1"/>
  <c r="B1001" i="18" s="1"/>
  <c r="B1002" i="18" s="1"/>
  <c r="B1003" i="18" s="1"/>
  <c r="B1004" i="18" s="1"/>
  <c r="B1005" i="18" s="1"/>
  <c r="B1006" i="18" s="1"/>
  <c r="B1007" i="18" s="1"/>
  <c r="B1008" i="18" s="1"/>
  <c r="B1009" i="18" s="1"/>
  <c r="B1010" i="18" s="1"/>
  <c r="B1011" i="18" s="1"/>
  <c r="B1012" i="18" s="1"/>
  <c r="B1013" i="18" s="1"/>
  <c r="B1014" i="18" s="1"/>
  <c r="B1015" i="18" s="1"/>
  <c r="B1016" i="18" s="1"/>
  <c r="B1017" i="18" s="1"/>
  <c r="B1018" i="18" s="1"/>
  <c r="B1019" i="18" s="1"/>
  <c r="B1020" i="18" s="1"/>
  <c r="B1021" i="18" s="1"/>
  <c r="B1022" i="18" s="1"/>
  <c r="B1023" i="18" s="1"/>
  <c r="B1024" i="18" s="1"/>
  <c r="B1025" i="18" s="1"/>
  <c r="B1026" i="18" s="1"/>
  <c r="B1027" i="18" s="1"/>
  <c r="B1028" i="18" s="1"/>
  <c r="B1029" i="18" s="1"/>
  <c r="B1030" i="18" s="1"/>
  <c r="B1031" i="18" s="1"/>
  <c r="B1032" i="18" s="1"/>
  <c r="G32" i="2"/>
  <c r="G33" i="2"/>
  <c r="G34" i="2"/>
  <c r="G35" i="2"/>
  <c r="G36" i="2"/>
  <c r="G37" i="2"/>
  <c r="G38" i="2"/>
  <c r="G39" i="2"/>
  <c r="G40" i="2"/>
  <c r="G41" i="2"/>
  <c r="G42" i="2"/>
  <c r="G43" i="2"/>
  <c r="G31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4" i="2"/>
  <c r="F96" i="15" l="1"/>
  <c r="F819" i="15" l="1"/>
  <c r="F818" i="15"/>
  <c r="F1371" i="15"/>
  <c r="F1370" i="15"/>
  <c r="F1369" i="15"/>
  <c r="F1368" i="15"/>
  <c r="F1367" i="15"/>
  <c r="F1366" i="15"/>
  <c r="F1365" i="15"/>
  <c r="F1364" i="15"/>
  <c r="F1363" i="15"/>
  <c r="F1362" i="15"/>
  <c r="F1361" i="15"/>
  <c r="F1360" i="15"/>
  <c r="F1359" i="15"/>
  <c r="F1358" i="15"/>
  <c r="F1357" i="15"/>
  <c r="F1356" i="15"/>
  <c r="F1355" i="15"/>
  <c r="F1354" i="15"/>
  <c r="F1353" i="15"/>
  <c r="F1352" i="15"/>
  <c r="F1351" i="15"/>
  <c r="F1350" i="15"/>
  <c r="F1349" i="15"/>
  <c r="F1348" i="15"/>
  <c r="F1347" i="15"/>
  <c r="F1346" i="15"/>
  <c r="F1345" i="15"/>
  <c r="F1344" i="15"/>
  <c r="F1343" i="15"/>
  <c r="F1342" i="15"/>
  <c r="F1341" i="15"/>
  <c r="F1340" i="15"/>
  <c r="F1339" i="15"/>
  <c r="F1338" i="15"/>
  <c r="F1337" i="15"/>
  <c r="F1336" i="15"/>
  <c r="F1335" i="15"/>
  <c r="F1334" i="15"/>
  <c r="F1333" i="15"/>
  <c r="F1332" i="15"/>
  <c r="F1331" i="15"/>
  <c r="F1330" i="15"/>
  <c r="F1329" i="15"/>
  <c r="F1328" i="15"/>
  <c r="F1327" i="15"/>
  <c r="F1326" i="15"/>
  <c r="F1325" i="15"/>
  <c r="F1324" i="15"/>
  <c r="F1323" i="15"/>
  <c r="F1322" i="15"/>
  <c r="F1321" i="15"/>
  <c r="F1320" i="15"/>
  <c r="F1319" i="15"/>
  <c r="F1318" i="15"/>
  <c r="F1317" i="15"/>
  <c r="F1316" i="15"/>
  <c r="F1315" i="15"/>
  <c r="F1314" i="15"/>
  <c r="F1313" i="15"/>
  <c r="F1312" i="15"/>
  <c r="F1311" i="15"/>
  <c r="F1310" i="15"/>
  <c r="F1309" i="15"/>
  <c r="F1308" i="15"/>
  <c r="F1307" i="15"/>
  <c r="F1306" i="15"/>
  <c r="F1305" i="15"/>
  <c r="F1304" i="15"/>
  <c r="F1303" i="15"/>
  <c r="F1302" i="15"/>
  <c r="F1301" i="15"/>
  <c r="F1300" i="15"/>
  <c r="F1299" i="15"/>
  <c r="F1298" i="15"/>
  <c r="F1297" i="15"/>
  <c r="F1296" i="15"/>
  <c r="F1295" i="15"/>
  <c r="F1294" i="15"/>
  <c r="F1293" i="15"/>
  <c r="F1292" i="15"/>
  <c r="F1291" i="15"/>
  <c r="F1290" i="15"/>
  <c r="F1289" i="15"/>
  <c r="F1288" i="15"/>
  <c r="F1287" i="15"/>
  <c r="F1286" i="15"/>
  <c r="F1285" i="15"/>
  <c r="F1284" i="15"/>
  <c r="F1283" i="15"/>
  <c r="F1282" i="15"/>
  <c r="F1281" i="15"/>
  <c r="F1280" i="15"/>
  <c r="F1279" i="15"/>
  <c r="F1278" i="15"/>
  <c r="F1277" i="15"/>
  <c r="F1276" i="15"/>
  <c r="F1275" i="15"/>
  <c r="F1274" i="15"/>
  <c r="F1273" i="15"/>
  <c r="F1272" i="15"/>
  <c r="F1271" i="15"/>
  <c r="F1270" i="15"/>
  <c r="F1269" i="15"/>
  <c r="F1268" i="15"/>
  <c r="F1267" i="15"/>
  <c r="F1266" i="15"/>
  <c r="F1265" i="15"/>
  <c r="F1264" i="15"/>
  <c r="F1263" i="15"/>
  <c r="F1262" i="15"/>
  <c r="F1261" i="15"/>
  <c r="F1260" i="15"/>
  <c r="F1259" i="15"/>
  <c r="F1258" i="15"/>
  <c r="F1257" i="15"/>
  <c r="F1256" i="15"/>
  <c r="F1255" i="15"/>
  <c r="F1254" i="15"/>
  <c r="F1253" i="15"/>
  <c r="F1252" i="15"/>
  <c r="F1251" i="15"/>
  <c r="F1250" i="15"/>
  <c r="F1249" i="15"/>
  <c r="F1248" i="15"/>
  <c r="F1247" i="15"/>
  <c r="F1246" i="15"/>
  <c r="F1245" i="15"/>
  <c r="F1244" i="15"/>
  <c r="F1243" i="15"/>
  <c r="F1242" i="15"/>
  <c r="F1241" i="15"/>
  <c r="F1240" i="15"/>
  <c r="F1239" i="15"/>
  <c r="F1238" i="15"/>
  <c r="F1237" i="15"/>
  <c r="F1236" i="15"/>
  <c r="F1235" i="15"/>
  <c r="F1234" i="15"/>
  <c r="F1233" i="15"/>
  <c r="F1232" i="15"/>
  <c r="F1231" i="15"/>
  <c r="F1230" i="15"/>
  <c r="F1229" i="15"/>
  <c r="F1228" i="15"/>
  <c r="F1227" i="15"/>
  <c r="F1226" i="15"/>
  <c r="F1225" i="15"/>
  <c r="F1224" i="15"/>
  <c r="F1223" i="15"/>
  <c r="F1222" i="15"/>
  <c r="F1221" i="15"/>
  <c r="F1220" i="15"/>
  <c r="F1219" i="15"/>
  <c r="F1218" i="15"/>
  <c r="F1217" i="15"/>
  <c r="F1216" i="15"/>
  <c r="F1215" i="15"/>
  <c r="F1214" i="15"/>
  <c r="F1213" i="15"/>
  <c r="F1212" i="15"/>
  <c r="F1211" i="15"/>
  <c r="F1210" i="15"/>
  <c r="F1209" i="15"/>
  <c r="F1208" i="15"/>
  <c r="F1207" i="15"/>
  <c r="F1206" i="15"/>
  <c r="F1205" i="15"/>
  <c r="F1204" i="15"/>
  <c r="F1203" i="15"/>
  <c r="F1202" i="15"/>
  <c r="F1201" i="15"/>
  <c r="F1200" i="15"/>
  <c r="F1199" i="15"/>
  <c r="F1198" i="15"/>
  <c r="F1197" i="15"/>
  <c r="F1196" i="15"/>
  <c r="F1195" i="15"/>
  <c r="F1194" i="15"/>
  <c r="F1193" i="15"/>
  <c r="F1192" i="15"/>
  <c r="F1191" i="15"/>
  <c r="F1190" i="15"/>
  <c r="F1189" i="15"/>
  <c r="F1188" i="15"/>
  <c r="F1187" i="15"/>
  <c r="F1186" i="15"/>
  <c r="F1185" i="15"/>
  <c r="F1184" i="15"/>
  <c r="F1183" i="15"/>
  <c r="F1182" i="15"/>
  <c r="F1181" i="15"/>
  <c r="F1180" i="15"/>
  <c r="F1179" i="15"/>
  <c r="F1178" i="15"/>
  <c r="F1177" i="15"/>
  <c r="F1176" i="15"/>
  <c r="F1175" i="15"/>
  <c r="F1174" i="15"/>
  <c r="F1173" i="15"/>
  <c r="F1172" i="15"/>
  <c r="F1171" i="15"/>
  <c r="F1170" i="15"/>
  <c r="F1169" i="15"/>
  <c r="F1168" i="15"/>
  <c r="F1167" i="15"/>
  <c r="F1166" i="15"/>
  <c r="F1165" i="15"/>
  <c r="F1164" i="15"/>
  <c r="F1163" i="15"/>
  <c r="F1162" i="15"/>
  <c r="F1161" i="15"/>
  <c r="F1160" i="15"/>
  <c r="F1159" i="15"/>
  <c r="F1158" i="15"/>
  <c r="F1157" i="15"/>
  <c r="F1156" i="15"/>
  <c r="F1155" i="15"/>
  <c r="F1154" i="15"/>
  <c r="F1153" i="15"/>
  <c r="F1152" i="15"/>
  <c r="F1151" i="15"/>
  <c r="F1150" i="15"/>
  <c r="F1149" i="15"/>
  <c r="F1148" i="15"/>
  <c r="F1147" i="15"/>
  <c r="F1146" i="15"/>
  <c r="F1145" i="15"/>
  <c r="F1144" i="15"/>
  <c r="F1143" i="15"/>
  <c r="F1142" i="15"/>
  <c r="F1141" i="15"/>
  <c r="F1140" i="15"/>
  <c r="F1139" i="15"/>
  <c r="F1138" i="15"/>
  <c r="F1137" i="15"/>
  <c r="F1136" i="15"/>
  <c r="F1135" i="15"/>
  <c r="F1134" i="15"/>
  <c r="F1133" i="15"/>
  <c r="F1132" i="15"/>
  <c r="F1131" i="15"/>
  <c r="F1130" i="15"/>
  <c r="F1129" i="15"/>
  <c r="F1128" i="15"/>
  <c r="F1127" i="15"/>
  <c r="F1126" i="15"/>
  <c r="F1125" i="15"/>
  <c r="F1124" i="15"/>
  <c r="F1123" i="15"/>
  <c r="F1122" i="15"/>
  <c r="F1121" i="15"/>
  <c r="F1120" i="15"/>
  <c r="F1119" i="15"/>
  <c r="F1118" i="15"/>
  <c r="F1117" i="15"/>
  <c r="F1116" i="15"/>
  <c r="F1115" i="15"/>
  <c r="F1114" i="15"/>
  <c r="F1113" i="15"/>
  <c r="F1112" i="15"/>
  <c r="F1111" i="15"/>
  <c r="F1110" i="15"/>
  <c r="F1109" i="15"/>
  <c r="F1108" i="15"/>
  <c r="F1107" i="15"/>
  <c r="F1106" i="15"/>
  <c r="F1105" i="15"/>
  <c r="F1104" i="15"/>
  <c r="F1103" i="15"/>
  <c r="F1102" i="15"/>
  <c r="F1101" i="15"/>
  <c r="F1100" i="15"/>
  <c r="F1099" i="15"/>
  <c r="F1098" i="15"/>
  <c r="F1097" i="15"/>
  <c r="F1096" i="15"/>
  <c r="F1095" i="15"/>
  <c r="F1094" i="15"/>
  <c r="F1093" i="15"/>
  <c r="F1092" i="15"/>
  <c r="F1091" i="15"/>
  <c r="F1090" i="15"/>
  <c r="F1089" i="15"/>
  <c r="F1088" i="15"/>
  <c r="F1087" i="15"/>
  <c r="F1086" i="15"/>
  <c r="F1085" i="15"/>
  <c r="F1084" i="15"/>
  <c r="F1083" i="15"/>
  <c r="F1082" i="15"/>
  <c r="F1081" i="15"/>
  <c r="F1080" i="15"/>
  <c r="F1079" i="15"/>
  <c r="F1078" i="15"/>
  <c r="F1077" i="15"/>
  <c r="F1076" i="15"/>
  <c r="F1075" i="15"/>
  <c r="F1074" i="15"/>
  <c r="F1073" i="15"/>
  <c r="F1072" i="15"/>
  <c r="F1071" i="15"/>
  <c r="F1070" i="15"/>
  <c r="F1069" i="15"/>
  <c r="F1068" i="15"/>
  <c r="F1067" i="15"/>
  <c r="F1066" i="15"/>
  <c r="F1065" i="15"/>
  <c r="F1064" i="15"/>
  <c r="F1063" i="15"/>
  <c r="F1062" i="15"/>
  <c r="F1061" i="15"/>
  <c r="F1060" i="15"/>
  <c r="F1059" i="15"/>
  <c r="F1058" i="15"/>
  <c r="F1057" i="15"/>
  <c r="F1056" i="15"/>
  <c r="F1055" i="15"/>
  <c r="F1054" i="15"/>
  <c r="F1053" i="15"/>
  <c r="F1052" i="15"/>
  <c r="F1051" i="15"/>
  <c r="F1050" i="15"/>
  <c r="F1049" i="15"/>
  <c r="F1048" i="15"/>
  <c r="F1047" i="15"/>
  <c r="F1046" i="15"/>
  <c r="F1045" i="15"/>
  <c r="F1044" i="15"/>
  <c r="F1043" i="15"/>
  <c r="F1042" i="15"/>
  <c r="F1041" i="15"/>
  <c r="F1040" i="15"/>
  <c r="F1039" i="15"/>
  <c r="F1038" i="15"/>
  <c r="F1037" i="15"/>
  <c r="F1036" i="15"/>
  <c r="F1035" i="15"/>
  <c r="F1034" i="15"/>
  <c r="F1033" i="15"/>
  <c r="F1032" i="15"/>
  <c r="F1031" i="15"/>
  <c r="F1030" i="15"/>
  <c r="F1029" i="15"/>
  <c r="F1028" i="15"/>
  <c r="F1027" i="15"/>
  <c r="F1026" i="15"/>
  <c r="F1025" i="15"/>
  <c r="F1024" i="15"/>
  <c r="F1023" i="15"/>
  <c r="F1022" i="15"/>
  <c r="F1021" i="15"/>
  <c r="F1020" i="15"/>
  <c r="F1019" i="15"/>
  <c r="F1018" i="15"/>
  <c r="F1017" i="15"/>
  <c r="F1016" i="15"/>
  <c r="F1015" i="15"/>
  <c r="F1014" i="15"/>
  <c r="F1013" i="15"/>
  <c r="F1012" i="15"/>
  <c r="F1011" i="15"/>
  <c r="F1010" i="15"/>
  <c r="F1009" i="15"/>
  <c r="F1008" i="15"/>
  <c r="F1007" i="15"/>
  <c r="F1006" i="15"/>
  <c r="F1005" i="15"/>
  <c r="F1004" i="15"/>
  <c r="F1003" i="15"/>
  <c r="F1002" i="15"/>
  <c r="F1001" i="15"/>
  <c r="F1000" i="15"/>
  <c r="F999" i="15"/>
  <c r="F998" i="15"/>
  <c r="F997" i="15"/>
  <c r="F996" i="15"/>
  <c r="F995" i="15"/>
  <c r="F994" i="15"/>
  <c r="F993" i="15"/>
  <c r="F992" i="15"/>
  <c r="F991" i="15"/>
  <c r="F990" i="15"/>
  <c r="F989" i="15"/>
  <c r="F988" i="15"/>
  <c r="F987" i="15"/>
  <c r="F986" i="15"/>
  <c r="F985" i="15"/>
  <c r="F984" i="15"/>
  <c r="F983" i="15"/>
  <c r="F982" i="15"/>
  <c r="F981" i="15"/>
  <c r="F980" i="15"/>
  <c r="F979" i="15"/>
  <c r="F978" i="15"/>
  <c r="F977" i="15"/>
  <c r="F976" i="15"/>
  <c r="F975" i="15"/>
  <c r="F974" i="15"/>
  <c r="F973" i="15"/>
  <c r="F972" i="15"/>
  <c r="F971" i="15"/>
  <c r="F970" i="15"/>
  <c r="F969" i="15"/>
  <c r="F968" i="15"/>
  <c r="F967" i="15"/>
  <c r="F966" i="15"/>
  <c r="F965" i="15"/>
  <c r="F964" i="15"/>
  <c r="F963" i="15"/>
  <c r="F962" i="15"/>
  <c r="F961" i="15"/>
  <c r="F960" i="15"/>
  <c r="F959" i="15"/>
  <c r="F958" i="15"/>
  <c r="F957" i="15"/>
  <c r="F956" i="15"/>
  <c r="F955" i="15"/>
  <c r="F954" i="15"/>
  <c r="F953" i="15"/>
  <c r="F952" i="15"/>
  <c r="F951" i="15"/>
  <c r="F950" i="15"/>
  <c r="F949" i="15"/>
  <c r="F948" i="15"/>
  <c r="F947" i="15"/>
  <c r="F946" i="15"/>
  <c r="F945" i="15"/>
  <c r="F944" i="15"/>
  <c r="F943" i="15"/>
  <c r="F942" i="15"/>
  <c r="F941" i="15"/>
  <c r="F940" i="15"/>
  <c r="F939" i="15"/>
  <c r="F938" i="15"/>
  <c r="F937" i="15"/>
  <c r="F936" i="15"/>
  <c r="F935" i="15"/>
  <c r="F934" i="15"/>
  <c r="F933" i="15"/>
  <c r="F932" i="15"/>
  <c r="F931" i="15"/>
  <c r="F930" i="15"/>
  <c r="F929" i="15"/>
  <c r="F928" i="15"/>
  <c r="F927" i="15"/>
  <c r="F926" i="15"/>
  <c r="F925" i="15"/>
  <c r="F924" i="15"/>
  <c r="F923" i="15"/>
  <c r="F922" i="15"/>
  <c r="F921" i="15"/>
  <c r="F920" i="15"/>
  <c r="F919" i="15"/>
  <c r="F918" i="15"/>
  <c r="F917" i="15"/>
  <c r="F916" i="15"/>
  <c r="F915" i="15"/>
  <c r="F914" i="15"/>
  <c r="F913" i="15"/>
  <c r="F912" i="15"/>
  <c r="F911" i="15"/>
  <c r="F910" i="15"/>
  <c r="F909" i="15"/>
  <c r="F908" i="15"/>
  <c r="F907" i="15"/>
  <c r="F906" i="15"/>
  <c r="F905" i="15"/>
  <c r="F904" i="15"/>
  <c r="F903" i="15"/>
  <c r="F902" i="15"/>
  <c r="F901" i="15"/>
  <c r="F900" i="15"/>
  <c r="F899" i="15"/>
  <c r="F898" i="15"/>
  <c r="F897" i="15"/>
  <c r="F896" i="15"/>
  <c r="F895" i="15"/>
  <c r="F894" i="15"/>
  <c r="F893" i="15"/>
  <c r="F892" i="15"/>
  <c r="F891" i="15"/>
  <c r="F890" i="15"/>
  <c r="F889" i="15"/>
  <c r="F888" i="15"/>
  <c r="F887" i="15"/>
  <c r="F886" i="15"/>
  <c r="F885" i="15"/>
  <c r="F884" i="15"/>
  <c r="F883" i="15"/>
  <c r="F882" i="15"/>
  <c r="F881" i="15"/>
  <c r="F880" i="15"/>
  <c r="F879" i="15"/>
  <c r="F878" i="15"/>
  <c r="F877" i="15"/>
  <c r="F876" i="15"/>
  <c r="F875" i="15"/>
  <c r="F874" i="15"/>
  <c r="F873" i="15"/>
  <c r="F872" i="15"/>
  <c r="F871" i="15"/>
  <c r="F870" i="15"/>
  <c r="F869" i="15"/>
  <c r="F868" i="15"/>
  <c r="F867" i="15"/>
  <c r="F866" i="15"/>
  <c r="F865" i="15"/>
  <c r="F864" i="15"/>
  <c r="F863" i="15"/>
  <c r="F862" i="15"/>
  <c r="F861" i="15"/>
  <c r="F860" i="15"/>
  <c r="F859" i="15"/>
  <c r="F858" i="15"/>
  <c r="F857" i="15"/>
  <c r="F856" i="15"/>
  <c r="F855" i="15"/>
  <c r="F854" i="15"/>
  <c r="F853" i="15"/>
  <c r="F852" i="15"/>
  <c r="F851" i="15"/>
  <c r="F850" i="15"/>
  <c r="F849" i="15"/>
  <c r="F848" i="15"/>
  <c r="F847" i="15"/>
  <c r="F846" i="15"/>
  <c r="F845" i="15"/>
  <c r="F844" i="15"/>
  <c r="F843" i="15"/>
  <c r="F842" i="15"/>
  <c r="F841" i="15"/>
  <c r="F840" i="15"/>
  <c r="F839" i="15"/>
  <c r="F838" i="15"/>
  <c r="F837" i="15"/>
  <c r="F836" i="15"/>
  <c r="F835" i="15"/>
  <c r="F834" i="15"/>
  <c r="F833" i="15"/>
  <c r="F832" i="15"/>
  <c r="F831" i="15"/>
  <c r="F830" i="15"/>
  <c r="F829" i="15"/>
  <c r="F828" i="15"/>
  <c r="F827" i="15"/>
  <c r="F826" i="15"/>
  <c r="F825" i="15"/>
  <c r="F824" i="15"/>
  <c r="F823" i="15"/>
  <c r="F822" i="15"/>
  <c r="F788" i="15"/>
  <c r="F817" i="15"/>
  <c r="F816" i="15"/>
  <c r="F815" i="15"/>
  <c r="F814" i="15"/>
  <c r="F813" i="15"/>
  <c r="F812" i="15"/>
  <c r="F811" i="15"/>
  <c r="F810" i="15"/>
  <c r="F809" i="15"/>
  <c r="F808" i="15"/>
  <c r="F807" i="15"/>
  <c r="F806" i="15"/>
  <c r="F805" i="15"/>
  <c r="F804" i="15"/>
  <c r="F803" i="15"/>
  <c r="F802" i="15"/>
  <c r="F801" i="15"/>
  <c r="F800" i="15"/>
  <c r="F799" i="15"/>
  <c r="F798" i="15"/>
  <c r="F797" i="15"/>
  <c r="F796" i="15"/>
  <c r="F795" i="15"/>
  <c r="F794" i="15"/>
  <c r="F793" i="15"/>
  <c r="F792" i="15"/>
  <c r="F791" i="15"/>
  <c r="F790" i="15"/>
  <c r="F789" i="15"/>
  <c r="F786" i="15"/>
  <c r="F785" i="15"/>
  <c r="F784" i="15"/>
  <c r="F783" i="15"/>
  <c r="F782" i="15"/>
  <c r="F781" i="15"/>
  <c r="F780" i="15"/>
  <c r="F779" i="15"/>
  <c r="F778" i="15"/>
  <c r="F777" i="15"/>
  <c r="F776" i="15"/>
  <c r="F775" i="15"/>
  <c r="F774" i="15"/>
  <c r="F773" i="15"/>
  <c r="F772" i="15"/>
  <c r="F771" i="15"/>
  <c r="F770" i="15"/>
  <c r="F769" i="15"/>
  <c r="F768" i="15"/>
  <c r="F767" i="15"/>
  <c r="F766" i="15"/>
  <c r="F765" i="15"/>
  <c r="F764" i="15"/>
  <c r="F763" i="15"/>
  <c r="F762" i="15"/>
  <c r="F761" i="15"/>
  <c r="F760" i="15"/>
  <c r="F759" i="15"/>
  <c r="F758" i="15"/>
  <c r="F757" i="15"/>
  <c r="F756" i="15"/>
  <c r="F755" i="15"/>
  <c r="F754" i="15"/>
  <c r="F753" i="15"/>
  <c r="F752" i="15"/>
  <c r="F751" i="15"/>
  <c r="F750" i="15"/>
  <c r="F749" i="15"/>
  <c r="F748" i="15"/>
  <c r="F746" i="15"/>
  <c r="F745" i="15"/>
  <c r="F744" i="15"/>
  <c r="F743" i="15"/>
  <c r="F742" i="15"/>
  <c r="F741" i="15"/>
  <c r="F740" i="15"/>
  <c r="F739" i="15"/>
  <c r="F738" i="15"/>
  <c r="F737" i="15"/>
  <c r="F736" i="15"/>
  <c r="F735" i="15"/>
  <c r="F734" i="15"/>
  <c r="F733" i="15"/>
  <c r="F732" i="15"/>
  <c r="F731" i="15"/>
  <c r="F730" i="15"/>
  <c r="F729" i="15"/>
  <c r="F728" i="15"/>
  <c r="F727" i="15"/>
  <c r="F726" i="15"/>
  <c r="F725" i="15"/>
  <c r="F724" i="15"/>
  <c r="F723" i="15"/>
  <c r="F722" i="15"/>
  <c r="F721" i="15"/>
  <c r="F720" i="15"/>
  <c r="F719" i="15"/>
  <c r="F718" i="15"/>
  <c r="F717" i="15"/>
  <c r="F716" i="15"/>
  <c r="F715" i="15"/>
  <c r="F714" i="15"/>
  <c r="F713" i="15"/>
  <c r="F712" i="15"/>
  <c r="F711" i="15"/>
  <c r="F710" i="15"/>
  <c r="F709" i="15"/>
  <c r="F708" i="15"/>
  <c r="F706" i="15"/>
  <c r="F705" i="15"/>
  <c r="F704" i="15"/>
  <c r="F703" i="15"/>
  <c r="F702" i="15"/>
  <c r="F701" i="15"/>
  <c r="F700" i="15"/>
  <c r="F699" i="15"/>
  <c r="F698" i="15"/>
  <c r="F697" i="15"/>
  <c r="F696" i="15"/>
  <c r="F695" i="15"/>
  <c r="F694" i="15"/>
  <c r="F693" i="15"/>
  <c r="F692" i="15"/>
  <c r="F691" i="15"/>
  <c r="F690" i="15"/>
  <c r="F689" i="15"/>
  <c r="F688" i="15"/>
  <c r="F687" i="15"/>
  <c r="F686" i="15"/>
  <c r="F685" i="15"/>
  <c r="F684" i="15"/>
  <c r="F683" i="15"/>
  <c r="F682" i="15"/>
  <c r="F681" i="15"/>
  <c r="F680" i="15"/>
  <c r="F679" i="15"/>
  <c r="F678" i="15"/>
  <c r="F677" i="15"/>
  <c r="F676" i="15"/>
  <c r="F675" i="15"/>
  <c r="F674" i="15"/>
  <c r="F673" i="15"/>
  <c r="F672" i="15"/>
  <c r="F671" i="15"/>
  <c r="F670" i="15"/>
  <c r="F669" i="15"/>
  <c r="F668" i="15"/>
  <c r="F629" i="15"/>
  <c r="F628" i="15"/>
  <c r="F707" i="15"/>
  <c r="F667" i="15"/>
  <c r="F666" i="15"/>
  <c r="F665" i="15"/>
  <c r="F664" i="15"/>
  <c r="F663" i="15"/>
  <c r="F662" i="15"/>
  <c r="F661" i="15"/>
  <c r="F660" i="15"/>
  <c r="F659" i="15"/>
  <c r="F658" i="15"/>
  <c r="F657" i="15"/>
  <c r="F656" i="15"/>
  <c r="F655" i="15"/>
  <c r="F654" i="15"/>
  <c r="F653" i="15"/>
  <c r="F652" i="15"/>
  <c r="F651" i="15"/>
  <c r="F650" i="15"/>
  <c r="F649" i="15"/>
  <c r="F648" i="15"/>
  <c r="F647" i="15"/>
  <c r="F646" i="15"/>
  <c r="F645" i="15"/>
  <c r="F644" i="15"/>
  <c r="F643" i="15"/>
  <c r="F642" i="15"/>
  <c r="F641" i="15"/>
  <c r="F640" i="15"/>
  <c r="F639" i="15"/>
  <c r="F638" i="15"/>
  <c r="F637" i="15"/>
  <c r="F636" i="15"/>
  <c r="F635" i="15"/>
  <c r="F634" i="15"/>
  <c r="F633" i="15"/>
  <c r="F632" i="15"/>
  <c r="F631" i="15"/>
  <c r="F630" i="15"/>
  <c r="F627" i="15"/>
  <c r="F626" i="15"/>
  <c r="F625" i="15"/>
  <c r="F624" i="15"/>
  <c r="F623" i="15"/>
  <c r="F622" i="15"/>
  <c r="F621" i="15"/>
  <c r="F620" i="15"/>
  <c r="F619" i="15"/>
  <c r="F618" i="15"/>
  <c r="F617" i="15"/>
  <c r="F616" i="15"/>
  <c r="F615" i="15"/>
  <c r="F614" i="15"/>
  <c r="F613" i="15"/>
  <c r="F612" i="15"/>
  <c r="F611" i="15"/>
  <c r="F610" i="15"/>
  <c r="F609" i="15"/>
  <c r="F608" i="15"/>
  <c r="F607" i="15"/>
  <c r="F606" i="15"/>
  <c r="F605" i="15"/>
  <c r="F604" i="15"/>
  <c r="F603" i="15"/>
  <c r="F602" i="15"/>
  <c r="F601" i="15"/>
  <c r="F600" i="15"/>
  <c r="F599" i="15"/>
  <c r="F598" i="15"/>
  <c r="F597" i="15"/>
  <c r="F596" i="15"/>
  <c r="F595" i="15"/>
  <c r="F594" i="15"/>
  <c r="F593" i="15"/>
  <c r="F592" i="15"/>
  <c r="F591" i="15"/>
  <c r="F590" i="15"/>
  <c r="F589" i="15"/>
  <c r="F588" i="15"/>
  <c r="F587" i="15"/>
  <c r="F586" i="15"/>
  <c r="F585" i="15"/>
  <c r="F584" i="15"/>
  <c r="F583" i="15"/>
  <c r="F582" i="15"/>
  <c r="F581" i="15"/>
  <c r="F580" i="15"/>
  <c r="F579" i="15"/>
  <c r="F578" i="15"/>
  <c r="F577" i="15"/>
  <c r="F576" i="15"/>
  <c r="F575" i="15"/>
  <c r="F574" i="15"/>
  <c r="F573" i="15"/>
  <c r="F572" i="15"/>
  <c r="F571" i="15"/>
  <c r="F570" i="15"/>
  <c r="F569" i="15"/>
  <c r="F568" i="15"/>
  <c r="F567" i="15"/>
  <c r="F566" i="15"/>
  <c r="F565" i="15"/>
  <c r="F564" i="15"/>
  <c r="F563" i="15"/>
  <c r="F562" i="15"/>
  <c r="F561" i="15"/>
  <c r="F560" i="15"/>
  <c r="F559" i="15"/>
  <c r="F558" i="15"/>
  <c r="F557" i="15"/>
  <c r="F556" i="15"/>
  <c r="F555" i="15"/>
  <c r="F554" i="15"/>
  <c r="F553" i="15"/>
  <c r="F552" i="15"/>
  <c r="F551" i="15"/>
  <c r="F550" i="15"/>
  <c r="F549" i="15"/>
  <c r="F548" i="15"/>
  <c r="F547" i="15"/>
  <c r="F546" i="15"/>
  <c r="F545" i="15"/>
  <c r="F544" i="15"/>
  <c r="F543" i="15"/>
  <c r="F542" i="15"/>
  <c r="F541" i="15"/>
  <c r="F540" i="15"/>
  <c r="F539" i="15"/>
  <c r="F538" i="15"/>
  <c r="F537" i="15"/>
  <c r="F536" i="15"/>
  <c r="F535" i="15"/>
  <c r="F534" i="15"/>
  <c r="F533" i="15"/>
  <c r="F532" i="15"/>
  <c r="F531" i="15"/>
  <c r="F530" i="15"/>
  <c r="F529" i="15"/>
  <c r="F528" i="15"/>
  <c r="F527" i="15"/>
  <c r="F526" i="15"/>
  <c r="F525" i="15"/>
  <c r="F524" i="15"/>
  <c r="F523" i="15"/>
  <c r="F522" i="15"/>
  <c r="F521" i="15"/>
  <c r="F520" i="15"/>
  <c r="F519" i="15"/>
  <c r="F518" i="15"/>
  <c r="F517" i="15"/>
  <c r="F516" i="15"/>
  <c r="F515" i="15"/>
  <c r="F514" i="15"/>
  <c r="F513" i="15"/>
  <c r="F512" i="15"/>
  <c r="F511" i="15"/>
  <c r="F510" i="15"/>
  <c r="F509" i="15"/>
  <c r="F508" i="15"/>
  <c r="F507" i="15"/>
  <c r="F506" i="15"/>
  <c r="F505" i="15"/>
  <c r="F504" i="15"/>
  <c r="F503" i="15"/>
  <c r="F502" i="15"/>
  <c r="F501" i="15"/>
  <c r="F500" i="15"/>
  <c r="F499" i="15"/>
  <c r="F498" i="15"/>
  <c r="F497" i="15"/>
  <c r="F496" i="15"/>
  <c r="F495" i="15"/>
  <c r="F494" i="15"/>
  <c r="F493" i="15"/>
  <c r="F492" i="15"/>
  <c r="F491" i="15"/>
  <c r="F490" i="15"/>
  <c r="F489" i="15"/>
  <c r="F488" i="15"/>
  <c r="F487" i="15"/>
  <c r="F486" i="15"/>
  <c r="F485" i="15"/>
  <c r="F484" i="15"/>
  <c r="F483" i="15"/>
  <c r="F482" i="15"/>
  <c r="F481" i="15"/>
  <c r="F480" i="15"/>
  <c r="F479" i="15"/>
  <c r="F478" i="15"/>
  <c r="F477" i="15"/>
  <c r="F476" i="15"/>
  <c r="F475" i="15"/>
  <c r="F474" i="15"/>
  <c r="F473" i="15"/>
  <c r="F472" i="15"/>
  <c r="F471" i="15"/>
  <c r="F470" i="15"/>
  <c r="F469" i="15"/>
  <c r="F468" i="15"/>
  <c r="F467" i="15"/>
  <c r="F466" i="15"/>
  <c r="F465" i="15"/>
  <c r="F464" i="15"/>
  <c r="F463" i="15"/>
  <c r="F462" i="15"/>
  <c r="F461" i="15"/>
  <c r="F460" i="15"/>
  <c r="F459" i="15"/>
  <c r="F458" i="15"/>
  <c r="F457" i="15"/>
  <c r="F456" i="15"/>
  <c r="F455" i="15"/>
  <c r="F454" i="15"/>
  <c r="F453" i="15"/>
  <c r="F452" i="15"/>
  <c r="F451" i="15"/>
  <c r="F450" i="15"/>
  <c r="F449" i="15"/>
  <c r="F448" i="15"/>
  <c r="F447" i="15"/>
  <c r="F446" i="15"/>
  <c r="F445" i="15"/>
  <c r="F444" i="15"/>
  <c r="F443" i="15"/>
  <c r="F442" i="15"/>
  <c r="F441" i="15"/>
  <c r="F440" i="15"/>
  <c r="F439" i="15"/>
  <c r="F438" i="15"/>
  <c r="F437" i="15"/>
  <c r="F436" i="15"/>
  <c r="F435" i="15"/>
  <c r="F434" i="15"/>
  <c r="F433" i="15"/>
  <c r="F432" i="15"/>
  <c r="F431" i="15"/>
  <c r="F430" i="15"/>
  <c r="F429" i="15"/>
  <c r="F428" i="15"/>
  <c r="F427" i="15"/>
  <c r="F426" i="15"/>
  <c r="F425" i="15"/>
  <c r="F424" i="15"/>
  <c r="F423" i="15"/>
  <c r="F422" i="15"/>
  <c r="F421" i="15"/>
  <c r="F420" i="15"/>
  <c r="F419" i="15"/>
  <c r="F418" i="15"/>
  <c r="F417" i="15"/>
  <c r="F416" i="15"/>
  <c r="F415" i="15"/>
  <c r="F414" i="15"/>
  <c r="F413" i="15"/>
  <c r="F412" i="15"/>
  <c r="F411" i="15"/>
  <c r="F410" i="15"/>
  <c r="F409" i="15"/>
  <c r="F408" i="15"/>
  <c r="F407" i="15"/>
  <c r="F406" i="15"/>
  <c r="F405" i="15"/>
  <c r="F404" i="15"/>
  <c r="F403" i="15"/>
  <c r="F402" i="15"/>
  <c r="F401" i="15"/>
  <c r="F400" i="15"/>
  <c r="F399" i="15"/>
  <c r="F398" i="15"/>
  <c r="F397" i="15"/>
  <c r="F396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3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50" i="15"/>
  <c r="F248" i="15"/>
  <c r="F247" i="15"/>
  <c r="F246" i="15"/>
  <c r="F245" i="15"/>
  <c r="F244" i="15"/>
  <c r="F243" i="15"/>
  <c r="F242" i="15"/>
  <c r="F241" i="15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22" i="15"/>
  <c r="F221" i="15"/>
  <c r="F220" i="15"/>
  <c r="F219" i="15"/>
  <c r="F218" i="15"/>
  <c r="F217" i="15"/>
  <c r="F216" i="15"/>
  <c r="F215" i="15"/>
  <c r="F214" i="15"/>
  <c r="F212" i="15"/>
  <c r="F211" i="15"/>
  <c r="F210" i="15"/>
  <c r="F209" i="15"/>
  <c r="F208" i="15"/>
  <c r="F207" i="15"/>
  <c r="F206" i="15"/>
  <c r="F205" i="15"/>
  <c r="F204" i="15"/>
  <c r="F203" i="15"/>
  <c r="F202" i="15"/>
  <c r="F201" i="15"/>
  <c r="F200" i="15"/>
  <c r="F199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1" i="15"/>
  <c r="F180" i="15"/>
  <c r="F179" i="15"/>
  <c r="F178" i="15"/>
  <c r="F176" i="15"/>
  <c r="F175" i="15"/>
  <c r="F174" i="15"/>
  <c r="F173" i="15"/>
  <c r="F172" i="15"/>
  <c r="F171" i="15"/>
  <c r="F170" i="15"/>
  <c r="F169" i="15"/>
  <c r="F168" i="15"/>
  <c r="F167" i="15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150" i="15"/>
  <c r="F149" i="15"/>
  <c r="F148" i="15"/>
  <c r="F147" i="15"/>
  <c r="F146" i="15"/>
  <c r="F145" i="15"/>
  <c r="F144" i="15"/>
  <c r="F143" i="15"/>
  <c r="F142" i="15"/>
  <c r="F177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7" i="15"/>
  <c r="F99" i="15"/>
  <c r="F98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33" i="15"/>
  <c r="F31" i="15"/>
  <c r="F29" i="15"/>
  <c r="F27" i="15"/>
  <c r="F25" i="15"/>
  <c r="F23" i="15"/>
  <c r="F21" i="15"/>
  <c r="F19" i="15"/>
  <c r="F17" i="15"/>
  <c r="F15" i="15"/>
  <c r="F13" i="15"/>
  <c r="F11" i="15"/>
  <c r="F9" i="15"/>
  <c r="F7" i="15"/>
  <c r="F5" i="15"/>
  <c r="F3" i="15"/>
  <c r="F2" i="15"/>
  <c r="F6" i="15"/>
  <c r="F8" i="15"/>
  <c r="F10" i="15"/>
  <c r="F12" i="15"/>
  <c r="F14" i="15"/>
  <c r="F16" i="15"/>
  <c r="F18" i="15"/>
  <c r="F20" i="15"/>
  <c r="F22" i="15"/>
  <c r="F24" i="15"/>
  <c r="F26" i="15"/>
  <c r="F28" i="15"/>
  <c r="F30" i="15"/>
  <c r="F32" i="15"/>
  <c r="F4" i="15"/>
  <c r="E821" i="15"/>
  <c r="F821" i="15" s="1"/>
  <c r="F820" i="15" l="1"/>
  <c r="D673" i="2"/>
  <c r="D673" i="3" l="1"/>
  <c r="M5" i="12"/>
  <c r="O5" i="12" s="1"/>
  <c r="M6" i="12"/>
  <c r="O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M16" i="12"/>
  <c r="O16" i="12" s="1"/>
  <c r="M17" i="12"/>
  <c r="O17" i="12" s="1"/>
  <c r="M18" i="12"/>
  <c r="O18" i="12" s="1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36" i="12"/>
  <c r="O36" i="12" s="1"/>
  <c r="M37" i="12"/>
  <c r="O37" i="12" s="1"/>
  <c r="M38" i="12"/>
  <c r="O38" i="12" s="1"/>
  <c r="M39" i="12"/>
  <c r="O39" i="12" s="1"/>
  <c r="M40" i="12"/>
  <c r="O40" i="12" s="1"/>
  <c r="M41" i="12"/>
  <c r="O41" i="12" s="1"/>
  <c r="M42" i="12"/>
  <c r="O42" i="12" s="1"/>
  <c r="M43" i="12"/>
  <c r="O43" i="12" s="1"/>
  <c r="M44" i="12"/>
  <c r="O44" i="12" s="1"/>
  <c r="M45" i="12"/>
  <c r="O45" i="12" s="1"/>
  <c r="M4" i="12"/>
  <c r="O4" i="12" s="1"/>
  <c r="M3" i="12"/>
  <c r="O3" i="12" s="1"/>
  <c r="Q298" i="6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3" i="5"/>
  <c r="Q335" i="6" l="1"/>
  <c r="S335" i="6" s="1"/>
  <c r="Q266" i="6"/>
  <c r="Q203" i="6"/>
  <c r="Q172" i="6"/>
  <c r="Q160" i="6"/>
  <c r="Q169" i="6"/>
  <c r="Q152" i="6"/>
  <c r="Q127" i="6"/>
  <c r="Q119" i="6"/>
  <c r="S83" i="6" l="1"/>
  <c r="S119" i="6"/>
  <c r="S152" i="6"/>
  <c r="S160" i="6"/>
  <c r="S169" i="6"/>
  <c r="S172" i="6"/>
  <c r="S226" i="6"/>
  <c r="S266" i="6"/>
  <c r="S270" i="6"/>
  <c r="Q350" i="6"/>
  <c r="S350" i="6" s="1"/>
  <c r="Q348" i="6"/>
  <c r="S348" i="6" s="1"/>
  <c r="Q339" i="6"/>
  <c r="S339" i="6" s="1"/>
  <c r="Q320" i="6"/>
  <c r="S320" i="6" s="1"/>
  <c r="Q316" i="6"/>
  <c r="S316" i="6" s="1"/>
  <c r="Q342" i="6"/>
  <c r="S342" i="6" s="1"/>
  <c r="Q286" i="6"/>
  <c r="S286" i="6" s="1"/>
  <c r="Q282" i="6"/>
  <c r="S282" i="6" s="1"/>
  <c r="Q276" i="6"/>
  <c r="S276" i="6" s="1"/>
  <c r="Q274" i="6"/>
  <c r="S274" i="6" s="1"/>
  <c r="Q270" i="6"/>
  <c r="Q269" i="6"/>
  <c r="S269" i="6" s="1"/>
  <c r="Q263" i="6"/>
  <c r="S263" i="6" s="1"/>
  <c r="Q248" i="6"/>
  <c r="S248" i="6" s="1"/>
  <c r="Q238" i="6"/>
  <c r="S238" i="6" s="1"/>
  <c r="Q234" i="6"/>
  <c r="S234" i="6" s="1"/>
  <c r="Q233" i="6"/>
  <c r="S233" i="6" s="1"/>
  <c r="Q230" i="6"/>
  <c r="S230" i="6" s="1"/>
  <c r="Q226" i="6"/>
  <c r="Q219" i="6"/>
  <c r="S219" i="6" s="1"/>
  <c r="Q215" i="6"/>
  <c r="S215" i="6" s="1"/>
  <c r="Q214" i="6"/>
  <c r="S214" i="6" s="1"/>
  <c r="Q213" i="6"/>
  <c r="S213" i="6" s="1"/>
  <c r="Q209" i="6"/>
  <c r="S209" i="6" s="1"/>
  <c r="Q210" i="6"/>
  <c r="S210" i="6" s="1"/>
  <c r="Q208" i="6"/>
  <c r="S208" i="6" s="1"/>
  <c r="Q205" i="6"/>
  <c r="S205" i="6" s="1"/>
  <c r="Q201" i="6"/>
  <c r="S201" i="6" s="1"/>
  <c r="Q198" i="6"/>
  <c r="S198" i="6" s="1"/>
  <c r="Q178" i="6"/>
  <c r="S178" i="6" s="1"/>
  <c r="Q175" i="6"/>
  <c r="S175" i="6" s="1"/>
  <c r="Q154" i="6"/>
  <c r="S154" i="6" s="1"/>
  <c r="Q146" i="6"/>
  <c r="S146" i="6" s="1"/>
  <c r="Q143" i="6"/>
  <c r="S143" i="6" s="1"/>
  <c r="Q135" i="6"/>
  <c r="S135" i="6" s="1"/>
  <c r="Q133" i="6"/>
  <c r="S133" i="6" s="1"/>
  <c r="Q131" i="6"/>
  <c r="S131" i="6" s="1"/>
  <c r="Q101" i="6"/>
  <c r="S101" i="6" s="1"/>
  <c r="Q93" i="6"/>
  <c r="S93" i="6" s="1"/>
  <c r="Q86" i="6"/>
  <c r="S86" i="6" s="1"/>
  <c r="Q85" i="6"/>
  <c r="S85" i="6" s="1"/>
  <c r="Q84" i="6"/>
  <c r="S84" i="6" s="1"/>
  <c r="Q83" i="6"/>
  <c r="Q87" i="6"/>
  <c r="S87" i="6" s="1"/>
  <c r="Q66" i="6"/>
  <c r="S66" i="6" s="1"/>
  <c r="Q67" i="6"/>
  <c r="S67" i="6" s="1"/>
  <c r="Q68" i="6"/>
  <c r="S68" i="6" s="1"/>
  <c r="Q69" i="6"/>
  <c r="S69" i="6" s="1"/>
  <c r="Q70" i="6"/>
  <c r="S70" i="6" s="1"/>
  <c r="Q71" i="6"/>
  <c r="S71" i="6" s="1"/>
  <c r="Q72" i="6"/>
  <c r="S72" i="6" s="1"/>
  <c r="Q73" i="6"/>
  <c r="S73" i="6" s="1"/>
  <c r="Q74" i="6"/>
  <c r="S74" i="6" s="1"/>
  <c r="Q75" i="6"/>
  <c r="S75" i="6" s="1"/>
  <c r="Q76" i="6"/>
  <c r="S76" i="6" s="1"/>
  <c r="Q77" i="6"/>
  <c r="S77" i="6" s="1"/>
  <c r="Q78" i="6"/>
  <c r="S78" i="6" s="1"/>
  <c r="Q79" i="6"/>
  <c r="S79" i="6" s="1"/>
  <c r="Q80" i="6"/>
  <c r="S80" i="6" s="1"/>
  <c r="Q81" i="6"/>
  <c r="S81" i="6" s="1"/>
  <c r="S82" i="6"/>
  <c r="Q53" i="6"/>
  <c r="S53" i="6" s="1"/>
  <c r="Q54" i="6"/>
  <c r="S54" i="6" s="1"/>
  <c r="Q55" i="6"/>
  <c r="S55" i="6" s="1"/>
  <c r="Q56" i="6"/>
  <c r="S56" i="6" s="1"/>
  <c r="Q57" i="6"/>
  <c r="S57" i="6" s="1"/>
  <c r="Q58" i="6"/>
  <c r="S58" i="6" s="1"/>
  <c r="Q59" i="6"/>
  <c r="S59" i="6" s="1"/>
  <c r="Q60" i="6"/>
  <c r="S60" i="6" s="1"/>
  <c r="Q61" i="6"/>
  <c r="S61" i="6" s="1"/>
  <c r="Q62" i="6"/>
  <c r="S62" i="6" s="1"/>
  <c r="Q63" i="6"/>
  <c r="S63" i="6" s="1"/>
  <c r="Q64" i="6"/>
  <c r="S64" i="6" s="1"/>
  <c r="Q65" i="6"/>
  <c r="S65" i="6" s="1"/>
  <c r="Q43" i="6"/>
  <c r="S43" i="6" s="1"/>
  <c r="Q44" i="6"/>
  <c r="S44" i="6" s="1"/>
  <c r="Q45" i="6"/>
  <c r="S45" i="6" s="1"/>
  <c r="Q46" i="6"/>
  <c r="S46" i="6" s="1"/>
  <c r="Q47" i="6"/>
  <c r="S47" i="6" s="1"/>
  <c r="Q48" i="6"/>
  <c r="S48" i="6" s="1"/>
  <c r="Q49" i="6"/>
  <c r="S49" i="6" s="1"/>
  <c r="Q50" i="6"/>
  <c r="S50" i="6" s="1"/>
  <c r="Q51" i="6"/>
  <c r="S51" i="6" s="1"/>
  <c r="Q52" i="6"/>
  <c r="S52" i="6" s="1"/>
  <c r="Q42" i="6"/>
  <c r="S42" i="6" s="1"/>
  <c r="Q37" i="6"/>
  <c r="S37" i="6" s="1"/>
  <c r="Q38" i="6"/>
  <c r="S38" i="6" s="1"/>
  <c r="Q39" i="6"/>
  <c r="S39" i="6" s="1"/>
  <c r="Q40" i="6"/>
  <c r="S40" i="6" s="1"/>
  <c r="Q41" i="6"/>
  <c r="S41" i="6" s="1"/>
  <c r="Q36" i="6"/>
  <c r="S36" i="6" s="1"/>
  <c r="Q17" i="6"/>
  <c r="S17" i="6" s="1"/>
  <c r="Q18" i="6"/>
  <c r="S18" i="6" s="1"/>
  <c r="Q19" i="6"/>
  <c r="S19" i="6" s="1"/>
  <c r="Q20" i="6"/>
  <c r="S20" i="6" s="1"/>
  <c r="Q21" i="6"/>
  <c r="S21" i="6" s="1"/>
  <c r="Q22" i="6"/>
  <c r="S22" i="6" s="1"/>
  <c r="Q23" i="6"/>
  <c r="S23" i="6" s="1"/>
  <c r="Q24" i="6"/>
  <c r="S24" i="6" s="1"/>
  <c r="Q25" i="6"/>
  <c r="S25" i="6" s="1"/>
  <c r="Q26" i="6"/>
  <c r="S26" i="6" s="1"/>
  <c r="Q27" i="6"/>
  <c r="S27" i="6" s="1"/>
  <c r="Q28" i="6"/>
  <c r="S28" i="6" s="1"/>
  <c r="Q29" i="6"/>
  <c r="S29" i="6" s="1"/>
  <c r="Q30" i="6"/>
  <c r="S30" i="6" s="1"/>
  <c r="Q31" i="6"/>
  <c r="S31" i="6" s="1"/>
  <c r="Q32" i="6"/>
  <c r="S32" i="6" s="1"/>
  <c r="Q33" i="6"/>
  <c r="S33" i="6" s="1"/>
  <c r="Q34" i="6"/>
  <c r="S34" i="6" s="1"/>
  <c r="Q35" i="6"/>
  <c r="S35" i="6" s="1"/>
  <c r="Q16" i="6"/>
  <c r="S16" i="6" s="1"/>
  <c r="Q14" i="6"/>
  <c r="S14" i="6" s="1"/>
  <c r="Q13" i="6"/>
  <c r="S13" i="6" s="1"/>
  <c r="Q10" i="6"/>
  <c r="S10" i="6" s="1"/>
  <c r="Q11" i="6"/>
  <c r="S11" i="6" s="1"/>
  <c r="Q9" i="6"/>
  <c r="S9" i="6" s="1"/>
  <c r="Q4" i="6"/>
  <c r="S4" i="6" s="1"/>
  <c r="Q5" i="6"/>
  <c r="S5" i="6" s="1"/>
  <c r="Q6" i="6"/>
  <c r="S6" i="6" s="1"/>
  <c r="Q7" i="6"/>
  <c r="S7" i="6" s="1"/>
  <c r="Q3" i="6"/>
  <c r="S3" i="6" s="1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92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4" i="13"/>
  <c r="M3" i="13"/>
  <c r="M1" i="13"/>
  <c r="M38" i="14" l="1"/>
  <c r="O46" i="12"/>
  <c r="M93" i="13"/>
  <c r="Q265" i="6"/>
  <c r="S265" i="6" s="1"/>
  <c r="Q271" i="6" l="1"/>
  <c r="S271" i="6" s="1"/>
  <c r="M149" i="5" l="1"/>
  <c r="Q144" i="6"/>
  <c r="S144" i="6" s="1"/>
  <c r="Q145" i="6"/>
  <c r="S145" i="6" s="1"/>
  <c r="Q147" i="6"/>
  <c r="S147" i="6" s="1"/>
  <c r="Q148" i="6"/>
  <c r="S148" i="6" s="1"/>
  <c r="Q149" i="6"/>
  <c r="S149" i="6" s="1"/>
  <c r="Q150" i="6"/>
  <c r="S150" i="6" s="1"/>
  <c r="Q151" i="6"/>
  <c r="S151" i="6" s="1"/>
  <c r="Q153" i="6"/>
  <c r="S153" i="6" s="1"/>
  <c r="Q155" i="6"/>
  <c r="S155" i="6" s="1"/>
  <c r="Q156" i="6"/>
  <c r="S156" i="6" s="1"/>
  <c r="Q158" i="6"/>
  <c r="S158" i="6" s="1"/>
  <c r="Q159" i="6"/>
  <c r="S159" i="6" s="1"/>
  <c r="Q157" i="6"/>
  <c r="S157" i="6" s="1"/>
  <c r="Q161" i="6"/>
  <c r="S161" i="6" s="1"/>
  <c r="Q162" i="6"/>
  <c r="S162" i="6" s="1"/>
  <c r="Q163" i="6"/>
  <c r="S163" i="6" s="1"/>
  <c r="Q164" i="6"/>
  <c r="S164" i="6" s="1"/>
  <c r="Q165" i="6"/>
  <c r="S165" i="6" s="1"/>
  <c r="Q166" i="6"/>
  <c r="S166" i="6" s="1"/>
  <c r="Q167" i="6"/>
  <c r="S167" i="6" s="1"/>
  <c r="Q168" i="6"/>
  <c r="S168" i="6" s="1"/>
  <c r="Q88" i="6"/>
  <c r="S88" i="6" s="1"/>
  <c r="Q170" i="6"/>
  <c r="S170" i="6" s="1"/>
  <c r="Q171" i="6"/>
  <c r="S171" i="6" s="1"/>
  <c r="Q173" i="6"/>
  <c r="S173" i="6" s="1"/>
  <c r="Q174" i="6"/>
  <c r="S174" i="6" s="1"/>
  <c r="Q89" i="6"/>
  <c r="S89" i="6" s="1"/>
  <c r="Q176" i="6"/>
  <c r="S176" i="6" s="1"/>
  <c r="Q177" i="6"/>
  <c r="S177" i="6" s="1"/>
  <c r="Q90" i="6"/>
  <c r="S90" i="6" s="1"/>
  <c r="Q91" i="6"/>
  <c r="S91" i="6" s="1"/>
  <c r="Q8" i="6"/>
  <c r="S8" i="6" s="1"/>
  <c r="Q181" i="6"/>
  <c r="S181" i="6" s="1"/>
  <c r="Q180" i="6"/>
  <c r="S180" i="6" s="1"/>
  <c r="Q179" i="6"/>
  <c r="S179" i="6" s="1"/>
  <c r="Q12" i="6"/>
  <c r="S12" i="6" s="1"/>
  <c r="Q182" i="6"/>
  <c r="S182" i="6" s="1"/>
  <c r="Q183" i="6"/>
  <c r="S183" i="6" s="1"/>
  <c r="Q185" i="6"/>
  <c r="S185" i="6" s="1"/>
  <c r="Q184" i="6"/>
  <c r="S184" i="6" s="1"/>
  <c r="Q186" i="6"/>
  <c r="S186" i="6" s="1"/>
  <c r="Q92" i="6"/>
  <c r="S92" i="6" s="1"/>
  <c r="Q187" i="6"/>
  <c r="S187" i="6" s="1"/>
  <c r="Q188" i="6"/>
  <c r="S188" i="6" s="1"/>
  <c r="Q189" i="6"/>
  <c r="S189" i="6" s="1"/>
  <c r="Q190" i="6"/>
  <c r="S190" i="6" s="1"/>
  <c r="Q193" i="6"/>
  <c r="S193" i="6" s="1"/>
  <c r="Q195" i="6"/>
  <c r="S195" i="6" s="1"/>
  <c r="Q192" i="6"/>
  <c r="S192" i="6" s="1"/>
  <c r="Q194" i="6"/>
  <c r="S194" i="6" s="1"/>
  <c r="Q191" i="6"/>
  <c r="S191" i="6" s="1"/>
  <c r="Q94" i="6"/>
  <c r="S94" i="6" s="1"/>
  <c r="Q95" i="6"/>
  <c r="S95" i="6" s="1"/>
  <c r="Q196" i="6"/>
  <c r="S196" i="6" s="1"/>
  <c r="Q197" i="6"/>
  <c r="S197" i="6" s="1"/>
  <c r="Q96" i="6"/>
  <c r="S96" i="6" s="1"/>
  <c r="Q199" i="6"/>
  <c r="S199" i="6" s="1"/>
  <c r="Q200" i="6"/>
  <c r="S200" i="6" s="1"/>
  <c r="S15" i="6"/>
  <c r="Q202" i="6"/>
  <c r="S202" i="6" s="1"/>
  <c r="S203" i="6"/>
  <c r="Q97" i="6"/>
  <c r="S97" i="6" s="1"/>
  <c r="Q204" i="6"/>
  <c r="S204" i="6" s="1"/>
  <c r="Q98" i="6"/>
  <c r="S98" i="6" s="1"/>
  <c r="Q206" i="6"/>
  <c r="S206" i="6" s="1"/>
  <c r="Q207" i="6"/>
  <c r="S207" i="6" s="1"/>
  <c r="Q211" i="6"/>
  <c r="S211" i="6" s="1"/>
  <c r="Q212" i="6"/>
  <c r="S212" i="6" s="1"/>
  <c r="Q216" i="6"/>
  <c r="S216" i="6" s="1"/>
  <c r="Q99" i="6"/>
  <c r="S99" i="6" s="1"/>
  <c r="Q217" i="6"/>
  <c r="S217" i="6" s="1"/>
  <c r="Q218" i="6"/>
  <c r="S218" i="6" s="1"/>
  <c r="Q220" i="6"/>
  <c r="S220" i="6" s="1"/>
  <c r="Q221" i="6"/>
  <c r="S221" i="6" s="1"/>
  <c r="Q222" i="6"/>
  <c r="S222" i="6" s="1"/>
  <c r="Q223" i="6"/>
  <c r="S223" i="6" s="1"/>
  <c r="Q224" i="6"/>
  <c r="S224" i="6" s="1"/>
  <c r="Q225" i="6"/>
  <c r="S225" i="6" s="1"/>
  <c r="Q227" i="6"/>
  <c r="S227" i="6" s="1"/>
  <c r="Q100" i="6"/>
  <c r="S100" i="6" s="1"/>
  <c r="Q228" i="6"/>
  <c r="S228" i="6" s="1"/>
  <c r="Q102" i="6"/>
  <c r="S102" i="6" s="1"/>
  <c r="Q229" i="6"/>
  <c r="S229" i="6" s="1"/>
  <c r="Q231" i="6"/>
  <c r="S231" i="6" s="1"/>
  <c r="Q232" i="6"/>
  <c r="S232" i="6" s="1"/>
  <c r="Q235" i="6"/>
  <c r="S235" i="6" s="1"/>
  <c r="Q103" i="6"/>
  <c r="S103" i="6" s="1"/>
  <c r="Q236" i="6"/>
  <c r="S236" i="6" s="1"/>
  <c r="Q237" i="6"/>
  <c r="S237" i="6" s="1"/>
  <c r="Q104" i="6"/>
  <c r="S104" i="6" s="1"/>
  <c r="Q105" i="6"/>
  <c r="S105" i="6" s="1"/>
  <c r="Q106" i="6"/>
  <c r="S106" i="6" s="1"/>
  <c r="Q239" i="6"/>
  <c r="S239" i="6" s="1"/>
  <c r="Q240" i="6"/>
  <c r="S240" i="6" s="1"/>
  <c r="Q241" i="6"/>
  <c r="S241" i="6" s="1"/>
  <c r="Q242" i="6"/>
  <c r="S242" i="6" s="1"/>
  <c r="Q107" i="6"/>
  <c r="S107" i="6" s="1"/>
  <c r="Q243" i="6"/>
  <c r="S243" i="6" s="1"/>
  <c r="Q244" i="6"/>
  <c r="S244" i="6" s="1"/>
  <c r="Q245" i="6"/>
  <c r="S245" i="6" s="1"/>
  <c r="Q246" i="6"/>
  <c r="S246" i="6" s="1"/>
  <c r="Q247" i="6"/>
  <c r="S247" i="6" s="1"/>
  <c r="Q250" i="6"/>
  <c r="S250" i="6" s="1"/>
  <c r="Q251" i="6"/>
  <c r="S251" i="6" s="1"/>
  <c r="Q249" i="6"/>
  <c r="S249" i="6" s="1"/>
  <c r="Q252" i="6"/>
  <c r="S252" i="6" s="1"/>
  <c r="Q108" i="6"/>
  <c r="S108" i="6" s="1"/>
  <c r="Q253" i="6"/>
  <c r="S253" i="6" s="1"/>
  <c r="Q254" i="6"/>
  <c r="S254" i="6" s="1"/>
  <c r="Q255" i="6"/>
  <c r="S255" i="6" s="1"/>
  <c r="Q256" i="6"/>
  <c r="S256" i="6" s="1"/>
  <c r="Q257" i="6"/>
  <c r="S257" i="6" s="1"/>
  <c r="Q109" i="6"/>
  <c r="S109" i="6" s="1"/>
  <c r="Q110" i="6"/>
  <c r="S110" i="6" s="1"/>
  <c r="Q258" i="6"/>
  <c r="S258" i="6" s="1"/>
  <c r="Q259" i="6"/>
  <c r="S259" i="6" s="1"/>
  <c r="Q260" i="6"/>
  <c r="S260" i="6" s="1"/>
  <c r="Q111" i="6"/>
  <c r="S111" i="6" s="1"/>
  <c r="Q112" i="6"/>
  <c r="S112" i="6" s="1"/>
  <c r="Q261" i="6"/>
  <c r="S261" i="6" s="1"/>
  <c r="Q262" i="6"/>
  <c r="S262" i="6" s="1"/>
  <c r="Q113" i="6"/>
  <c r="S113" i="6" s="1"/>
  <c r="Q114" i="6"/>
  <c r="S114" i="6" s="1"/>
  <c r="Q116" i="6"/>
  <c r="S116" i="6" s="1"/>
  <c r="Q264" i="6"/>
  <c r="S264" i="6" s="1"/>
  <c r="Q117" i="6"/>
  <c r="S117" i="6" s="1"/>
  <c r="Q118" i="6"/>
  <c r="S118" i="6" s="1"/>
  <c r="Q267" i="6"/>
  <c r="S267" i="6" s="1"/>
  <c r="Q268" i="6"/>
  <c r="S268" i="6" s="1"/>
  <c r="Q120" i="6"/>
  <c r="S120" i="6" s="1"/>
  <c r="Q121" i="6"/>
  <c r="S121" i="6" s="1"/>
  <c r="Q122" i="6"/>
  <c r="S122" i="6" s="1"/>
  <c r="Q123" i="6"/>
  <c r="S123" i="6" s="1"/>
  <c r="Q124" i="6"/>
  <c r="S124" i="6" s="1"/>
  <c r="Q272" i="6"/>
  <c r="S272" i="6" s="1"/>
  <c r="Q273" i="6"/>
  <c r="S273" i="6" s="1"/>
  <c r="Q275" i="6"/>
  <c r="S275" i="6" s="1"/>
  <c r="Q277" i="6"/>
  <c r="S277" i="6" s="1"/>
  <c r="Q278" i="6"/>
  <c r="S278" i="6" s="1"/>
  <c r="Q280" i="6"/>
  <c r="S280" i="6" s="1"/>
  <c r="Q279" i="6"/>
  <c r="S279" i="6" s="1"/>
  <c r="Q125" i="6"/>
  <c r="S125" i="6" s="1"/>
  <c r="Q281" i="6"/>
  <c r="S281" i="6" s="1"/>
  <c r="Q283" i="6"/>
  <c r="S283" i="6" s="1"/>
  <c r="Q284" i="6"/>
  <c r="S284" i="6" s="1"/>
  <c r="Q285" i="6"/>
  <c r="S285" i="6" s="1"/>
  <c r="Q287" i="6"/>
  <c r="S287" i="6" s="1"/>
  <c r="Q126" i="6"/>
  <c r="S126" i="6" s="1"/>
  <c r="Q288" i="6"/>
  <c r="S288" i="6" s="1"/>
  <c r="Q289" i="6"/>
  <c r="S289" i="6" s="1"/>
  <c r="Q290" i="6"/>
  <c r="S290" i="6" s="1"/>
  <c r="Q291" i="6"/>
  <c r="S291" i="6" s="1"/>
  <c r="S127" i="6"/>
  <c r="Q128" i="6"/>
  <c r="S128" i="6" s="1"/>
  <c r="Q292" i="6"/>
  <c r="S292" i="6" s="1"/>
  <c r="Q293" i="6"/>
  <c r="S293" i="6" s="1"/>
  <c r="Q294" i="6"/>
  <c r="S294" i="6" s="1"/>
  <c r="Q295" i="6"/>
  <c r="S295" i="6" s="1"/>
  <c r="Q129" i="6"/>
  <c r="S129" i="6" s="1"/>
  <c r="Q296" i="6"/>
  <c r="S296" i="6" s="1"/>
  <c r="Q297" i="6"/>
  <c r="S297" i="6" s="1"/>
  <c r="Q130" i="6"/>
  <c r="S130" i="6" s="1"/>
  <c r="S298" i="6"/>
  <c r="Q299" i="6"/>
  <c r="S299" i="6" s="1"/>
  <c r="Q300" i="6"/>
  <c r="S300" i="6" s="1"/>
  <c r="Q301" i="6"/>
  <c r="S301" i="6" s="1"/>
  <c r="Q302" i="6"/>
  <c r="S302" i="6" s="1"/>
  <c r="Q132" i="6"/>
  <c r="S132" i="6" s="1"/>
  <c r="Q303" i="6"/>
  <c r="S303" i="6" s="1"/>
  <c r="Q304" i="6"/>
  <c r="S304" i="6" s="1"/>
  <c r="Q134" i="6"/>
  <c r="S134" i="6" s="1"/>
  <c r="Q305" i="6"/>
  <c r="S305" i="6" s="1"/>
  <c r="Q306" i="6"/>
  <c r="S306" i="6" s="1"/>
  <c r="Q307" i="6"/>
  <c r="S307" i="6" s="1"/>
  <c r="Q308" i="6"/>
  <c r="S308" i="6" s="1"/>
  <c r="Q309" i="6"/>
  <c r="S309" i="6" s="1"/>
  <c r="Q310" i="6"/>
  <c r="S310" i="6" s="1"/>
  <c r="Q311" i="6"/>
  <c r="S311" i="6" s="1"/>
  <c r="Q312" i="6"/>
  <c r="S312" i="6" s="1"/>
  <c r="Q313" i="6"/>
  <c r="S313" i="6" s="1"/>
  <c r="Q136" i="6"/>
  <c r="S136" i="6" s="1"/>
  <c r="Q314" i="6"/>
  <c r="S314" i="6" s="1"/>
  <c r="Q137" i="6"/>
  <c r="S137" i="6" s="1"/>
  <c r="Q315" i="6"/>
  <c r="S315" i="6" s="1"/>
  <c r="Q317" i="6"/>
  <c r="S317" i="6" s="1"/>
  <c r="Q318" i="6"/>
  <c r="S318" i="6" s="1"/>
  <c r="Q319" i="6"/>
  <c r="S319" i="6" s="1"/>
  <c r="Q321" i="6"/>
  <c r="S321" i="6" s="1"/>
  <c r="Q322" i="6"/>
  <c r="S322" i="6" s="1"/>
  <c r="Q323" i="6"/>
  <c r="S323" i="6" s="1"/>
  <c r="Q324" i="6"/>
  <c r="S324" i="6" s="1"/>
  <c r="Q325" i="6"/>
  <c r="S325" i="6" s="1"/>
  <c r="Q138" i="6"/>
  <c r="S138" i="6" s="1"/>
  <c r="Q327" i="6"/>
  <c r="S327" i="6" s="1"/>
  <c r="Q328" i="6"/>
  <c r="S328" i="6" s="1"/>
  <c r="Q329" i="6"/>
  <c r="S329" i="6" s="1"/>
  <c r="Q330" i="6"/>
  <c r="S330" i="6" s="1"/>
  <c r="Q331" i="6"/>
  <c r="S331" i="6" s="1"/>
  <c r="Q332" i="6"/>
  <c r="S332" i="6" s="1"/>
  <c r="Q333" i="6"/>
  <c r="S333" i="6" s="1"/>
  <c r="Q334" i="6"/>
  <c r="S334" i="6" s="1"/>
  <c r="Q326" i="6"/>
  <c r="S326" i="6" s="1"/>
  <c r="Q336" i="6"/>
  <c r="S336" i="6" s="1"/>
  <c r="Q337" i="6"/>
  <c r="S337" i="6" s="1"/>
  <c r="Q338" i="6"/>
  <c r="S338" i="6" s="1"/>
  <c r="Q340" i="6"/>
  <c r="S340" i="6" s="1"/>
  <c r="Q341" i="6"/>
  <c r="S341" i="6" s="1"/>
  <c r="Q343" i="6"/>
  <c r="S343" i="6" s="1"/>
  <c r="Q344" i="6"/>
  <c r="S344" i="6" s="1"/>
  <c r="Q345" i="6"/>
  <c r="S345" i="6" s="1"/>
  <c r="Q346" i="6"/>
  <c r="S346" i="6" s="1"/>
  <c r="Q347" i="6"/>
  <c r="S347" i="6" s="1"/>
  <c r="Q349" i="6"/>
  <c r="S349" i="6" s="1"/>
  <c r="Q139" i="6"/>
  <c r="S139" i="6" s="1"/>
  <c r="Q351" i="6"/>
  <c r="S351" i="6" s="1"/>
  <c r="Q353" i="6"/>
  <c r="S353" i="6" s="1"/>
  <c r="Q354" i="6"/>
  <c r="S354" i="6" s="1"/>
  <c r="Q352" i="6"/>
  <c r="S352" i="6" s="1"/>
  <c r="Q355" i="6"/>
  <c r="S355" i="6" s="1"/>
  <c r="Q356" i="6"/>
  <c r="S356" i="6" s="1"/>
  <c r="Q357" i="6"/>
  <c r="S357" i="6" s="1"/>
  <c r="Q141" i="6"/>
  <c r="S141" i="6" s="1"/>
  <c r="Q140" i="6"/>
  <c r="S140" i="6" s="1"/>
  <c r="Q142" i="6"/>
  <c r="S142" i="6" s="1"/>
  <c r="S358" i="6" l="1"/>
</calcChain>
</file>

<file path=xl/sharedStrings.xml><?xml version="1.0" encoding="utf-8"?>
<sst xmlns="http://schemas.openxmlformats.org/spreadsheetml/2006/main" count="10856" uniqueCount="3918">
  <si>
    <t>回転台</t>
    <rPh sb="0" eb="2">
      <t>カイテン</t>
    </rPh>
    <rPh sb="2" eb="3">
      <t>ダイ</t>
    </rPh>
    <phoneticPr fontId="2"/>
  </si>
  <si>
    <t>分包機・散薬</t>
    <rPh sb="0" eb="3">
      <t>ブンポウキ</t>
    </rPh>
    <rPh sb="4" eb="5">
      <t>サン</t>
    </rPh>
    <rPh sb="5" eb="6">
      <t>ヤク</t>
    </rPh>
    <phoneticPr fontId="2"/>
  </si>
  <si>
    <t>在庫棚</t>
    <rPh sb="0" eb="2">
      <t>ザイコ</t>
    </rPh>
    <rPh sb="2" eb="3">
      <t>タナ</t>
    </rPh>
    <phoneticPr fontId="3"/>
  </si>
  <si>
    <t>ヒート棚</t>
    <rPh sb="3" eb="4">
      <t>タナ</t>
    </rPh>
    <phoneticPr fontId="2"/>
  </si>
  <si>
    <t>商品名</t>
  </si>
  <si>
    <t>分類</t>
    <rPh sb="0" eb="2">
      <t>ブンルイ</t>
    </rPh>
    <phoneticPr fontId="3"/>
  </si>
  <si>
    <t>納入単価</t>
    <rPh sb="2" eb="3">
      <t>タン</t>
    </rPh>
    <phoneticPr fontId="3"/>
  </si>
  <si>
    <t>測定量（ｇ）</t>
    <rPh sb="0" eb="2">
      <t>ソクテイ</t>
    </rPh>
    <rPh sb="2" eb="3">
      <t>リョウ</t>
    </rPh>
    <phoneticPr fontId="3"/>
  </si>
  <si>
    <t>風袋</t>
    <rPh sb="0" eb="2">
      <t>フウタイ</t>
    </rPh>
    <phoneticPr fontId="2"/>
  </si>
  <si>
    <t>g/10T</t>
    <phoneticPr fontId="3"/>
  </si>
  <si>
    <t>測定量（ｇ）</t>
    <rPh sb="0" eb="2">
      <t>ソクテイ</t>
    </rPh>
    <rPh sb="2" eb="3">
      <t>リョウ</t>
    </rPh>
    <phoneticPr fontId="2"/>
  </si>
  <si>
    <t>風袋</t>
    <rPh sb="0" eb="2">
      <t>フウタイ</t>
    </rPh>
    <phoneticPr fontId="3"/>
  </si>
  <si>
    <t>数量(錠）</t>
    <rPh sb="0" eb="2">
      <t>スウリョウ</t>
    </rPh>
    <rPh sb="3" eb="4">
      <t>ジョウ</t>
    </rPh>
    <phoneticPr fontId="2"/>
  </si>
  <si>
    <t>ﾋｰﾄ数</t>
    <rPh sb="3" eb="4">
      <t>スウ</t>
    </rPh>
    <phoneticPr fontId="2"/>
  </si>
  <si>
    <t>在庫総量</t>
    <rPh sb="0" eb="2">
      <t>ザイコ</t>
    </rPh>
    <rPh sb="2" eb="4">
      <t>ソウリョウ</t>
    </rPh>
    <phoneticPr fontId="2"/>
  </si>
  <si>
    <t>単位</t>
    <rPh sb="0" eb="2">
      <t>タンイ</t>
    </rPh>
    <phoneticPr fontId="2"/>
  </si>
  <si>
    <t>在庫金額</t>
    <rPh sb="0" eb="2">
      <t>ザイコ</t>
    </rPh>
    <rPh sb="2" eb="4">
      <t>キンガク</t>
    </rPh>
    <phoneticPr fontId="2"/>
  </si>
  <si>
    <t>アドナ散</t>
    <rPh sb="3" eb="4">
      <t>サン</t>
    </rPh>
    <phoneticPr fontId="3"/>
  </si>
  <si>
    <t xml:space="preserve">アレビアチン散１０％ </t>
    <phoneticPr fontId="3"/>
  </si>
  <si>
    <t xml:space="preserve">ウインタミン細粒（１０％） </t>
    <phoneticPr fontId="3"/>
  </si>
  <si>
    <t>カルバマゼピン細粒５０％「アメル」</t>
  </si>
  <si>
    <t>クエチアピン細粒50％</t>
    <rPh sb="6" eb="8">
      <t>サイリュウ</t>
    </rPh>
    <phoneticPr fontId="2"/>
  </si>
  <si>
    <t>ｾﾝﾌﾞﾘ・重曹散｢ﾖｼﾀﾞ｣</t>
    <rPh sb="6" eb="8">
      <t>ジュウソウ</t>
    </rPh>
    <rPh sb="8" eb="9">
      <t>サン</t>
    </rPh>
    <phoneticPr fontId="3"/>
  </si>
  <si>
    <t>ﾆｺﾁﾝ酸ｱﾐﾄﾞ散10％「ｿﾞﾝﾈ」</t>
    <rPh sb="4" eb="5">
      <t>サン</t>
    </rPh>
    <rPh sb="9" eb="10">
      <t>サン</t>
    </rPh>
    <phoneticPr fontId="2"/>
  </si>
  <si>
    <t>バルプロ酸Na徐放顆粒４０％</t>
    <rPh sb="4" eb="5">
      <t>サン</t>
    </rPh>
    <phoneticPr fontId="3"/>
  </si>
  <si>
    <t>ﾋﾞｵﾌｪﾙﾐﾝ配合散</t>
  </si>
  <si>
    <t>ヒベルナ散　１０％ １００ｇ</t>
  </si>
  <si>
    <t>ファモチジン散１０％　　　　　　　　　　　</t>
    <phoneticPr fontId="3"/>
  </si>
  <si>
    <t>ブドウ糖</t>
  </si>
  <si>
    <t>ブロムペリドール細粒1％</t>
    <rPh sb="8" eb="10">
      <t>サイリュウ</t>
    </rPh>
    <phoneticPr fontId="2"/>
  </si>
  <si>
    <t>ﾍﾞｻｺﾘﾝ散5％</t>
    <rPh sb="6" eb="7">
      <t>サン</t>
    </rPh>
    <phoneticPr fontId="2"/>
  </si>
  <si>
    <t>リスパダール細粒１％</t>
  </si>
  <si>
    <t>ﾛ-ﾄｴｷｽ散</t>
  </si>
  <si>
    <t>塩化ｶﾘｳﾑ</t>
  </si>
  <si>
    <t>塩化ﾅﾄﾘｳﾑ</t>
  </si>
  <si>
    <t>重ｶﾏ｢ﾖｼﾀﾞ｣(細粒状)</t>
  </si>
  <si>
    <t>炭酸水素ﾅﾄﾘｳﾑ</t>
  </si>
  <si>
    <t>乳糖水和物｢ﾖｼﾀﾞ｣</t>
  </si>
  <si>
    <t>ｱﾐﾉﾚﾊﾞﾝEN配合散 50g/包</t>
    <rPh sb="17" eb="18">
      <t>ホウ</t>
    </rPh>
    <phoneticPr fontId="2"/>
  </si>
  <si>
    <t>（10ｇ）</t>
    <phoneticPr fontId="2"/>
  </si>
  <si>
    <t>包</t>
    <rPh sb="0" eb="1">
      <t>ホウ</t>
    </rPh>
    <phoneticPr fontId="2"/>
  </si>
  <si>
    <t>SPトローチ</t>
    <phoneticPr fontId="2"/>
  </si>
  <si>
    <t>錠</t>
    <rPh sb="0" eb="1">
      <t>ジョウ</t>
    </rPh>
    <phoneticPr fontId="2"/>
  </si>
  <si>
    <t>（1ｇ）</t>
    <phoneticPr fontId="2"/>
  </si>
  <si>
    <t>トーワチーム配合顆粒(分包品1ｇ）</t>
    <rPh sb="6" eb="8">
      <t>ハイゴウ</t>
    </rPh>
    <rPh sb="8" eb="10">
      <t>カリュウ</t>
    </rPh>
    <rPh sb="11" eb="12">
      <t>ブン</t>
    </rPh>
    <rPh sb="12" eb="13">
      <t>ホウ</t>
    </rPh>
    <rPh sb="13" eb="14">
      <t>ヒン</t>
    </rPh>
    <phoneticPr fontId="2"/>
  </si>
  <si>
    <t>個</t>
    <rPh sb="0" eb="1">
      <t>コ</t>
    </rPh>
    <phoneticPr fontId="2"/>
  </si>
  <si>
    <t>リスパダール内用液　１ｍｇ／ｍＬ0.5ｍｌ</t>
    <phoneticPr fontId="3"/>
  </si>
  <si>
    <t>リスパダール内用液　１ｍｇ／ｍＬ1ｍｌ</t>
    <phoneticPr fontId="3"/>
  </si>
  <si>
    <t>リスパダール内用液　１ｍｇ／ｍＬ30ｍｌ</t>
    <phoneticPr fontId="3"/>
  </si>
  <si>
    <t>本</t>
    <rPh sb="0" eb="1">
      <t>ホン</t>
    </rPh>
    <phoneticPr fontId="2"/>
  </si>
  <si>
    <t>リスペリドン内用液分包0.5ｍｇ/0.5ｍｌ</t>
    <rPh sb="6" eb="8">
      <t>ナイヨウ</t>
    </rPh>
    <rPh sb="8" eb="9">
      <t>エキ</t>
    </rPh>
    <rPh sb="9" eb="10">
      <t>ブン</t>
    </rPh>
    <rPh sb="10" eb="11">
      <t>ホウ</t>
    </rPh>
    <phoneticPr fontId="2"/>
  </si>
  <si>
    <t>リスペリドン内用液分包1ｍｇ/1ｍｌ</t>
    <rPh sb="6" eb="8">
      <t>ナイヨウ</t>
    </rPh>
    <rPh sb="8" eb="9">
      <t>エキ</t>
    </rPh>
    <rPh sb="9" eb="10">
      <t>ブン</t>
    </rPh>
    <rPh sb="10" eb="11">
      <t>ホウ</t>
    </rPh>
    <phoneticPr fontId="2"/>
  </si>
  <si>
    <t>017 ﾂﾑﾗ ｺﾞﾚｲｻﾝ　2.5g/包</t>
    <rPh sb="20" eb="21">
      <t>ホウ</t>
    </rPh>
    <phoneticPr fontId="2"/>
  </si>
  <si>
    <t>020 ﾂﾑﾗ ﾎﾞｳｲｵｳｷﾞﾄｳ　2.5g/包</t>
    <rPh sb="24" eb="25">
      <t>ホウ</t>
    </rPh>
    <phoneticPr fontId="2"/>
  </si>
  <si>
    <t>043ﾂﾑﾗﾘｯｸﾝｼﾄｳ　2.5g/包</t>
    <rPh sb="19" eb="20">
      <t>ホウ</t>
    </rPh>
    <phoneticPr fontId="2"/>
  </si>
  <si>
    <t>048 ﾂﾑﾗ ｼﾞｭｳｾﾞﾝﾀｲﾎﾄｳ　2.5g/包</t>
    <rPh sb="26" eb="27">
      <t>ホウ</t>
    </rPh>
    <phoneticPr fontId="2"/>
  </si>
  <si>
    <t>054 ﾂﾑﾗ ﾖｸｶﾝｻﾝ　2.5g/包</t>
    <rPh sb="20" eb="21">
      <t>ホウ</t>
    </rPh>
    <phoneticPr fontId="2"/>
  </si>
  <si>
    <t>062 ﾂﾑﾗ ﾎﾞｳﾌｳﾂｳｼｮｳｻﾝ　2.5g/包</t>
    <rPh sb="26" eb="27">
      <t>ホウ</t>
    </rPh>
    <phoneticPr fontId="2"/>
  </si>
  <si>
    <t>068ﾂﾑﾗｼｬｸﾔｸｶﾝｿﾞｳﾄｳ　2.5g/包</t>
    <rPh sb="24" eb="25">
      <t>ホウ</t>
    </rPh>
    <phoneticPr fontId="2"/>
  </si>
  <si>
    <t>083ﾂﾑﾗﾖｸｶﾝｻｶﾁﾝﾋﾟﾊﾝｹﾞ　2.5g/包</t>
    <rPh sb="26" eb="27">
      <t>ホウ</t>
    </rPh>
    <phoneticPr fontId="2"/>
  </si>
  <si>
    <t>100 ﾂﾑﾗ ﾀﾞｲｹﾝﾁｭｳﾄｳ　2.5g/包</t>
    <rPh sb="24" eb="25">
      <t>ホウ</t>
    </rPh>
    <phoneticPr fontId="2"/>
  </si>
  <si>
    <t>ｸﾗｼｴ葛根湯　ＥＫ－１　2.5g/包</t>
    <rPh sb="18" eb="19">
      <t>ホウ</t>
    </rPh>
    <phoneticPr fontId="3"/>
  </si>
  <si>
    <t>ｸﾗｼｴ黄連解毒湯　KB-15　3.0g/包</t>
    <rPh sb="4" eb="6">
      <t>オウレン</t>
    </rPh>
    <rPh sb="6" eb="8">
      <t>ゲドク</t>
    </rPh>
    <rPh sb="8" eb="9">
      <t>トウ</t>
    </rPh>
    <rPh sb="21" eb="22">
      <t>ホウ</t>
    </rPh>
    <phoneticPr fontId="2"/>
  </si>
  <si>
    <t>ｸﾗｼｴ柴苓湯　ＥＫ－１１４　2.7g/包</t>
    <rPh sb="20" eb="21">
      <t>ホウ</t>
    </rPh>
    <phoneticPr fontId="3"/>
  </si>
  <si>
    <t>ｸﾗｼｴ補中益気湯　ＫＢ－４１　3.75g/包</t>
    <rPh sb="22" eb="23">
      <t>ホウ</t>
    </rPh>
    <phoneticPr fontId="3"/>
  </si>
  <si>
    <t>ｸﾗｼｴ加味逍遥散KB-24　3.0g/包</t>
    <rPh sb="4" eb="6">
      <t>カミ</t>
    </rPh>
    <rPh sb="6" eb="8">
      <t>ショウヨウ</t>
    </rPh>
    <rPh sb="8" eb="9">
      <t>サン</t>
    </rPh>
    <rPh sb="20" eb="21">
      <t>ホウ</t>
    </rPh>
    <phoneticPr fontId="2"/>
  </si>
  <si>
    <t>ｸﾗｼｴ小青龍湯EK-19　2.0g/包</t>
    <rPh sb="4" eb="8">
      <t>ショウセイリュウトウ</t>
    </rPh>
    <rPh sb="19" eb="20">
      <t>ホウ</t>
    </rPh>
    <phoneticPr fontId="2"/>
  </si>
  <si>
    <t>25MG ｱﾘﾅﾐﾝ F糖衣錠</t>
  </si>
  <si>
    <t>ＥＰＬカプセル２５０ｍｇ バラ　４００Ｐ</t>
  </si>
  <si>
    <t>ｱﾀﾗｯｸｽ錠25MG</t>
  </si>
  <si>
    <t>ｱ-ﾁｽﾄ錠1.25mg</t>
  </si>
  <si>
    <t>アドナ錠30ｍｇ</t>
    <rPh sb="3" eb="4">
      <t>ジョウ</t>
    </rPh>
    <phoneticPr fontId="2"/>
  </si>
  <si>
    <t xml:space="preserve">アナフラニール錠２５ｍｇ </t>
    <phoneticPr fontId="2"/>
  </si>
  <si>
    <t>ｱﾏﾝﾀｼﾞﾝ塩酸塩錠　５０</t>
    <rPh sb="7" eb="10">
      <t>エンサンエン</t>
    </rPh>
    <phoneticPr fontId="3"/>
  </si>
  <si>
    <t>アミオダロン塩酸塩速崩錠50ｍｇ</t>
    <rPh sb="6" eb="8">
      <t>エンサン</t>
    </rPh>
    <rPh sb="8" eb="9">
      <t>エン</t>
    </rPh>
    <rPh sb="9" eb="10">
      <t>ソク</t>
    </rPh>
    <rPh sb="10" eb="11">
      <t>ホウ</t>
    </rPh>
    <rPh sb="11" eb="12">
      <t>ジョウ</t>
    </rPh>
    <phoneticPr fontId="2"/>
  </si>
  <si>
    <t>ｱﾐﾃｨｰｻﾞｶﾌﾟｾﾙ</t>
    <phoneticPr fontId="3"/>
  </si>
  <si>
    <t>ｱﾑﾛｼﾞﾋﾟﾝOD錠2.5MG ｢あすか｣</t>
    <phoneticPr fontId="3"/>
  </si>
  <si>
    <t>アロプリノール錠１００ｍｇ</t>
    <phoneticPr fontId="3"/>
  </si>
  <si>
    <t>イコサペント酸エチルカプセル　３００</t>
    <rPh sb="6" eb="7">
      <t>サン</t>
    </rPh>
    <phoneticPr fontId="3"/>
  </si>
  <si>
    <t>インヴェガ錠３ｍｇ</t>
  </si>
  <si>
    <t>インヴェガ錠６ｍｇ</t>
  </si>
  <si>
    <t xml:space="preserve">ウルソデオキシコール酸錠１００ｍｇ </t>
    <rPh sb="10" eb="11">
      <t>サン</t>
    </rPh>
    <phoneticPr fontId="3"/>
  </si>
  <si>
    <t>ｴﾅﾗﾌﾟﾘﾙﾏﾚｲﾝ酸塩酸錠５</t>
    <rPh sb="11" eb="12">
      <t>サン</t>
    </rPh>
    <rPh sb="12" eb="14">
      <t>エンサン</t>
    </rPh>
    <phoneticPr fontId="3"/>
  </si>
  <si>
    <t>【処・医薬品】</t>
  </si>
  <si>
    <t>日新製薬</t>
  </si>
  <si>
    <t>50206 5mg ﾊﾞﾗ</t>
  </si>
  <si>
    <t>箱</t>
  </si>
  <si>
    <t>エバステル錠５ｍｇ</t>
    <phoneticPr fontId="2"/>
  </si>
  <si>
    <t>ｴﾋﾞｽﾀ錠60mg</t>
  </si>
  <si>
    <t>ｴﾌﾞﾗﾝﾁﾙｶﾌﾟｾﾙ15ｍｇ</t>
    <phoneticPr fontId="2"/>
  </si>
  <si>
    <t>エペリゾン錠５０ｍｇ バラ　１０００錠</t>
    <phoneticPr fontId="3"/>
  </si>
  <si>
    <t>オランザピン錠2.5ｍｇ</t>
    <rPh sb="6" eb="7">
      <t>ジョウ</t>
    </rPh>
    <phoneticPr fontId="2"/>
  </si>
  <si>
    <t>オランザピンOD錠5ｍｇ</t>
    <rPh sb="8" eb="9">
      <t>ジョウ</t>
    </rPh>
    <phoneticPr fontId="2"/>
  </si>
  <si>
    <t>オランザピンOD錠10ｍｇ</t>
    <rPh sb="8" eb="9">
      <t>ジョウ</t>
    </rPh>
    <phoneticPr fontId="2"/>
  </si>
  <si>
    <t>カタプレス錠７５μｇ</t>
  </si>
  <si>
    <t>テバ製薬</t>
  </si>
  <si>
    <t>カモスタットメシル酸塩錠１００ｍｇ</t>
  </si>
  <si>
    <t>カルバマゼピン錠　１００ｍｇ「アメル」</t>
  </si>
  <si>
    <t>カルバマゼピン錠　２００ｍｇ「アメル」</t>
  </si>
  <si>
    <t>カルベジロール錠１０ｍｇ「サワイ」</t>
    <phoneticPr fontId="2"/>
  </si>
  <si>
    <t>カルボシステイン錠２５０ｍｇ</t>
    <phoneticPr fontId="3"/>
  </si>
  <si>
    <t>ｶﾛﾅｰﾙ錠200ｍｇ</t>
    <rPh sb="5" eb="6">
      <t>ジョウ</t>
    </rPh>
    <phoneticPr fontId="3"/>
  </si>
  <si>
    <t>クアゼパム錠１５ｍｇ「アメル」</t>
    <phoneticPr fontId="3"/>
  </si>
  <si>
    <t>ｸｴﾁｱﾋﾟﾝ錠12.5ｍｇ</t>
    <rPh sb="7" eb="8">
      <t>ジョウ</t>
    </rPh>
    <phoneticPr fontId="3"/>
  </si>
  <si>
    <t>ｸｴﾁｱﾋﾟﾝ錠25ｍｇ</t>
    <rPh sb="7" eb="8">
      <t>ジョウ</t>
    </rPh>
    <phoneticPr fontId="3"/>
  </si>
  <si>
    <t>ｸｴﾁｱﾋﾟﾝ錠100ｍｇ</t>
    <rPh sb="7" eb="8">
      <t>ジョウ</t>
    </rPh>
    <phoneticPr fontId="3"/>
  </si>
  <si>
    <t>ｸﾞﾗｸﾃｨﾌﾞ錠50mg</t>
  </si>
  <si>
    <t>ｸﾗﾘｼｯﾄﾞ錠200MG</t>
  </si>
  <si>
    <t>クラリチン錠１０ｍｇ　（ＭＳＤ） ＰＴＰ　１００錠</t>
  </si>
  <si>
    <t>ｸﾞﾘﾁﾛﾝ配合錠</t>
  </si>
  <si>
    <t>クロフェクトン錠２５ｍｇ</t>
    <phoneticPr fontId="2"/>
  </si>
  <si>
    <t>ｹﾌﾗ-ﾙ ｶﾌﾟｾﾙ250mg</t>
  </si>
  <si>
    <t>ケルロング錠１０ｍｇ ＰＴＰ　５００錠</t>
  </si>
  <si>
    <t xml:space="preserve">コントミン糖衣錠１００ｍｇ </t>
    <phoneticPr fontId="2"/>
  </si>
  <si>
    <t xml:space="preserve">コントミン糖衣錠２５ｍｇ </t>
    <phoneticPr fontId="2"/>
  </si>
  <si>
    <t xml:space="preserve">コントミン糖衣錠５０ｍｇ </t>
    <phoneticPr fontId="2"/>
  </si>
  <si>
    <t>サワシリン錠２５０　ＳＰ　　　　　　　　　１００錠</t>
  </si>
  <si>
    <t>ジアゼパム錠２ｍｇ「アメル」</t>
    <phoneticPr fontId="3"/>
  </si>
  <si>
    <t xml:space="preserve">ジアゼパム錠5ｍｇ「アメル」 </t>
    <phoneticPr fontId="3"/>
  </si>
  <si>
    <t>ジェイゾロフト錠２５ｍｇ</t>
  </si>
  <si>
    <t>ｼﾞｪﾆﾅｯｸ錠200MG</t>
  </si>
  <si>
    <t>ｼｸﾚｽﾄ（5）</t>
    <phoneticPr fontId="2"/>
  </si>
  <si>
    <t>ｼｸﾚｽﾄ（10）</t>
    <phoneticPr fontId="2"/>
  </si>
  <si>
    <t>ジスチグミン錠５㎎　　　　　　【毒薬】</t>
    <phoneticPr fontId="3"/>
  </si>
  <si>
    <t>【医薬品】</t>
  </si>
  <si>
    <t>10551 ﾊﾞﾗ</t>
  </si>
  <si>
    <t>ジフェニドール塩酸塩錠25㎎「タイヨ</t>
  </si>
  <si>
    <t>ー」【医薬品】</t>
  </si>
  <si>
    <t>39420 PTP</t>
  </si>
  <si>
    <t>ｼﾞﾌﾟﾚｷｻ ｻﾞｲﾃﾞｨｽ錠10mg</t>
  </si>
  <si>
    <t>ｼﾞﾌﾟﾚｷｻ ｻﾞｲﾃﾞｨｽ錠5mg</t>
  </si>
  <si>
    <t>シロスタゾール錠１００</t>
    <phoneticPr fontId="3"/>
  </si>
  <si>
    <t>12461 ﾊﾞﾗ</t>
  </si>
  <si>
    <t>シングレア錠１０ｍｇ</t>
  </si>
  <si>
    <t>ｽﾋﾟﾛﾍﾟﾝﾄ錠10μg</t>
  </si>
  <si>
    <t xml:space="preserve">スルピリド錠１００ｍｇ「アメル」 </t>
    <phoneticPr fontId="2"/>
  </si>
  <si>
    <t xml:space="preserve">スルピリド錠２００ｍｇ「アメル」 </t>
    <phoneticPr fontId="2"/>
  </si>
  <si>
    <t xml:space="preserve">スルピリド錠5０ｍｇ「アメル」 </t>
    <phoneticPr fontId="3"/>
  </si>
  <si>
    <t>セディール錠１０ｍｇ</t>
  </si>
  <si>
    <t xml:space="preserve">セパゾン錠１ </t>
    <phoneticPr fontId="3"/>
  </si>
  <si>
    <t xml:space="preserve">セパゾン錠２ </t>
    <phoneticPr fontId="3"/>
  </si>
  <si>
    <t>ｾﾚｽﾀﾐﾝ配合錠</t>
  </si>
  <si>
    <t>ｿﾞﾆｻﾐﾄﾞ錠100MG</t>
    <phoneticPr fontId="3"/>
  </si>
  <si>
    <t xml:space="preserve">ソラナックス０．４ｍｇ錠 </t>
    <phoneticPr fontId="3"/>
  </si>
  <si>
    <t xml:space="preserve">ソラナックス０．８ｍｇ錠 </t>
    <phoneticPr fontId="3"/>
  </si>
  <si>
    <t>タケキャブ錠10ｍｇ</t>
    <rPh sb="5" eb="6">
      <t>ジョウ</t>
    </rPh>
    <phoneticPr fontId="2"/>
  </si>
  <si>
    <t>タケキャブ錠20ｍｇ</t>
    <rPh sb="5" eb="6">
      <t>ジョウ</t>
    </rPh>
    <phoneticPr fontId="2"/>
  </si>
  <si>
    <t>タムスロシン塩酸塩OD錠０．２ｍｇ</t>
    <rPh sb="6" eb="9">
      <t>エンサンエン</t>
    </rPh>
    <rPh sb="11" eb="12">
      <t>ジョウ</t>
    </rPh>
    <phoneticPr fontId="3"/>
  </si>
  <si>
    <t>炭酸リチウム錠　２００</t>
    <rPh sb="0" eb="2">
      <t>タンサン</t>
    </rPh>
    <phoneticPr fontId="3"/>
  </si>
  <si>
    <t xml:space="preserve">炭酸リチウム錠100 </t>
    <rPh sb="0" eb="2">
      <t>タンサン</t>
    </rPh>
    <phoneticPr fontId="3"/>
  </si>
  <si>
    <t>ﾀﾞﾝﾄﾘｳﾑ ｶﾌﾟｾﾙ 25MG</t>
  </si>
  <si>
    <t>ﾁﾗ-ﾁﾞﾝ S錠50μG</t>
  </si>
  <si>
    <t>ﾃｵﾌｨﾘﾝ徐放U錠２００ｍｇ</t>
    <rPh sb="6" eb="8">
      <t>ジョホウ</t>
    </rPh>
    <phoneticPr fontId="3"/>
  </si>
  <si>
    <t xml:space="preserve">テトラミド錠１０ｍｇ </t>
    <phoneticPr fontId="2"/>
  </si>
  <si>
    <t xml:space="preserve">テトラミド錠３０ｍｇ </t>
    <phoneticPr fontId="2"/>
  </si>
  <si>
    <t>デパケンＲ錠２００</t>
    <phoneticPr fontId="2"/>
  </si>
  <si>
    <t xml:space="preserve">テﾌﾟﾚノンカプセル５０ｍｇ </t>
    <phoneticPr fontId="3"/>
  </si>
  <si>
    <t>トフラニール錠１０ｍｇ</t>
    <phoneticPr fontId="2"/>
  </si>
  <si>
    <t>トラゾドン錠２５ｍｇ</t>
    <phoneticPr fontId="3"/>
  </si>
  <si>
    <t>ﾄﾗﾝｻﾐﾝｶﾌﾟｾﾙ250ｍｇ</t>
    <phoneticPr fontId="2"/>
  </si>
  <si>
    <t>トリアゾラム錠０．２５ｍｇ</t>
    <phoneticPr fontId="3"/>
  </si>
  <si>
    <t xml:space="preserve">トリプタノール錠２５ </t>
    <phoneticPr fontId="2"/>
  </si>
  <si>
    <t>トリメブチン錠１００ｍｇ</t>
    <phoneticPr fontId="3"/>
  </si>
  <si>
    <t>トレドミン錠１５ｍｇ</t>
  </si>
  <si>
    <t>トレドミン錠２５ｍｇ</t>
  </si>
  <si>
    <t>ナトリックス錠１</t>
    <phoneticPr fontId="2"/>
  </si>
  <si>
    <t>ﾆｺﾗﾝｼﾞﾙ錠　５ｍｇ</t>
    <phoneticPr fontId="3"/>
  </si>
  <si>
    <t xml:space="preserve">ニセルゴリン錠５ｍｇ </t>
    <phoneticPr fontId="3"/>
  </si>
  <si>
    <t>ﾆｭ-ﾚﾌﾟﾁﾙ錠10mg</t>
  </si>
  <si>
    <t>ﾆｭ-ﾚﾌﾟﾁﾙ錠5mg</t>
  </si>
  <si>
    <t>ニルバジピン錠2ｍｇ</t>
    <rPh sb="6" eb="7">
      <t>ジョウ</t>
    </rPh>
    <phoneticPr fontId="2"/>
  </si>
  <si>
    <t>ネオドパストン配合錠L</t>
    <rPh sb="7" eb="9">
      <t>ハイゴウ</t>
    </rPh>
    <rPh sb="9" eb="10">
      <t>ジョウ</t>
    </rPh>
    <phoneticPr fontId="2"/>
  </si>
  <si>
    <t>ﾉｲﾛﾄﾛﾋﾟﾝ錠4単位</t>
  </si>
  <si>
    <t>ﾊﾟｷｼﾙCR錠12.5ｍｇ</t>
    <rPh sb="7" eb="8">
      <t>ジョウ</t>
    </rPh>
    <phoneticPr fontId="3"/>
  </si>
  <si>
    <t xml:space="preserve">パキシル錠１０ｍｇ </t>
    <phoneticPr fontId="2"/>
  </si>
  <si>
    <t>バッサミン配合錠Ａ８１</t>
  </si>
  <si>
    <t>39510 PTP</t>
  </si>
  <si>
    <t>バナン錠１００ｍｇ　</t>
    <phoneticPr fontId="2"/>
  </si>
  <si>
    <t>ﾊﾞﾗｼｸﾛﾋﾞﾙ錠500ｍｇ</t>
    <rPh sb="9" eb="10">
      <t>ジョウ</t>
    </rPh>
    <phoneticPr fontId="3"/>
  </si>
  <si>
    <t>ﾊﾛﾍﾟﾘﾄﾞｰﾙ錠　０．７５ｍｇ</t>
    <phoneticPr fontId="3"/>
  </si>
  <si>
    <t>ﾊﾛﾍﾟﾘﾄﾞｰﾙ錠　１．５ｍｇ</t>
    <phoneticPr fontId="3"/>
  </si>
  <si>
    <t xml:space="preserve">ﾊﾛﾍﾟﾘﾄﾞｰﾙ錠　１ｍｇ </t>
    <phoneticPr fontId="3"/>
  </si>
  <si>
    <t>ﾊﾛﾍﾟﾘﾄﾞｰﾙ錠　３ｍｇ</t>
    <phoneticPr fontId="3"/>
  </si>
  <si>
    <t>パントシン錠200ｍｇ</t>
    <rPh sb="5" eb="6">
      <t>ジョウ</t>
    </rPh>
    <phoneticPr fontId="2"/>
  </si>
  <si>
    <t>ﾋﾞｵﾌｪﾙﾐﾝ錠剤</t>
  </si>
  <si>
    <t>ﾋﾞﾀﾉｲﾘﾝ ｶﾌﾟｾﾙ 50</t>
  </si>
  <si>
    <t>ビペリデン錠1MG</t>
    <phoneticPr fontId="3"/>
  </si>
  <si>
    <t>ヒベルナ糖衣錠２５ｍｇ</t>
    <phoneticPr fontId="2"/>
  </si>
  <si>
    <t>ヒベルナ糖衣錠５ｍｇ</t>
    <phoneticPr fontId="2"/>
  </si>
  <si>
    <t>ﾌｧﾛﾑ錠200MG</t>
  </si>
  <si>
    <t>フェロ・グラデュメット錠１０５ｍｇ</t>
  </si>
  <si>
    <t>ﾌｫﾘｱﾐﾝ錠(ﾆﾁﾔｸ)</t>
  </si>
  <si>
    <t>ブスコパン錠１０ｍｇ</t>
  </si>
  <si>
    <t>ﾌﾟﾗﾊﾞｽﾀﾁﾝ NA錠5MG ｢ｱﾒﾙ｣</t>
  </si>
  <si>
    <t>フルニトラゼパム錠１ｍｇ「アメル」</t>
  </si>
  <si>
    <t>プレドニゾロン錠５「ホエイ」</t>
  </si>
  <si>
    <t>フロセミド錠２０「ﾃﾊﾞ」</t>
    <phoneticPr fontId="3"/>
  </si>
  <si>
    <t>【処・医薬品】【局方品】</t>
  </si>
  <si>
    <t>34031 20mg ﾊﾞﾗ</t>
  </si>
  <si>
    <t>プロタノールＳ錠１５ｍｇ</t>
  </si>
  <si>
    <t>ブロチゾラム錠０.２５mg</t>
    <phoneticPr fontId="3"/>
  </si>
  <si>
    <t>【向Ⅲ種・処・習　医薬品】</t>
  </si>
  <si>
    <t>11421 ﾊﾞﾗ</t>
  </si>
  <si>
    <t>ﾌﾞﾛﾑﾍﾟﾘﾄﾞｰﾙ錠3MG</t>
    <phoneticPr fontId="3"/>
  </si>
  <si>
    <t>ブロモクリプチン錠２．５ｍｇ</t>
    <phoneticPr fontId="3"/>
  </si>
  <si>
    <t>ベザフィブラートＳＲ錠２００ｍｇ</t>
  </si>
  <si>
    <t>ﾍﾞｼｹｱ錠5mg</t>
  </si>
  <si>
    <t>ﾍﾞﾗﾌﾟﾛｽﾄ錠２０μg</t>
    <phoneticPr fontId="3"/>
  </si>
  <si>
    <t>【劇薬】【処・医薬品】</t>
  </si>
  <si>
    <t>12431 ﾊﾞﾗ</t>
  </si>
  <si>
    <t>ﾍﾞﾙｿﾑﾗ錠15mg</t>
    <rPh sb="6" eb="7">
      <t>ジョウ</t>
    </rPh>
    <phoneticPr fontId="3"/>
  </si>
  <si>
    <t>ﾍﾞﾙｿﾑﾗ錠20ｍｇ</t>
    <rPh sb="6" eb="7">
      <t>ジョウ</t>
    </rPh>
    <phoneticPr fontId="3"/>
  </si>
  <si>
    <t>ヘルベッサー錠　３０</t>
  </si>
  <si>
    <t xml:space="preserve">ボルタレン錠２５ｍｇ </t>
    <phoneticPr fontId="2"/>
  </si>
  <si>
    <t>マイスタン錠５ｍｇ</t>
    <phoneticPr fontId="3"/>
  </si>
  <si>
    <t xml:space="preserve">マイスリー錠５ｍｇ </t>
    <phoneticPr fontId="3"/>
  </si>
  <si>
    <t>マグミット錠330mg</t>
    <phoneticPr fontId="3"/>
  </si>
  <si>
    <t>マグミット錠500mg</t>
    <phoneticPr fontId="3"/>
  </si>
  <si>
    <t>マプロチリン錠10MG</t>
    <phoneticPr fontId="3"/>
  </si>
  <si>
    <t>マプロチリン錠25MG</t>
    <phoneticPr fontId="3"/>
  </si>
  <si>
    <t>ユベラＮソフトカプセル２００ｍｇ</t>
    <phoneticPr fontId="2"/>
  </si>
  <si>
    <t>ﾕ-ﾛｼﾞﾝ 2MG錠</t>
  </si>
  <si>
    <t>ランソプラゾール OD錠15</t>
    <phoneticPr fontId="3"/>
  </si>
  <si>
    <t>リーゼ錠５ｍｇ</t>
    <phoneticPr fontId="3"/>
  </si>
  <si>
    <t>リスパダール錠１ｍｇ</t>
  </si>
  <si>
    <t>リスパダール錠２ｍｇ</t>
  </si>
  <si>
    <t>リスパダール錠３ｍｇ</t>
  </si>
  <si>
    <t>ﾘｽﾍﾟﾘﾄﾞﾝ錠0.5ｍｇ</t>
    <rPh sb="8" eb="9">
      <t>ジョウ</t>
    </rPh>
    <phoneticPr fontId="3"/>
  </si>
  <si>
    <t>ﾘｽﾍﾟﾘﾄﾞﾝ錠1ｍｇ</t>
    <rPh sb="8" eb="9">
      <t>ジョウ</t>
    </rPh>
    <phoneticPr fontId="3"/>
  </si>
  <si>
    <t>ﾘｽﾍﾟﾘﾄﾞﾝ錠3ｍｇ</t>
    <rPh sb="8" eb="9">
      <t>ジョウ</t>
    </rPh>
    <phoneticPr fontId="3"/>
  </si>
  <si>
    <t>リボトリール錠１㎎　</t>
    <phoneticPr fontId="2"/>
  </si>
  <si>
    <t>ﾘﾎﾞﾄﾘ-ﾙ錠0.5ｍｇ</t>
    <phoneticPr fontId="3"/>
  </si>
  <si>
    <t>リマプロストアルファデクス錠５μg</t>
  </si>
  <si>
    <t>ルーラン錠４ｍｇ</t>
  </si>
  <si>
    <t>ルーラン錠８ｍｇ</t>
  </si>
  <si>
    <t>レグテクト錠333ｍｇ</t>
    <rPh sb="5" eb="6">
      <t>ジョウ</t>
    </rPh>
    <phoneticPr fontId="2"/>
  </si>
  <si>
    <t>レスプレン錠 ２０ｍｇ　</t>
    <phoneticPr fontId="2"/>
  </si>
  <si>
    <t>レバミピド錠100mg</t>
    <phoneticPr fontId="3"/>
  </si>
  <si>
    <t xml:space="preserve">レボトミン錠２５ｍｇ </t>
    <phoneticPr fontId="2"/>
  </si>
  <si>
    <t>レボトミン錠５０ｍｇ</t>
    <phoneticPr fontId="2"/>
  </si>
  <si>
    <t xml:space="preserve">レボトミン錠５ｍｇ </t>
    <phoneticPr fontId="2"/>
  </si>
  <si>
    <t>レボフロキサシン錠250mg</t>
    <phoneticPr fontId="3"/>
  </si>
  <si>
    <t>ロキソプロフェン錠６０ｍｇ</t>
    <phoneticPr fontId="3"/>
  </si>
  <si>
    <t>ロゼレム錠8ｍｇ</t>
    <rPh sb="4" eb="5">
      <t>ジョウ</t>
    </rPh>
    <phoneticPr fontId="2"/>
  </si>
  <si>
    <t>ロペミンカプセル１ｍｇ</t>
    <phoneticPr fontId="2"/>
  </si>
  <si>
    <t>ﾛﾗｾﾞﾊﾟﾑ錠０．５ｍｇ</t>
    <phoneticPr fontId="3"/>
  </si>
  <si>
    <t>ﾛﾗﾒｯﾄ錠1.0 (ｱｽｶ) (ｼﾝ)</t>
    <phoneticPr fontId="2"/>
  </si>
  <si>
    <t>ﾜｿﾗﾝ錠40mg</t>
  </si>
  <si>
    <t>ｱｸｱﾁﾑ ｸﾘ-ﾑ1%　10ｇ/本</t>
    <rPh sb="17" eb="18">
      <t>ホン</t>
    </rPh>
    <phoneticPr fontId="2"/>
  </si>
  <si>
    <t>アズノールST錠口腔用5ｍｇ</t>
    <rPh sb="7" eb="8">
      <t>ジョウ</t>
    </rPh>
    <rPh sb="8" eb="10">
      <t>コウクウ</t>
    </rPh>
    <rPh sb="10" eb="11">
      <t>ヨウ</t>
    </rPh>
    <phoneticPr fontId="2"/>
  </si>
  <si>
    <t>ｱｽﾞﾉｰﾙ軟膏　20ｇ/本</t>
    <rPh sb="6" eb="8">
      <t>ナンコウ</t>
    </rPh>
    <rPh sb="13" eb="14">
      <t>ホン</t>
    </rPh>
    <phoneticPr fontId="3"/>
  </si>
  <si>
    <t>アフタッチ口腔用貼付剤２５μｇ ＰＴＰ　１００錠</t>
  </si>
  <si>
    <t>オイラックスクリーム１０％ １０ｇＸ１０</t>
  </si>
  <si>
    <t>ｵｷｻﾛｰﾙ軟膏　10g/本</t>
    <rPh sb="6" eb="8">
      <t>ナンコウ</t>
    </rPh>
    <rPh sb="13" eb="14">
      <t>ホン</t>
    </rPh>
    <phoneticPr fontId="3"/>
  </si>
  <si>
    <t>ゲンタマイシン軟膏0.1%　10g/本</t>
    <rPh sb="18" eb="19">
      <t>ホン</t>
    </rPh>
    <phoneticPr fontId="3"/>
  </si>
  <si>
    <t>コールタイジン点鼻液 １５ｍＬＸ１０</t>
  </si>
  <si>
    <t>スピール膏Ｍ　ＳＰＭ１６ ６枚</t>
  </si>
  <si>
    <t>ｿﾌﾗﾁｭｰﾙ貼付剤</t>
    <rPh sb="7" eb="9">
      <t>チョウフ</t>
    </rPh>
    <rPh sb="9" eb="10">
      <t>ザイ</t>
    </rPh>
    <phoneticPr fontId="3"/>
  </si>
  <si>
    <t>ﾀﾞｲｱｯﾌﾟ坐薬4</t>
    <rPh sb="7" eb="9">
      <t>ザヤク</t>
    </rPh>
    <phoneticPr fontId="3"/>
  </si>
  <si>
    <t>タリビッド眼軟膏０．３％　3.5g/本</t>
    <rPh sb="18" eb="19">
      <t>ホン</t>
    </rPh>
    <phoneticPr fontId="2"/>
  </si>
  <si>
    <t>タリビッド耳科用液０．３％ ５ｍＬＸ５</t>
  </si>
  <si>
    <t>ﾃﾞﾙﾓｿﾞ-ﾙG ｸﾘ-ﾑ　5g/本</t>
    <rPh sb="18" eb="19">
      <t>ホン</t>
    </rPh>
    <phoneticPr fontId="2"/>
  </si>
  <si>
    <t>ﾃﾞﾙﾓｿﾞ-ﾙG軟膏　5g/本</t>
    <rPh sb="15" eb="16">
      <t>ホン</t>
    </rPh>
    <phoneticPr fontId="2"/>
  </si>
  <si>
    <t>ﾃﾞﾙﾓﾍﾞ-ﾄ軟膏0.05%　5g/本</t>
    <rPh sb="19" eb="20">
      <t>ホン</t>
    </rPh>
    <phoneticPr fontId="2"/>
  </si>
  <si>
    <t>ニゾラールクリーム２％　10g/本</t>
    <rPh sb="16" eb="17">
      <t>ホン</t>
    </rPh>
    <phoneticPr fontId="2"/>
  </si>
  <si>
    <t>ニゾラールローション２％　10g/本</t>
    <rPh sb="17" eb="18">
      <t>ホン</t>
    </rPh>
    <phoneticPr fontId="2"/>
  </si>
  <si>
    <t>ﾈﾘｿﾞﾅ ﾕﾆﾊﾞ-ｻﾙ ｸﾘ-ﾑ 0.1%　5g/本</t>
    <rPh sb="27" eb="28">
      <t>ホン</t>
    </rPh>
    <phoneticPr fontId="2"/>
  </si>
  <si>
    <t>ﾋﾞﾀﾞﾗﾋﾞﾝ軟膏3%｢MEEK｣　5g/本</t>
    <rPh sb="22" eb="23">
      <t>ホン</t>
    </rPh>
    <phoneticPr fontId="2"/>
  </si>
  <si>
    <t>ﾋﾙﾄﾞｲﾄﾞ ｿﾌﾄ軟膏0.3%　25g/本</t>
    <rPh sb="22" eb="23">
      <t>ホン</t>
    </rPh>
    <phoneticPr fontId="2"/>
  </si>
  <si>
    <t>プロスタンディン軟膏　30g/本</t>
    <rPh sb="8" eb="10">
      <t>ナンコウ</t>
    </rPh>
    <rPh sb="15" eb="16">
      <t>ホン</t>
    </rPh>
    <phoneticPr fontId="2"/>
  </si>
  <si>
    <t>ﾌﾞﾛﾒﾗｲﾝ軟膏</t>
    <rPh sb="7" eb="9">
      <t>ナンコウ</t>
    </rPh>
    <phoneticPr fontId="3"/>
  </si>
  <si>
    <t>ﾍﾓﾚｯｸｽ軟膏　2g/本</t>
    <rPh sb="12" eb="13">
      <t>ホン</t>
    </rPh>
    <phoneticPr fontId="2"/>
  </si>
  <si>
    <t>ﾘﾝﾃﾞﾛﾝ-V ｸﾘ-ﾑ0.12%　5g/本</t>
    <rPh sb="22" eb="23">
      <t>ホン</t>
    </rPh>
    <phoneticPr fontId="2"/>
  </si>
  <si>
    <t>リンデロンA軟膏　5g/本</t>
    <rPh sb="6" eb="8">
      <t>ナンコウ</t>
    </rPh>
    <rPh sb="12" eb="13">
      <t>ホン</t>
    </rPh>
    <phoneticPr fontId="2"/>
  </si>
  <si>
    <t>ﾚﾍﾟﾀﾝ坐剤0.2ｍｇ</t>
    <rPh sb="5" eb="7">
      <t>ザザイ</t>
    </rPh>
    <phoneticPr fontId="2"/>
  </si>
  <si>
    <t>アドエア５００ディスカス６０吸入用 ６０ブリスターＸ１</t>
  </si>
  <si>
    <t>インテバン外用液１％　50g/本</t>
    <rPh sb="15" eb="16">
      <t>ホン</t>
    </rPh>
    <phoneticPr fontId="2"/>
  </si>
  <si>
    <t>インテバン軟膏１％　25g/本</t>
    <rPh sb="14" eb="15">
      <t>ホン</t>
    </rPh>
    <phoneticPr fontId="2"/>
  </si>
  <si>
    <t>キュバール１００エアゾール（大日本） ８．７ｇ</t>
  </si>
  <si>
    <t>クロマイ膣錠１００ｍｇ ＳＰ　１００錠</t>
  </si>
  <si>
    <t>ゲーベンクリーム１％　100ｇ/個</t>
    <rPh sb="16" eb="17">
      <t>コ</t>
    </rPh>
    <phoneticPr fontId="2"/>
  </si>
  <si>
    <t>５％　サリチル酸ワセリン　軟膏 ５００ｇ</t>
  </si>
  <si>
    <t>ｽｸﾛ-ﾄﾞﾊﾟｽﾀ　100ｇ/個</t>
    <rPh sb="16" eb="17">
      <t>コ</t>
    </rPh>
    <phoneticPr fontId="2"/>
  </si>
  <si>
    <t>スピリーバ２．５μｇレスピマット６０吸入</t>
  </si>
  <si>
    <t>ツロブテロールテープ１ｍｇ「サワイ」 ７０枚</t>
  </si>
  <si>
    <t>ﾌﾗﾝﾄﾞﾙ ﾃ-ﾌﾟ 40MG</t>
  </si>
  <si>
    <t>ベナパスタ軟膏４％　500ｇ</t>
    <phoneticPr fontId="2"/>
  </si>
  <si>
    <t>ポピドンヨードガーグル７％　30ｍｌ</t>
    <phoneticPr fontId="3"/>
  </si>
  <si>
    <t>ﾒﾌﾟﾁﾝｴｱ-10μg吸入100回</t>
  </si>
  <si>
    <t>レルベア200エリプタ</t>
    <phoneticPr fontId="2"/>
  </si>
  <si>
    <t>亜鉛華軟膏　500ｇ</t>
    <phoneticPr fontId="2"/>
  </si>
  <si>
    <t>アレギサール点眼液０．１％　5ml/本</t>
    <rPh sb="18" eb="19">
      <t>ホン</t>
    </rPh>
    <phoneticPr fontId="2"/>
  </si>
  <si>
    <t>エイゾプト懸濁性点眼液１％ ５ｍＬＸ１０</t>
  </si>
  <si>
    <t>オフロキサシン点眼液０．３％「タナベ」　5ml/本</t>
    <rPh sb="24" eb="25">
      <t>ホン</t>
    </rPh>
    <phoneticPr fontId="2"/>
  </si>
  <si>
    <t>クロモグリク酸Na点眼液２％ ５ｍＬＸ１０</t>
    <rPh sb="6" eb="7">
      <t>サン</t>
    </rPh>
    <phoneticPr fontId="3"/>
  </si>
  <si>
    <t>ジクアス点眼液3％　5ml/本</t>
    <rPh sb="4" eb="7">
      <t>テンガンエキ</t>
    </rPh>
    <rPh sb="14" eb="15">
      <t>ホン</t>
    </rPh>
    <phoneticPr fontId="2"/>
  </si>
  <si>
    <t>ヒアルロン酸Na点眼液０.１％　5ml/本</t>
    <rPh sb="5" eb="6">
      <t>サン</t>
    </rPh>
    <rPh sb="20" eb="21">
      <t>ホン</t>
    </rPh>
    <phoneticPr fontId="2"/>
  </si>
  <si>
    <t>キョーリンリメディオ</t>
  </si>
  <si>
    <t>30351 0.1% 5ml</t>
  </si>
  <si>
    <t>ﾑｺﾌｧｼﾞﾝ点眼液　5ml/本</t>
    <rPh sb="15" eb="16">
      <t>ホン</t>
    </rPh>
    <phoneticPr fontId="2"/>
  </si>
  <si>
    <t>フルオロメトロン０．１％点眼液Ｔ ５ｍＬＸ５</t>
  </si>
  <si>
    <t>リンデロン点眼点鼻液　5ml/本</t>
    <rPh sb="5" eb="7">
      <t>テンガン</t>
    </rPh>
    <rPh sb="7" eb="9">
      <t>テンビ</t>
    </rPh>
    <rPh sb="9" eb="10">
      <t>エキ</t>
    </rPh>
    <rPh sb="15" eb="16">
      <t>ホン</t>
    </rPh>
    <phoneticPr fontId="2"/>
  </si>
  <si>
    <t>アキネトン注射液５ｍｇ</t>
  </si>
  <si>
    <t>アクチット輸液</t>
  </si>
  <si>
    <t>ｱｽﾊﾟﾗｷﾞﾝｻﾝｶﾘｳﾑ注10MEQｷｯﾄ｢ﾃﾙ</t>
  </si>
  <si>
    <t>アドナ注（静脈用）５０ｍｇ</t>
  </si>
  <si>
    <t>ｱﾄﾛﾋﾟﾝ硫酸塩注0.5ｍｇ</t>
    <rPh sb="6" eb="8">
      <t>リュウサン</t>
    </rPh>
    <rPh sb="8" eb="9">
      <t>エン</t>
    </rPh>
    <rPh sb="9" eb="10">
      <t>チュウ</t>
    </rPh>
    <phoneticPr fontId="3"/>
  </si>
  <si>
    <t>アナフラニール点滴静注液２５ｍｇ ２ｍＬＸ１０管</t>
  </si>
  <si>
    <t>ｱﾈｷｾ-ﾄ注射液0.5MG</t>
  </si>
  <si>
    <t>ｱﾙﾌﾞﾐﾅ- 25%静注12.5G/50ML</t>
  </si>
  <si>
    <t>アレビアチン注２５０ｍｇ ５ｍＬＸ１０管</t>
  </si>
  <si>
    <t>ｲﾝﾄﾗﾘﾎﾟｽﾞ輸液20%100ｍｌ</t>
    <phoneticPr fontId="3"/>
  </si>
  <si>
    <t>ｴﾋﾞﾘﾌｧｲ水懸筋注用300</t>
    <rPh sb="7" eb="8">
      <t>スイ</t>
    </rPh>
    <rPh sb="8" eb="9">
      <t>ケン</t>
    </rPh>
    <rPh sb="9" eb="10">
      <t>キン</t>
    </rPh>
    <rPh sb="10" eb="11">
      <t>チュウ</t>
    </rPh>
    <rPh sb="11" eb="12">
      <t>ヨウ</t>
    </rPh>
    <phoneticPr fontId="2"/>
  </si>
  <si>
    <t>ｴﾋﾞﾘﾌｧｲ水懸筋注用400</t>
    <rPh sb="7" eb="8">
      <t>スイ</t>
    </rPh>
    <rPh sb="8" eb="9">
      <t>ケン</t>
    </rPh>
    <rPh sb="9" eb="10">
      <t>キン</t>
    </rPh>
    <rPh sb="10" eb="11">
      <t>チュウ</t>
    </rPh>
    <rPh sb="11" eb="12">
      <t>ヨウ</t>
    </rPh>
    <phoneticPr fontId="2"/>
  </si>
  <si>
    <t>エホチール注１０ｍｇ</t>
  </si>
  <si>
    <t>ｵｲﾊﾟﾛﾐﾝ300注ｼﾘﾝｼﾞ100ｍｌ</t>
    <rPh sb="10" eb="11">
      <t>チュウ</t>
    </rPh>
    <phoneticPr fontId="3"/>
  </si>
  <si>
    <t>ｷｼﾛｶｲﾝ ﾋﾞｽｶｽ2%</t>
  </si>
  <si>
    <t>ｷｼﾛｶｲﾝ ﾎﾟﾝﾌﾟｽﾌﾟﾚ-8%</t>
  </si>
  <si>
    <t>ｷｼﾛｶｲﾝ注ﾎﾟﾘｱﾝﾌﾟ0.5%</t>
  </si>
  <si>
    <t>グリセオール注 ２００ｍＬＸ１０袋</t>
  </si>
  <si>
    <t>ｸﾘﾝﾀﾞﾏｲｼﾝﾘﾝ酸ｴｽﾃﾙ注射液300</t>
  </si>
  <si>
    <t>ケイツーＮ静注１０ｍｇ ２ｍＬＸ１０管</t>
  </si>
  <si>
    <t>ｼﾞｷﾞﾗﾉｹﾞﾝ注0.4ｍｇ</t>
    <rPh sb="9" eb="10">
      <t>チュウ</t>
    </rPh>
    <phoneticPr fontId="3"/>
  </si>
  <si>
    <t>静注用ｷｼﾛｶｲﾝ2％</t>
    <rPh sb="0" eb="2">
      <t>ジョウチュウ</t>
    </rPh>
    <rPh sb="2" eb="3">
      <t>ヨウ</t>
    </rPh>
    <phoneticPr fontId="3"/>
  </si>
  <si>
    <t>生食溶解ｷｯﾄH100ｍｌ</t>
    <rPh sb="0" eb="2">
      <t>セイショク</t>
    </rPh>
    <rPh sb="2" eb="4">
      <t>ヨウカイ</t>
    </rPh>
    <phoneticPr fontId="3"/>
  </si>
  <si>
    <t>セフタジジム静注用１ｇ　　　　　　　　　　　　　１０Ｖ</t>
    <phoneticPr fontId="3"/>
  </si>
  <si>
    <t>セフトリアキソン静注用1G</t>
    <phoneticPr fontId="3"/>
  </si>
  <si>
    <t>ｾﾞﾌﾟﾘｵﾝ水懸筋注100ｍｇ</t>
    <rPh sb="7" eb="8">
      <t>スイ</t>
    </rPh>
    <rPh sb="8" eb="9">
      <t>ケン</t>
    </rPh>
    <rPh sb="9" eb="10">
      <t>キン</t>
    </rPh>
    <rPh sb="10" eb="11">
      <t>チュウ</t>
    </rPh>
    <phoneticPr fontId="3"/>
  </si>
  <si>
    <t>ｾﾞﾌﾟﾘｵﾝ水懸筋注150ｍｇ</t>
    <rPh sb="7" eb="8">
      <t>スイ</t>
    </rPh>
    <rPh sb="8" eb="9">
      <t>ケン</t>
    </rPh>
    <rPh sb="9" eb="10">
      <t>キン</t>
    </rPh>
    <rPh sb="10" eb="11">
      <t>チュウ</t>
    </rPh>
    <phoneticPr fontId="3"/>
  </si>
  <si>
    <t>ｾﾞﾌﾟﾘｵﾝ水懸筋注25ｍｇ</t>
    <rPh sb="7" eb="8">
      <t>スイ</t>
    </rPh>
    <rPh sb="8" eb="9">
      <t>ケン</t>
    </rPh>
    <rPh sb="9" eb="10">
      <t>キン</t>
    </rPh>
    <rPh sb="10" eb="11">
      <t>チュウ</t>
    </rPh>
    <phoneticPr fontId="3"/>
  </si>
  <si>
    <t>ｾﾞﾌﾟﾘｵﾝ水懸筋注50ｍｇ</t>
    <rPh sb="7" eb="8">
      <t>スイ</t>
    </rPh>
    <rPh sb="8" eb="9">
      <t>ケン</t>
    </rPh>
    <rPh sb="9" eb="10">
      <t>キン</t>
    </rPh>
    <rPh sb="10" eb="11">
      <t>チュウ</t>
    </rPh>
    <phoneticPr fontId="3"/>
  </si>
  <si>
    <t>ｾﾞﾌﾟﾘｵﾝ水懸筋注75ｍｇ</t>
    <rPh sb="7" eb="8">
      <t>スイ</t>
    </rPh>
    <rPh sb="8" eb="9">
      <t>ケン</t>
    </rPh>
    <rPh sb="9" eb="10">
      <t>キン</t>
    </rPh>
    <rPh sb="10" eb="11">
      <t>チュウ</t>
    </rPh>
    <phoneticPr fontId="3"/>
  </si>
  <si>
    <t>ｾﾙｼﾝ注射液10MG</t>
  </si>
  <si>
    <t>セレネース注５ｍｇ １ｍＬＸ５０管</t>
  </si>
  <si>
    <t>ｿﾙﾃﾞﾑ 1輸液200</t>
    <phoneticPr fontId="3"/>
  </si>
  <si>
    <t>ｿﾙﾃﾞﾑ 1輸液500</t>
    <phoneticPr fontId="3"/>
  </si>
  <si>
    <t>ﾀﾞﾝﾄﾘｳﾑ静注用20MG</t>
  </si>
  <si>
    <t>ドパミン塩酸塩点滴静注 １００ｍｇ「ＫＮ」　５Ｘ１０管</t>
  </si>
  <si>
    <t>トランサミン注　５％</t>
  </si>
  <si>
    <t>ﾄﾘﾌﾘ-ﾄﾞ輸液</t>
  </si>
  <si>
    <t>トロペロン注４ｍｇ</t>
  </si>
  <si>
    <t>ﾉﾎﾞ･ﾍﾊﾟﾘﾝ注５千単位/5ML</t>
  </si>
  <si>
    <t>ﾉﾙｱﾄﾞﾚﾅﾘﾝ注1ｍｇ</t>
    <rPh sb="9" eb="10">
      <t>チュウ</t>
    </rPh>
    <phoneticPr fontId="3"/>
  </si>
  <si>
    <t>ﾊﾍﾞｶｼﾝ注射液75MG</t>
  </si>
  <si>
    <t>ﾊﾟﾝﾄ-ﾙ注射液500MG</t>
  </si>
  <si>
    <t>ﾋﾞｿﾙﾎﾞﾝ注</t>
    <rPh sb="7" eb="8">
      <t>チュウ</t>
    </rPh>
    <phoneticPr fontId="3"/>
  </si>
  <si>
    <t>ヒベルナ注２５ｍｇ １ｍＬＸ５０管</t>
  </si>
  <si>
    <t>ファモチジン注射用２０㎎　　　　　　　　　　　１０Ａ</t>
    <phoneticPr fontId="3"/>
  </si>
  <si>
    <t>ﾌｪｼﾞﾝ静注40mg</t>
  </si>
  <si>
    <t>フェノバール注射液１００ｍｇ １ｍＬＸ１０管</t>
    <phoneticPr fontId="3"/>
  </si>
  <si>
    <t>ブスコパン注２０ｍｇ</t>
  </si>
  <si>
    <t>ブドウ糖注５％ＰＬ「フソー」20ｍｌ</t>
    <phoneticPr fontId="2"/>
  </si>
  <si>
    <t>ブドウ糖注５％ＰＬ「フソー」100ｍｌ</t>
    <phoneticPr fontId="2"/>
  </si>
  <si>
    <t>ブドウ糖注５０％ＰＬ「フソー」20ｍｌ</t>
    <phoneticPr fontId="2"/>
  </si>
  <si>
    <t>フルデカシン筋注２５ｍｇ １ｍＬＸ５瓶</t>
  </si>
  <si>
    <t>フロセミド注２０㎎「ﾄｰﾜ」</t>
    <phoneticPr fontId="3"/>
  </si>
  <si>
    <t>39050 2ml</t>
  </si>
  <si>
    <t>ペントシリン注射用１ｇ</t>
  </si>
  <si>
    <t>ホスホマイシンナトリウム静注用２ｇ</t>
    <phoneticPr fontId="3"/>
  </si>
  <si>
    <t>ﾎﾟﾀｺ-ﾙR輸液250ｍｌ</t>
    <phoneticPr fontId="3"/>
  </si>
  <si>
    <t>ﾎﾟﾀｺ-ﾙR輸液500ｍｌ</t>
    <phoneticPr fontId="3"/>
  </si>
  <si>
    <t>ﾐﾉｻｲｸﾘﾝ塩酸塩点滴静注用100MG</t>
    <rPh sb="7" eb="10">
      <t>エンサンエン</t>
    </rPh>
    <phoneticPr fontId="3"/>
  </si>
  <si>
    <t>ﾒｲﾛﾝ静注7%</t>
  </si>
  <si>
    <t>レボトミン筋注２５ｍｇ　（田辺） １ｍＬＸ５０管</t>
  </si>
  <si>
    <t>ﾜｿﾗﾝ静注5mg</t>
  </si>
  <si>
    <t>塩酸バンコマイシン点滴静注０．５ｇ 「マイラン」　１０瓶</t>
  </si>
  <si>
    <t>水溶性ハイドロコートン注射１００ｍｇ ２ｍＬＸ１０瓶</t>
  </si>
  <si>
    <t>生食10ｍｌシリンジ</t>
    <rPh sb="0" eb="2">
      <t>セイショク</t>
    </rPh>
    <phoneticPr fontId="2"/>
  </si>
  <si>
    <t>大塚食塩注１０％20ｍｌ</t>
    <phoneticPr fontId="3"/>
  </si>
  <si>
    <t>大塚生食注　細口開栓</t>
    <rPh sb="6" eb="7">
      <t>ホソ</t>
    </rPh>
    <rPh sb="7" eb="8">
      <t>クチ</t>
    </rPh>
    <rPh sb="8" eb="9">
      <t>カイ</t>
    </rPh>
    <rPh sb="9" eb="10">
      <t>セン</t>
    </rPh>
    <phoneticPr fontId="3"/>
  </si>
  <si>
    <t>大塚生食注500ｍｌ</t>
    <phoneticPr fontId="3"/>
  </si>
  <si>
    <t>大塚糖液　５％500ｍｌ</t>
    <phoneticPr fontId="3"/>
  </si>
  <si>
    <t>注射用水ＰＬ「フソー」100ｍｌ</t>
    <phoneticPr fontId="3"/>
  </si>
  <si>
    <t>注射用水ＰＬ「フソー」20ｍｌ</t>
    <phoneticPr fontId="3"/>
  </si>
  <si>
    <t>ラピアクタ</t>
    <phoneticPr fontId="2"/>
  </si>
  <si>
    <t>ｱｸﾄｼﾝ軟膏（30ｇ）</t>
    <rPh sb="5" eb="7">
      <t>ナンコウ</t>
    </rPh>
    <phoneticPr fontId="3"/>
  </si>
  <si>
    <t>カロナール坐剤２００</t>
  </si>
  <si>
    <t>シアナマイド内用液１％「タナベ」 １００ｍＬ</t>
  </si>
  <si>
    <t>ジクロフェナクナトリウム坐剤２５</t>
    <phoneticPr fontId="3"/>
  </si>
  <si>
    <t>トロンビン液モチダソフトボトル　１万 ５本</t>
  </si>
  <si>
    <t>ﾋｭ-ﾏﾘﾝR注100単位/ML</t>
  </si>
  <si>
    <t>ﾋｭ-ﾏﾛｸﾞﾐｯｸｽ25注ﾐﾘｵﾍﾟﾝ</t>
  </si>
  <si>
    <t>ヘブスブリンＩＨ静注１０００単位 ５ｍＬＸ１瓶</t>
    <phoneticPr fontId="3"/>
  </si>
  <si>
    <t>ﾗﾝﾀｽ注ｿﾛｽﾀ-</t>
  </si>
  <si>
    <t>リスパダール　コンスタ筋注用２５ｍｇ</t>
  </si>
  <si>
    <t>リスパダール　コンスタ筋注用３７．５ｍｇ</t>
  </si>
  <si>
    <t>リスパダール　コンスタ筋注用５０ｍｇ</t>
  </si>
  <si>
    <t>新レシカルボン坐剤</t>
  </si>
  <si>
    <t>セレネース内服液０．２％　　　　　</t>
    <phoneticPr fontId="2"/>
  </si>
  <si>
    <t>デパケンシロップ５％ １２０ｍＬ</t>
  </si>
  <si>
    <t>ピアーレ　シロップ６５％ ５００ｍＬ</t>
  </si>
  <si>
    <t>ﾌｧﾝｷﾞｿﾞﾝ ｼﾛｯﾌﾟ100mg/ML</t>
  </si>
  <si>
    <t>フルルバンパップ４０ｍｇ ６００枚</t>
  </si>
  <si>
    <t>ロキソプロフェンNa ﾃ-ﾌﾟ100ｍｇ</t>
    <phoneticPr fontId="3"/>
  </si>
  <si>
    <t>ｲｿﾌﾟﾛﾊﾟﾉ-ﾙ消毒液70%ﾖｼﾀ　500ｍｌﾞ</t>
    <phoneticPr fontId="2"/>
  </si>
  <si>
    <t>ポビドンヨード外用液　１０％　250ｍｌ</t>
    <rPh sb="7" eb="9">
      <t>ガイヨウ</t>
    </rPh>
    <phoneticPr fontId="2"/>
  </si>
  <si>
    <t>ピューラックス　６％　￥５９０ ６００ｍＬ</t>
  </si>
  <si>
    <t>逆性石ｹﾝ液10｢ﾖｼﾀﾞ｣　500ｍｌ</t>
    <phoneticPr fontId="2"/>
  </si>
  <si>
    <t>精製水500ｍｌ</t>
    <phoneticPr fontId="3"/>
  </si>
  <si>
    <t>ｽﾜﾌﾞｽﾃｨｯｸﾎﾟﾋﾟﾄﾞﾝﾖｰﾄﾞM60包入</t>
    <rPh sb="23" eb="24">
      <t>ホウ</t>
    </rPh>
    <rPh sb="24" eb="25">
      <t>イ</t>
    </rPh>
    <phoneticPr fontId="2"/>
  </si>
  <si>
    <t>ｽﾜﾌﾞｽﾃｨｯｸﾍｷｼｼﾞﾝM60包入</t>
    <rPh sb="18" eb="19">
      <t>ホウ</t>
    </rPh>
    <rPh sb="19" eb="20">
      <t>イ</t>
    </rPh>
    <phoneticPr fontId="2"/>
  </si>
  <si>
    <t>アナストロゾール（1）</t>
    <phoneticPr fontId="2"/>
  </si>
  <si>
    <t>サンリズム（25）</t>
    <phoneticPr fontId="2"/>
  </si>
  <si>
    <t>ｱｻﾞﾙﾌｨｼﾞﾝEN（500）</t>
    <phoneticPr fontId="2"/>
  </si>
  <si>
    <t>ｴﾌｨｴﾝﾄ（2.5）</t>
    <phoneticPr fontId="2"/>
  </si>
  <si>
    <t>ｺﾝｻｰﾀ（18）</t>
    <phoneticPr fontId="2"/>
  </si>
  <si>
    <t>ｾﾗﾗ（50）</t>
    <phoneticPr fontId="2"/>
  </si>
  <si>
    <t>ﾀﾞｲﾌｪﾝ配合錠</t>
    <rPh sb="6" eb="8">
      <t>ハイゴウ</t>
    </rPh>
    <rPh sb="8" eb="9">
      <t>ジョウ</t>
    </rPh>
    <phoneticPr fontId="2"/>
  </si>
  <si>
    <t>ﾀﾁｵﾝ（50）</t>
    <phoneticPr fontId="2"/>
  </si>
  <si>
    <t>ﾊｰﾌｼﾞｺﾞｷｼﾝKY（0.125）</t>
    <phoneticPr fontId="2"/>
  </si>
  <si>
    <t>ﾌﾟﾘﾓﾎﾞﾗﾝ（5）</t>
    <phoneticPr fontId="2"/>
  </si>
  <si>
    <t>ﾌﾙｲﾄﾗﾝ（2）</t>
    <phoneticPr fontId="2"/>
  </si>
  <si>
    <t>ﾎｰﾘﾝV</t>
    <phoneticPr fontId="2"/>
  </si>
  <si>
    <t>ﾒﾙｶｿﾞｰﾙ（5）</t>
    <phoneticPr fontId="2"/>
  </si>
  <si>
    <t>ﾕﾘｰﾌ（4）</t>
    <phoneticPr fontId="2"/>
  </si>
  <si>
    <t>ﾘｵﾚｻｰﾙ（5）</t>
    <phoneticPr fontId="2"/>
  </si>
  <si>
    <t>ｇ</t>
    <phoneticPr fontId="2"/>
  </si>
  <si>
    <t>　</t>
    <phoneticPr fontId="2"/>
  </si>
  <si>
    <t>本</t>
    <rPh sb="0" eb="1">
      <t>ホン</t>
    </rPh>
    <phoneticPr fontId="2"/>
  </si>
  <si>
    <t>錠</t>
    <rPh sb="0" eb="1">
      <t>ジョウ</t>
    </rPh>
    <phoneticPr fontId="2"/>
  </si>
  <si>
    <t>　</t>
    <phoneticPr fontId="2"/>
  </si>
  <si>
    <t>オランザピン細粒1％「ヨシトミ」</t>
    <phoneticPr fontId="2"/>
  </si>
  <si>
    <t>スルピリド細粒５０％「アメル」 ５００ｇ</t>
    <phoneticPr fontId="2"/>
  </si>
  <si>
    <t>ｱﾘﾋﾟﾌﾟﾗｿﾞｰﾙ内用液分包6ｍｇ「ﾆﾌﾟﾛ」</t>
    <rPh sb="11" eb="13">
      <t>ナイヨウ</t>
    </rPh>
    <rPh sb="13" eb="14">
      <t>エキ</t>
    </rPh>
    <rPh sb="14" eb="15">
      <t>ブン</t>
    </rPh>
    <rPh sb="15" eb="16">
      <t>ホウ</t>
    </rPh>
    <phoneticPr fontId="2"/>
  </si>
  <si>
    <t>ﾃﾙﾐｻﾙﾀﾝ錠20ｍｇ ｢杏林｣</t>
    <rPh sb="7" eb="8">
      <t>ジョウ</t>
    </rPh>
    <rPh sb="14" eb="16">
      <t>キョウリン</t>
    </rPh>
    <phoneticPr fontId="2"/>
  </si>
  <si>
    <t>ゾピクロン錠７．５ｍｇ「トーワ」</t>
    <phoneticPr fontId="2"/>
  </si>
  <si>
    <t>ドンペリドン錠10ｍｇ「トーワ」</t>
    <rPh sb="6" eb="7">
      <t>ジョウ</t>
    </rPh>
    <phoneticPr fontId="2"/>
  </si>
  <si>
    <t>メコバラミン錠５００「トーワ」</t>
    <phoneticPr fontId="2"/>
  </si>
  <si>
    <t>フルニトラゼパム錠２ｍｇ「アメル」</t>
    <phoneticPr fontId="2"/>
  </si>
  <si>
    <t>ロスバスタチン錠2.5ｍｇ「ニプロ」</t>
    <rPh sb="7" eb="8">
      <t>ジョウ</t>
    </rPh>
    <phoneticPr fontId="2"/>
  </si>
  <si>
    <t>アレンドロン酸点滴静注ﾊﾞｯｸ900μｇ</t>
    <rPh sb="6" eb="7">
      <t>サン</t>
    </rPh>
    <rPh sb="7" eb="9">
      <t>テンテキ</t>
    </rPh>
    <rPh sb="9" eb="10">
      <t>ジョウ</t>
    </rPh>
    <rPh sb="10" eb="11">
      <t>チュウ</t>
    </rPh>
    <phoneticPr fontId="2"/>
  </si>
  <si>
    <t>ラタノプロスト点眼液0.005％「サワイ」2.5ｍｌ/本</t>
    <rPh sb="7" eb="10">
      <t>テンガンエキ</t>
    </rPh>
    <rPh sb="27" eb="28">
      <t>ホン</t>
    </rPh>
    <phoneticPr fontId="2"/>
  </si>
  <si>
    <t>ｹﾄﾌﾟﾛﾌｪﾝﾊﾟｯﾌﾟ30（7枚入）</t>
    <rPh sb="17" eb="18">
      <t>マイ</t>
    </rPh>
    <rPh sb="18" eb="19">
      <t>イリ</t>
    </rPh>
    <phoneticPr fontId="2"/>
  </si>
  <si>
    <t>ヘパリンNa注5000単位「ﾓﾁﾀﾞ」</t>
    <rPh sb="6" eb="7">
      <t>チュウ</t>
    </rPh>
    <rPh sb="11" eb="13">
      <t>タンイ</t>
    </rPh>
    <phoneticPr fontId="3"/>
  </si>
  <si>
    <t>ニュープロパッチ（9）</t>
    <phoneticPr fontId="2"/>
  </si>
  <si>
    <t>ビカルタミド</t>
    <phoneticPr fontId="2"/>
  </si>
  <si>
    <t>ﾌｪﾉﾊﾞｰﾙ（30）</t>
    <phoneticPr fontId="2"/>
  </si>
  <si>
    <t>ﾚﾙﾊﾟｯｸｽ</t>
    <phoneticPr fontId="2"/>
  </si>
  <si>
    <t>ｸﾚﾅﾌｨﾝ爪外用液</t>
    <rPh sb="6" eb="7">
      <t>ツメ</t>
    </rPh>
    <rPh sb="7" eb="9">
      <t>ガイヨウ</t>
    </rPh>
    <rPh sb="9" eb="10">
      <t>エキ</t>
    </rPh>
    <phoneticPr fontId="2"/>
  </si>
  <si>
    <t>ﾄﾞﾊﾟｽﾄﾝ静注（５０）</t>
    <rPh sb="7" eb="8">
      <t>ジョウ</t>
    </rPh>
    <rPh sb="8" eb="9">
      <t>チュウ</t>
    </rPh>
    <phoneticPr fontId="2"/>
  </si>
  <si>
    <t>錠</t>
    <rPh sb="0" eb="1">
      <t>ジョウ</t>
    </rPh>
    <phoneticPr fontId="2"/>
  </si>
  <si>
    <t>個</t>
    <rPh sb="0" eb="1">
      <t>コ</t>
    </rPh>
    <phoneticPr fontId="2"/>
  </si>
  <si>
    <t>枚</t>
    <rPh sb="0" eb="1">
      <t>マイ</t>
    </rPh>
    <phoneticPr fontId="2"/>
  </si>
  <si>
    <t>ｇ</t>
    <phoneticPr fontId="2"/>
  </si>
  <si>
    <t>本</t>
    <rPh sb="0" eb="1">
      <t>ホン</t>
    </rPh>
    <phoneticPr fontId="2"/>
  </si>
  <si>
    <t>袋</t>
    <rPh sb="0" eb="1">
      <t>フクロ</t>
    </rPh>
    <phoneticPr fontId="2"/>
  </si>
  <si>
    <t>ﾜｰﾌｧﾘﾝ</t>
    <phoneticPr fontId="2"/>
  </si>
  <si>
    <t>ｷｼﾛカインｼﾘﾝｼﾞ</t>
    <phoneticPr fontId="2"/>
  </si>
  <si>
    <t>プレドニゾロン錠1</t>
    <phoneticPr fontId="2"/>
  </si>
  <si>
    <t>錠</t>
    <rPh sb="0" eb="1">
      <t>ジョウ</t>
    </rPh>
    <phoneticPr fontId="2"/>
  </si>
  <si>
    <t>Cp</t>
    <phoneticPr fontId="2"/>
  </si>
  <si>
    <t>本</t>
    <rPh sb="0" eb="1">
      <t>ホン</t>
    </rPh>
    <phoneticPr fontId="2"/>
  </si>
  <si>
    <t>ｇ</t>
    <phoneticPr fontId="2"/>
  </si>
  <si>
    <t>グーフィス錠5ｍｇ</t>
    <rPh sb="5" eb="6">
      <t>ジョウ</t>
    </rPh>
    <phoneticPr fontId="2"/>
  </si>
  <si>
    <t>ゾフルーザ錠20ｍｇ</t>
    <rPh sb="5" eb="6">
      <t>ジョウ</t>
    </rPh>
    <phoneticPr fontId="2"/>
  </si>
  <si>
    <t>ミドドリン塩酸塩錠2ｍｇ</t>
    <rPh sb="5" eb="7">
      <t>エンサン</t>
    </rPh>
    <rPh sb="7" eb="8">
      <t>エン</t>
    </rPh>
    <rPh sb="8" eb="9">
      <t>ジョウ</t>
    </rPh>
    <phoneticPr fontId="2"/>
  </si>
  <si>
    <t>リンゼス錠0.25ｍｇ</t>
    <rPh sb="4" eb="5">
      <t>ジョウ</t>
    </rPh>
    <phoneticPr fontId="2"/>
  </si>
  <si>
    <t>ビムパット錠50ｍｇ</t>
    <rPh sb="5" eb="6">
      <t>ジョウ</t>
    </rPh>
    <phoneticPr fontId="2"/>
  </si>
  <si>
    <t>ｱﾘﾋﾟﾌﾟﾗｿﾞｰﾙ内用液分包3ｍｇ「ﾆﾌﾟﾛ」</t>
    <rPh sb="11" eb="13">
      <t>ナイヨウ</t>
    </rPh>
    <rPh sb="13" eb="14">
      <t>エキ</t>
    </rPh>
    <rPh sb="14" eb="15">
      <t>ブン</t>
    </rPh>
    <rPh sb="15" eb="16">
      <t>ホウ</t>
    </rPh>
    <phoneticPr fontId="2"/>
  </si>
  <si>
    <t>シアノコバラミン点眼液０．０２％ ５ｍＬＸ１０</t>
    <phoneticPr fontId="2"/>
  </si>
  <si>
    <t>マーズレンS配合顆粒</t>
    <rPh sb="6" eb="8">
      <t>ハイゴウ</t>
    </rPh>
    <rPh sb="8" eb="10">
      <t>カリュウ</t>
    </rPh>
    <phoneticPr fontId="2"/>
  </si>
  <si>
    <t>ベンザリン細粒</t>
    <rPh sb="5" eb="7">
      <t>サイリュウ</t>
    </rPh>
    <phoneticPr fontId="2"/>
  </si>
  <si>
    <t>ｱﾘﾋﾟﾌﾟﾗｿﾞｰﾙ散1％「ﾆﾌﾟﾛ」</t>
    <rPh sb="11" eb="12">
      <t>サン</t>
    </rPh>
    <phoneticPr fontId="2"/>
  </si>
  <si>
    <t>ドグマチール細粒</t>
    <rPh sb="6" eb="8">
      <t>サイリュウ</t>
    </rPh>
    <phoneticPr fontId="2"/>
  </si>
  <si>
    <t>トロペロン細粒1％</t>
    <rPh sb="5" eb="7">
      <t>サイリュウ</t>
    </rPh>
    <phoneticPr fontId="2"/>
  </si>
  <si>
    <t>デパス細粒1％</t>
    <rPh sb="3" eb="5">
      <t>サイリュウ</t>
    </rPh>
    <phoneticPr fontId="2"/>
  </si>
  <si>
    <t>アキネトン細粒1%</t>
    <phoneticPr fontId="3"/>
  </si>
  <si>
    <t>コデインリン酸塩酸1％</t>
    <rPh sb="6" eb="7">
      <t>サン</t>
    </rPh>
    <rPh sb="7" eb="9">
      <t>エンサン</t>
    </rPh>
    <phoneticPr fontId="2"/>
  </si>
  <si>
    <t>グラマリール細粒10％</t>
    <rPh sb="6" eb="8">
      <t>サイリュウ</t>
    </rPh>
    <phoneticPr fontId="2"/>
  </si>
  <si>
    <t>センノサイド顆粒　８％　</t>
    <phoneticPr fontId="2"/>
  </si>
  <si>
    <t>トーワチーム配合顆粒</t>
    <rPh sb="6" eb="8">
      <t>ハイゴウ</t>
    </rPh>
    <rPh sb="8" eb="10">
      <t>カリュウ</t>
    </rPh>
    <phoneticPr fontId="2"/>
  </si>
  <si>
    <t>シーピー配合顆粒 １ｇＸ１００８包</t>
    <rPh sb="4" eb="6">
      <t>ハイゴウ</t>
    </rPh>
    <phoneticPr fontId="2"/>
  </si>
  <si>
    <t>クレメジン細粒2ｇ</t>
    <rPh sb="5" eb="7">
      <t>サイリュウ</t>
    </rPh>
    <phoneticPr fontId="2"/>
  </si>
  <si>
    <t>ポリスチレンゼリー</t>
    <phoneticPr fontId="2"/>
  </si>
  <si>
    <t>個</t>
    <rPh sb="0" eb="1">
      <t>コ</t>
    </rPh>
    <phoneticPr fontId="2"/>
  </si>
  <si>
    <t>アスパラカリウム散50％</t>
    <rPh sb="8" eb="9">
      <t>サン</t>
    </rPh>
    <phoneticPr fontId="2"/>
  </si>
  <si>
    <t>カリメートドライシロップ</t>
    <phoneticPr fontId="2"/>
  </si>
  <si>
    <t>モビコール配合内用剤LD</t>
    <rPh sb="5" eb="7">
      <t>ハイゴウ</t>
    </rPh>
    <rPh sb="7" eb="9">
      <t>ナイヨウ</t>
    </rPh>
    <rPh sb="9" eb="10">
      <t>ザイ</t>
    </rPh>
    <phoneticPr fontId="2"/>
  </si>
  <si>
    <t>016ﾂﾑﾗ　ﾊﾝｹﾞｺｳﾎﾞｸﾄｳ2.5ｇ/包</t>
    <rPh sb="23" eb="24">
      <t>ホウ</t>
    </rPh>
    <phoneticPr fontId="2"/>
  </si>
  <si>
    <t>112ﾂﾑﾗﾁｮﾚｲﾄｳｺﾝｺﾞｳｼﾓﾂﾄｳ　2.5ｇ/包</t>
    <rPh sb="28" eb="29">
      <t>ホウ</t>
    </rPh>
    <phoneticPr fontId="2"/>
  </si>
  <si>
    <t>ニフェジピンカプセル10ｍｇ</t>
    <phoneticPr fontId="2"/>
  </si>
  <si>
    <t>アスパラカリウム錠300ｍｇ</t>
    <rPh sb="8" eb="9">
      <t>ジョウ</t>
    </rPh>
    <phoneticPr fontId="2"/>
  </si>
  <si>
    <t>アスパラCA錠200ｍｇ</t>
    <rPh sb="6" eb="7">
      <t>ジョウ</t>
    </rPh>
    <phoneticPr fontId="2"/>
  </si>
  <si>
    <t>アトルバスタチン錠10ｍｇ</t>
    <rPh sb="8" eb="9">
      <t>ジョウ</t>
    </rPh>
    <phoneticPr fontId="2"/>
  </si>
  <si>
    <t>ミドドリン塩酸塩錠2ｍｇ</t>
    <rPh sb="5" eb="7">
      <t>エンサン</t>
    </rPh>
    <rPh sb="7" eb="8">
      <t>エン</t>
    </rPh>
    <rPh sb="8" eb="9">
      <t>ジョウ</t>
    </rPh>
    <phoneticPr fontId="2"/>
  </si>
  <si>
    <t>ﾒｷｼﾁｰﾙ塩酸塩ｶﾌﾟｾﾙ５０</t>
    <rPh sb="6" eb="9">
      <t>エンサンエン</t>
    </rPh>
    <phoneticPr fontId="3"/>
  </si>
  <si>
    <t>ﾒﾄﾎﾙﾐﾝ錠250ｍｇ</t>
    <rPh sb="6" eb="7">
      <t>ジョウ</t>
    </rPh>
    <phoneticPr fontId="3"/>
  </si>
  <si>
    <t>グリメピリド錠1ｍｇ</t>
    <rPh sb="6" eb="7">
      <t>ジョウ</t>
    </rPh>
    <phoneticPr fontId="2"/>
  </si>
  <si>
    <t>ﾄﾞﾈﾍﾟｼﾞﾙ塩酸塩錠OD3mg</t>
    <phoneticPr fontId="2"/>
  </si>
  <si>
    <t>ﾄﾞﾈﾍﾟｼﾞﾙ塩酸塩錠OD5mg</t>
    <phoneticPr fontId="2"/>
  </si>
  <si>
    <t>ﾄﾞﾈﾍﾟｼﾞﾙ塩酸塩錠OD10mg</t>
    <phoneticPr fontId="2"/>
  </si>
  <si>
    <t>ｱﾘﾋﾟﾌﾟﾗｿﾞｰﾙOD錠3ｍｇ「ﾆﾌﾟﾛ」</t>
    <rPh sb="13" eb="14">
      <t>ジョウ</t>
    </rPh>
    <phoneticPr fontId="2"/>
  </si>
  <si>
    <t>ｱﾘﾋﾟﾌﾟﾗｿﾞｰﾙOD錠12ｍｇ「ﾆﾌﾟﾛ」</t>
    <rPh sb="13" eb="14">
      <t>ジョウ</t>
    </rPh>
    <phoneticPr fontId="2"/>
  </si>
  <si>
    <t>ｱﾘﾋﾟﾌﾟﾗｿﾞｰﾙOD錠6ｍｇ「ﾆﾌﾟﾛ」</t>
    <rPh sb="13" eb="14">
      <t>ジョウ</t>
    </rPh>
    <phoneticPr fontId="2"/>
  </si>
  <si>
    <t>オロパタジン塩酸塩錠5ｍｇ</t>
    <rPh sb="6" eb="9">
      <t>エンサンエン</t>
    </rPh>
    <rPh sb="9" eb="10">
      <t>ジョウ</t>
    </rPh>
    <phoneticPr fontId="2"/>
  </si>
  <si>
    <t>ジメチコン錠40ｍｇ</t>
    <rPh sb="5" eb="6">
      <t>ジョウ</t>
    </rPh>
    <phoneticPr fontId="2"/>
  </si>
  <si>
    <t>レベチラセタム錠</t>
    <rPh sb="7" eb="8">
      <t>ジョウ</t>
    </rPh>
    <phoneticPr fontId="2"/>
  </si>
  <si>
    <t>硝酸イソソルビド徐放ｶﾌﾟｾﾙ</t>
    <rPh sb="0" eb="2">
      <t>ショウサン</t>
    </rPh>
    <rPh sb="8" eb="10">
      <t>ジョホウ</t>
    </rPh>
    <phoneticPr fontId="2"/>
  </si>
  <si>
    <t>イフェクサーSRカプセル37.5mg</t>
    <phoneticPr fontId="2"/>
  </si>
  <si>
    <t>イフェクサーSRカプセル75mg</t>
    <phoneticPr fontId="2"/>
  </si>
  <si>
    <t>インチュニブ錠1ｍｇ</t>
    <rPh sb="6" eb="7">
      <t>ジョウ</t>
    </rPh>
    <phoneticPr fontId="2"/>
  </si>
  <si>
    <t>エゼチミブOD（10）</t>
    <phoneticPr fontId="2"/>
  </si>
  <si>
    <t>ｴﾋﾞﾘﾌｧｲ錠1mg</t>
    <phoneticPr fontId="2"/>
  </si>
  <si>
    <t>エフィエント錠2.5ｍｇ</t>
    <rPh sb="6" eb="7">
      <t>ジョウ</t>
    </rPh>
    <phoneticPr fontId="2"/>
  </si>
  <si>
    <t>リスミー錠2ｍｇ</t>
    <rPh sb="4" eb="5">
      <t>ジョウ</t>
    </rPh>
    <phoneticPr fontId="2"/>
  </si>
  <si>
    <t>エトドラク錠200ｍｇ</t>
    <rPh sb="5" eb="6">
      <t>ジョウ</t>
    </rPh>
    <phoneticPr fontId="2"/>
  </si>
  <si>
    <t>エリキュース錠2.5ｍｇ</t>
    <rPh sb="6" eb="7">
      <t>ジョウ</t>
    </rPh>
    <phoneticPr fontId="2"/>
  </si>
  <si>
    <t>オーグメンチン配合錠250ｍｇ</t>
    <rPh sb="7" eb="9">
      <t>ハイゴウ</t>
    </rPh>
    <rPh sb="9" eb="10">
      <t>ジョウ</t>
    </rPh>
    <phoneticPr fontId="2"/>
  </si>
  <si>
    <t>オセルタミビルカプセル75ｍｇ</t>
    <phoneticPr fontId="2"/>
  </si>
  <si>
    <t>オテズラ錠30ｍｇ</t>
    <rPh sb="4" eb="5">
      <t>ジョウ</t>
    </rPh>
    <phoneticPr fontId="2"/>
  </si>
  <si>
    <t>オルメテックOD錠10ｍｇ</t>
    <rPh sb="8" eb="9">
      <t>ジョウ</t>
    </rPh>
    <phoneticPr fontId="2"/>
  </si>
  <si>
    <t>ｸｴﾁｱﾋﾟﾝ錠200ｍｇ</t>
    <rPh sb="7" eb="8">
      <t>ジョウ</t>
    </rPh>
    <phoneticPr fontId="3"/>
  </si>
  <si>
    <t>グーフィス錠5ｍｇ</t>
    <rPh sb="5" eb="6">
      <t>ジョウ</t>
    </rPh>
    <phoneticPr fontId="2"/>
  </si>
  <si>
    <t>グラマリール錠25ｍｇ</t>
    <rPh sb="6" eb="7">
      <t>ジョウ</t>
    </rPh>
    <phoneticPr fontId="2"/>
  </si>
  <si>
    <t>グラマリール錠50ｍｇ</t>
    <rPh sb="6" eb="7">
      <t>ジョウ</t>
    </rPh>
    <phoneticPr fontId="2"/>
  </si>
  <si>
    <t>グランダキシン錠50mg</t>
    <rPh sb="7" eb="8">
      <t>ジョウ</t>
    </rPh>
    <phoneticPr fontId="2"/>
  </si>
  <si>
    <t>クロピトグレル錠75ｍｇ</t>
    <rPh sb="7" eb="8">
      <t>ジョウ</t>
    </rPh>
    <phoneticPr fontId="2"/>
  </si>
  <si>
    <t>ｄ－ｸﾛﾙﾌｪﾆﾗﾐﾝﾏﾚｲﾝ酸</t>
    <rPh sb="15" eb="16">
      <t>サン</t>
    </rPh>
    <phoneticPr fontId="2"/>
  </si>
  <si>
    <t>デュロキセチンカプセル</t>
    <phoneticPr fontId="2"/>
  </si>
  <si>
    <t>シクロスポリンカプセル50ｍｇ</t>
    <phoneticPr fontId="2"/>
  </si>
  <si>
    <t>ペルサンチン錠25</t>
    <rPh sb="6" eb="7">
      <t>ジョウ</t>
    </rPh>
    <phoneticPr fontId="2"/>
  </si>
  <si>
    <t>ピコスルファートナトリウム錠2.5</t>
    <phoneticPr fontId="2"/>
  </si>
  <si>
    <t>ｾﾚｺｷｼﾌﾞ錠100mg</t>
    <phoneticPr fontId="2"/>
  </si>
  <si>
    <t>イリボー（5）</t>
    <phoneticPr fontId="2"/>
  </si>
  <si>
    <t>クロピドグレル錠（25）</t>
    <rPh sb="7" eb="8">
      <t>ジョウ</t>
    </rPh>
    <phoneticPr fontId="2"/>
  </si>
  <si>
    <t>ﾒﾄﾄﾚｷｻｰﾄ（２）</t>
    <phoneticPr fontId="2"/>
  </si>
  <si>
    <t>プレガバリンOD（25）</t>
    <phoneticPr fontId="2"/>
  </si>
  <si>
    <t>プレガバリンOD（75）</t>
    <phoneticPr fontId="2"/>
  </si>
  <si>
    <t>レルベア100エリプタ</t>
    <phoneticPr fontId="2"/>
  </si>
  <si>
    <t>デュタステリドカプセル（0.5）</t>
    <phoneticPr fontId="2"/>
  </si>
  <si>
    <t>ｱｼﾞﾙﾊﾞ（10）</t>
    <phoneticPr fontId="2"/>
  </si>
  <si>
    <t>ラコール コーヒー　２0０ｍＬＸ２8</t>
    <phoneticPr fontId="2"/>
  </si>
  <si>
    <t>ラコール ミルク　２0０ｍＬＸ２8</t>
    <phoneticPr fontId="2"/>
  </si>
  <si>
    <t>イリボー5μｇ</t>
    <phoneticPr fontId="2"/>
  </si>
  <si>
    <t>オテズラ30ｍｇ</t>
    <phoneticPr fontId="2"/>
  </si>
  <si>
    <t>ゼチーア10ｍｇ</t>
    <phoneticPr fontId="2"/>
  </si>
  <si>
    <t>タモキシフェン20ｍｇ</t>
    <phoneticPr fontId="2"/>
  </si>
  <si>
    <t>リバスチグミンテープ１３．５ｍｇ ２８枚</t>
    <phoneticPr fontId="3"/>
  </si>
  <si>
    <t>リバスチグミンテープ１８ｍｇ ２８枚</t>
    <phoneticPr fontId="3"/>
  </si>
  <si>
    <t>リバスチグミンテープ４．５ｍｇ ２８枚</t>
    <phoneticPr fontId="3"/>
  </si>
  <si>
    <t>リバスタッチテープ９ｍｇ ２８枚</t>
    <phoneticPr fontId="3"/>
  </si>
  <si>
    <t>ロナセンテープ40mg</t>
    <phoneticPr fontId="2"/>
  </si>
  <si>
    <t>デカドロン注303ｍｇ</t>
    <rPh sb="5" eb="6">
      <t>チュウ</t>
    </rPh>
    <phoneticPr fontId="2"/>
  </si>
  <si>
    <t>ドルミカム注10ｍｇ</t>
    <rPh sb="5" eb="6">
      <t>チュウ</t>
    </rPh>
    <phoneticPr fontId="2"/>
  </si>
  <si>
    <t>ビソノテープ4ｍｇ</t>
    <phoneticPr fontId="2"/>
  </si>
  <si>
    <t>ホスミシンS耳科用3％</t>
    <rPh sb="6" eb="8">
      <t>ジカ</t>
    </rPh>
    <rPh sb="8" eb="9">
      <t>ヨウ</t>
    </rPh>
    <phoneticPr fontId="2"/>
  </si>
  <si>
    <t>ホーリンV膣錠</t>
    <rPh sb="5" eb="6">
      <t>チツ</t>
    </rPh>
    <rPh sb="6" eb="7">
      <t>ジョウ</t>
    </rPh>
    <phoneticPr fontId="2"/>
  </si>
  <si>
    <t>リアルダ錠1200ｍｇ</t>
    <rPh sb="4" eb="5">
      <t>ジョウ</t>
    </rPh>
    <phoneticPr fontId="2"/>
  </si>
  <si>
    <t>レクチゾール（25）</t>
    <phoneticPr fontId="2"/>
  </si>
  <si>
    <t>ﾂﾑﾗ防已黄耆湯</t>
    <rPh sb="3" eb="5">
      <t>ボウイ</t>
    </rPh>
    <rPh sb="5" eb="8">
      <t>オウギトウ</t>
    </rPh>
    <phoneticPr fontId="2"/>
  </si>
  <si>
    <t>ビブラマイシン錠50mg</t>
    <rPh sb="7" eb="8">
      <t>ジョウ</t>
    </rPh>
    <phoneticPr fontId="2"/>
  </si>
  <si>
    <t>ファモチジンD錠２０㎎</t>
    <phoneticPr fontId="3"/>
  </si>
  <si>
    <t>カルビスケン錠5ｍｇ</t>
    <rPh sb="6" eb="7">
      <t>ジョウ</t>
    </rPh>
    <phoneticPr fontId="2"/>
  </si>
  <si>
    <t>ゾフルーザ錠20ｍｇ</t>
    <rPh sb="5" eb="6">
      <t>ジョウ</t>
    </rPh>
    <phoneticPr fontId="2"/>
  </si>
  <si>
    <t>タクロリムスカプセル（1）</t>
    <phoneticPr fontId="2"/>
  </si>
  <si>
    <t>タフマックE配合カプセル</t>
    <rPh sb="6" eb="8">
      <t>ハイゴウ</t>
    </rPh>
    <phoneticPr fontId="2"/>
  </si>
  <si>
    <t>タンボコール錠50ｍｇ</t>
    <rPh sb="6" eb="7">
      <t>ジョウ</t>
    </rPh>
    <phoneticPr fontId="2"/>
  </si>
  <si>
    <t>ﾁｻﾞﾆｼﾞﾝ錠1ｍｇ</t>
    <rPh sb="7" eb="8">
      <t>ジョウ</t>
    </rPh>
    <phoneticPr fontId="2"/>
  </si>
  <si>
    <t>ﾁﾗ-ﾁﾞﾝ S錠25μG</t>
    <phoneticPr fontId="2"/>
  </si>
  <si>
    <t>デエビゴ錠2.5ｍｇ</t>
    <rPh sb="4" eb="5">
      <t>ジョウ</t>
    </rPh>
    <phoneticPr fontId="2"/>
  </si>
  <si>
    <t>デエビゴ錠5ｍｇ</t>
    <rPh sb="4" eb="5">
      <t>ジョウ</t>
    </rPh>
    <phoneticPr fontId="2"/>
  </si>
  <si>
    <t>ドプスOD100ｍｇ</t>
    <phoneticPr fontId="2"/>
  </si>
  <si>
    <t>トラゼンタ錠5ｍｇ</t>
    <rPh sb="5" eb="6">
      <t>ジョウ</t>
    </rPh>
    <phoneticPr fontId="2"/>
  </si>
  <si>
    <t>トラマールOD錠25</t>
    <rPh sb="7" eb="8">
      <t>ジョウ</t>
    </rPh>
    <phoneticPr fontId="2"/>
  </si>
  <si>
    <t>トリヘキシフェニジル塩酸塩錠2ｍｇ</t>
    <rPh sb="10" eb="12">
      <t>エンサン</t>
    </rPh>
    <rPh sb="12" eb="13">
      <t>エン</t>
    </rPh>
    <rPh sb="13" eb="14">
      <t>ジョウ</t>
    </rPh>
    <phoneticPr fontId="2"/>
  </si>
  <si>
    <t>トリンテリックス錠10ｍｇ</t>
    <rPh sb="8" eb="9">
      <t>ジョウ</t>
    </rPh>
    <phoneticPr fontId="2"/>
  </si>
  <si>
    <t>トレリーフOD錠25ｍｇ</t>
    <rPh sb="7" eb="8">
      <t>ジョウ</t>
    </rPh>
    <phoneticPr fontId="2"/>
  </si>
  <si>
    <t>パキロビッド300</t>
    <phoneticPr fontId="2"/>
  </si>
  <si>
    <t>パキロビッド600</t>
    <phoneticPr fontId="2"/>
  </si>
  <si>
    <t>ラゲブリオ</t>
    <phoneticPr fontId="2"/>
  </si>
  <si>
    <t>ベクルリー点滴</t>
    <rPh sb="5" eb="7">
      <t>テンテキ</t>
    </rPh>
    <phoneticPr fontId="2"/>
  </si>
  <si>
    <t xml:space="preserve">バルプロ酸ﾅﾄﾘｳﾑ錠２００ｍｇ </t>
    <rPh sb="4" eb="5">
      <t>サン</t>
    </rPh>
    <phoneticPr fontId="2"/>
  </si>
  <si>
    <t>ピーゼットシー錠</t>
    <rPh sb="7" eb="8">
      <t>ジョウ</t>
    </rPh>
    <phoneticPr fontId="2"/>
  </si>
  <si>
    <t>ﾋﾞｿﾌﾟﾛﾛｰﾙﾌﾏﾙ酸（0.625）</t>
    <rPh sb="12" eb="13">
      <t>サン</t>
    </rPh>
    <phoneticPr fontId="2"/>
  </si>
  <si>
    <t>ﾋﾞｿﾌﾟﾛﾛｰﾙﾌﾏﾙ酸（2.5）</t>
    <rPh sb="12" eb="13">
      <t>サン</t>
    </rPh>
    <phoneticPr fontId="2"/>
  </si>
  <si>
    <t>ブロムヘキシン4ｍｇ</t>
    <phoneticPr fontId="2"/>
  </si>
  <si>
    <t>ビプレッソ徐放錠50ｍｇ</t>
    <rPh sb="5" eb="7">
      <t>ジョホウ</t>
    </rPh>
    <rPh sb="7" eb="8">
      <t>ジョウ</t>
    </rPh>
    <phoneticPr fontId="2"/>
  </si>
  <si>
    <t>ビプレッソ徐放錠150ｍｇ</t>
    <rPh sb="5" eb="7">
      <t>ジョホウ</t>
    </rPh>
    <rPh sb="7" eb="8">
      <t>ジョウ</t>
    </rPh>
    <phoneticPr fontId="2"/>
  </si>
  <si>
    <t>ビムパット錠50ｍｇ</t>
    <rPh sb="5" eb="6">
      <t>ジョウ</t>
    </rPh>
    <phoneticPr fontId="2"/>
  </si>
  <si>
    <t>ビムパット錠100ｍｇ</t>
    <rPh sb="5" eb="6">
      <t>ジョウ</t>
    </rPh>
    <phoneticPr fontId="2"/>
  </si>
  <si>
    <t>ビラノア錠</t>
    <rPh sb="4" eb="5">
      <t>ジョウ</t>
    </rPh>
    <phoneticPr fontId="2"/>
  </si>
  <si>
    <t>ヒルナミン錠5mg</t>
    <rPh sb="5" eb="6">
      <t>ジョウ</t>
    </rPh>
    <phoneticPr fontId="2"/>
  </si>
  <si>
    <t>ヒルナミン錠25mg</t>
    <rPh sb="5" eb="6">
      <t>ジョウ</t>
    </rPh>
    <phoneticPr fontId="2"/>
  </si>
  <si>
    <t>ヒルナミン錠50mg</t>
    <rPh sb="5" eb="6">
      <t>ジョウ</t>
    </rPh>
    <phoneticPr fontId="2"/>
  </si>
  <si>
    <t>フィコンパ錠</t>
    <rPh sb="5" eb="6">
      <t>ジョウ</t>
    </rPh>
    <phoneticPr fontId="2"/>
  </si>
  <si>
    <t>フェブキソスタット錠10ｍｇ</t>
    <rPh sb="9" eb="10">
      <t>ジョウ</t>
    </rPh>
    <phoneticPr fontId="2"/>
  </si>
  <si>
    <t>フェロジピン錠（5）</t>
    <rPh sb="6" eb="7">
      <t>ジョウ</t>
    </rPh>
    <phoneticPr fontId="2"/>
  </si>
  <si>
    <t>フォシーガ錠5ｍｇ</t>
    <rPh sb="5" eb="6">
      <t>ジョウ</t>
    </rPh>
    <phoneticPr fontId="2"/>
  </si>
  <si>
    <t>ブロナンセリン錠2ｍｇ</t>
    <rPh sb="7" eb="8">
      <t>ジョウ</t>
    </rPh>
    <phoneticPr fontId="2"/>
  </si>
  <si>
    <t>ブロナンセリン錠4ｍｇ</t>
    <rPh sb="7" eb="8">
      <t>ジョウ</t>
    </rPh>
    <phoneticPr fontId="2"/>
  </si>
  <si>
    <t>ブロナンセリン錠8ｍｇ</t>
    <rPh sb="7" eb="8">
      <t>ジョウ</t>
    </rPh>
    <phoneticPr fontId="2"/>
  </si>
  <si>
    <t>プロピベリン錠（10）</t>
    <rPh sb="6" eb="7">
      <t>ジョウ</t>
    </rPh>
    <phoneticPr fontId="2"/>
  </si>
  <si>
    <t xml:space="preserve">プロマックＤ錠７５ </t>
    <phoneticPr fontId="2"/>
  </si>
  <si>
    <t>ベタニス錠50ｍｇ</t>
    <rPh sb="4" eb="5">
      <t>ジョウ</t>
    </rPh>
    <phoneticPr fontId="2"/>
  </si>
  <si>
    <t>ベプリコール錠</t>
    <rPh sb="6" eb="7">
      <t>ジョウ</t>
    </rPh>
    <phoneticPr fontId="2"/>
  </si>
  <si>
    <t>ベンザリン錠</t>
    <rPh sb="5" eb="6">
      <t>ジョウ</t>
    </rPh>
    <phoneticPr fontId="2"/>
  </si>
  <si>
    <t>ボグリボースOD錠０．２ｍｇ「日医工」</t>
    <phoneticPr fontId="2"/>
  </si>
  <si>
    <t>ミノドロン酸</t>
    <rPh sb="5" eb="6">
      <t>サン</t>
    </rPh>
    <phoneticPr fontId="2"/>
  </si>
  <si>
    <t xml:space="preserve">メマンチン塩酸塩OD２０ｍｇ </t>
    <rPh sb="5" eb="8">
      <t>エンサンエン</t>
    </rPh>
    <phoneticPr fontId="3"/>
  </si>
  <si>
    <t xml:space="preserve">メマンチン塩酸塩OD5ｍｇ </t>
    <rPh sb="5" eb="8">
      <t>エンサンエン</t>
    </rPh>
    <phoneticPr fontId="3"/>
  </si>
  <si>
    <t>ラメルテオン錠</t>
    <rPh sb="6" eb="7">
      <t>ジョウ</t>
    </rPh>
    <phoneticPr fontId="2"/>
  </si>
  <si>
    <t>ラモトリギン錠１００ｍｇ</t>
    <phoneticPr fontId="2"/>
  </si>
  <si>
    <t>ラモトリギン錠25ｍｇ</t>
    <phoneticPr fontId="2"/>
  </si>
  <si>
    <t>リクシアナOD錠30ｍｇ</t>
    <rPh sb="7" eb="8">
      <t>ジョウ</t>
    </rPh>
    <phoneticPr fontId="2"/>
  </si>
  <si>
    <t>ミルタザピン錠</t>
    <rPh sb="6" eb="7">
      <t>ジョウ</t>
    </rPh>
    <phoneticPr fontId="2"/>
  </si>
  <si>
    <t>リンゼス錠0.25ｍｇ</t>
    <rPh sb="4" eb="5">
      <t>ジョウ</t>
    </rPh>
    <phoneticPr fontId="2"/>
  </si>
  <si>
    <t>ルプラック錠</t>
    <rPh sb="5" eb="6">
      <t>ジョウ</t>
    </rPh>
    <phoneticPr fontId="2"/>
  </si>
  <si>
    <t xml:space="preserve">デプロメール錠２５ </t>
    <phoneticPr fontId="2"/>
  </si>
  <si>
    <t>レキサルティOD錠1ｍｇ</t>
    <rPh sb="8" eb="9">
      <t>ジョウ</t>
    </rPh>
    <phoneticPr fontId="2"/>
  </si>
  <si>
    <t>レキサルティOD錠2ｍｇ</t>
    <rPh sb="8" eb="9">
      <t>ジョウ</t>
    </rPh>
    <phoneticPr fontId="2"/>
  </si>
  <si>
    <t>レキソタン錠 ２ｍｇ</t>
    <phoneticPr fontId="3"/>
  </si>
  <si>
    <t>レキソタン錠 ５ｍｇ</t>
    <phoneticPr fontId="3"/>
  </si>
  <si>
    <t>レボレード錠</t>
    <rPh sb="5" eb="6">
      <t>ジョウ</t>
    </rPh>
    <phoneticPr fontId="2"/>
  </si>
  <si>
    <t xml:space="preserve">ロドピン錠２５ｍｇ </t>
    <phoneticPr fontId="2"/>
  </si>
  <si>
    <t xml:space="preserve">ロドピン錠５０ｍｇ </t>
    <phoneticPr fontId="2"/>
  </si>
  <si>
    <t>メイラックス1ｍｇ</t>
    <phoneticPr fontId="2"/>
  </si>
  <si>
    <t>ピモペンダン錠</t>
    <rPh sb="6" eb="7">
      <t>ジョウ</t>
    </rPh>
    <phoneticPr fontId="2"/>
  </si>
  <si>
    <t>尿素クリーム</t>
    <rPh sb="0" eb="2">
      <t>ニョウソ</t>
    </rPh>
    <phoneticPr fontId="2"/>
  </si>
  <si>
    <t>アズレン点眼液</t>
    <rPh sb="4" eb="7">
      <t>テンガンエキ</t>
    </rPh>
    <phoneticPr fontId="2"/>
  </si>
  <si>
    <t>ニュープロパッチ（4.５）</t>
    <phoneticPr fontId="2"/>
  </si>
  <si>
    <t>デタントール点眼0.01％</t>
    <rPh sb="6" eb="8">
      <t>テンガン</t>
    </rPh>
    <phoneticPr fontId="2"/>
  </si>
  <si>
    <t>コソプト配合点眼</t>
    <rPh sb="4" eb="6">
      <t>ハイゴウ</t>
    </rPh>
    <rPh sb="6" eb="8">
      <t>テンガン</t>
    </rPh>
    <phoneticPr fontId="2"/>
  </si>
  <si>
    <t>グラナテック点眼0.4％</t>
    <rPh sb="6" eb="8">
      <t>テンガン</t>
    </rPh>
    <phoneticPr fontId="2"/>
  </si>
  <si>
    <t>デュオトラバ配合点眼</t>
    <rPh sb="6" eb="8">
      <t>ハイゴウ</t>
    </rPh>
    <rPh sb="8" eb="10">
      <t>テンガン</t>
    </rPh>
    <phoneticPr fontId="2"/>
  </si>
  <si>
    <t>トルソプト点眼1％</t>
    <rPh sb="5" eb="7">
      <t>テンガン</t>
    </rPh>
    <phoneticPr fontId="2"/>
  </si>
  <si>
    <t>ハイパジール点眼0.25％</t>
    <rPh sb="6" eb="8">
      <t>テンガン</t>
    </rPh>
    <phoneticPr fontId="2"/>
  </si>
  <si>
    <t>ブロナック点眼0.1％</t>
    <rPh sb="5" eb="7">
      <t>テンガン</t>
    </rPh>
    <phoneticPr fontId="2"/>
  </si>
  <si>
    <t>アイファガン点眼0.1％</t>
    <rPh sb="6" eb="8">
      <t>テンガン</t>
    </rPh>
    <phoneticPr fontId="2"/>
  </si>
  <si>
    <t>アリドネパッチ（27.5）</t>
    <phoneticPr fontId="2"/>
  </si>
  <si>
    <t>アルメタ軟膏</t>
    <rPh sb="4" eb="6">
      <t>ナンコウ</t>
    </rPh>
    <phoneticPr fontId="2"/>
  </si>
  <si>
    <t>ﾃﾙﾋﾞﾅﾌｨﾝｸﾘ-ﾑ1%　10g/本</t>
    <rPh sb="19" eb="20">
      <t>ホン</t>
    </rPh>
    <phoneticPr fontId="2"/>
  </si>
  <si>
    <t>ﾃﾙﾋﾞﾅﾌｨﾝﾞ液1%　10g/本</t>
    <rPh sb="17" eb="18">
      <t>ホン</t>
    </rPh>
    <phoneticPr fontId="2"/>
  </si>
  <si>
    <t>ﾍﾊﾟﾘﾝ類似外用スプレー</t>
    <rPh sb="5" eb="7">
      <t>ルイジ</t>
    </rPh>
    <rPh sb="7" eb="9">
      <t>ガイヨウ</t>
    </rPh>
    <phoneticPr fontId="2"/>
  </si>
  <si>
    <t>ﾍﾊﾟﾘﾝ類似外用泡スプレー</t>
    <rPh sb="5" eb="7">
      <t>ルイジ</t>
    </rPh>
    <rPh sb="7" eb="9">
      <t>ガイヨウ</t>
    </rPh>
    <rPh sb="9" eb="10">
      <t>アワ</t>
    </rPh>
    <phoneticPr fontId="2"/>
  </si>
  <si>
    <t>ﾍﾊﾟﾘﾝ類似油性クリーム0.3％</t>
    <rPh sb="5" eb="7">
      <t>ルイジ</t>
    </rPh>
    <rPh sb="7" eb="9">
      <t>ユセイ</t>
    </rPh>
    <phoneticPr fontId="2"/>
  </si>
  <si>
    <t>シアノコバラミン点眼液０．０２％ ５ｍＬＸ１０</t>
    <phoneticPr fontId="2"/>
  </si>
  <si>
    <t>白色ワセリン</t>
    <rPh sb="0" eb="2">
      <t>ハクショク</t>
    </rPh>
    <phoneticPr fontId="2"/>
  </si>
  <si>
    <t>ﾁﾓﾛｰﾙ点眼液0.5%　5ml/本</t>
    <rPh sb="17" eb="18">
      <t>ホン</t>
    </rPh>
    <phoneticPr fontId="2"/>
  </si>
  <si>
    <t>デキサメタゾン口腔用軟膏</t>
    <rPh sb="7" eb="9">
      <t>コウクウ</t>
    </rPh>
    <rPh sb="9" eb="10">
      <t>ヨウ</t>
    </rPh>
    <rPh sb="10" eb="12">
      <t>ナンコウ</t>
    </rPh>
    <phoneticPr fontId="2"/>
  </si>
  <si>
    <t>ベタメタゾン吉草酸ローション</t>
    <rPh sb="6" eb="9">
      <t>キッソウサン</t>
    </rPh>
    <phoneticPr fontId="2"/>
  </si>
  <si>
    <t>ﾋﾟﾚﾉｷｼﾝ懸濁点滴0.005％</t>
    <rPh sb="7" eb="9">
      <t>ケンダク</t>
    </rPh>
    <rPh sb="9" eb="11">
      <t>テンテキ</t>
    </rPh>
    <phoneticPr fontId="2"/>
  </si>
  <si>
    <t>ボアラ軟膏</t>
    <rPh sb="3" eb="5">
      <t>ナンコウ</t>
    </rPh>
    <phoneticPr fontId="2"/>
  </si>
  <si>
    <t>ピコスルファートナトリウム内用液</t>
    <rPh sb="13" eb="16">
      <t>ナイヨウエキ</t>
    </rPh>
    <phoneticPr fontId="2"/>
  </si>
  <si>
    <t>ブロムヘキシン吸入液0.2％</t>
    <rPh sb="7" eb="9">
      <t>キュウニュウ</t>
    </rPh>
    <rPh sb="9" eb="10">
      <t>エキ</t>
    </rPh>
    <phoneticPr fontId="3"/>
  </si>
  <si>
    <t>イバンドロン酸1㎖シリンジ</t>
    <rPh sb="6" eb="7">
      <t>サン</t>
    </rPh>
    <phoneticPr fontId="2"/>
  </si>
  <si>
    <t>リスパダール内用液0.5ｍｌ　分包品</t>
    <rPh sb="6" eb="9">
      <t>ナイヨウエキ</t>
    </rPh>
    <rPh sb="15" eb="17">
      <t>ブンポウ</t>
    </rPh>
    <rPh sb="17" eb="18">
      <t>ヒン</t>
    </rPh>
    <phoneticPr fontId="2"/>
  </si>
  <si>
    <t>リスパダール内用液1ｍｌ　分包品</t>
    <rPh sb="6" eb="9">
      <t>ナイヨウエキ</t>
    </rPh>
    <rPh sb="13" eb="15">
      <t>ブンポウ</t>
    </rPh>
    <rPh sb="15" eb="16">
      <t>ヒン</t>
    </rPh>
    <phoneticPr fontId="2"/>
  </si>
  <si>
    <t>リスペリドン内用液0.5ｍｌ　分包品</t>
    <rPh sb="6" eb="9">
      <t>ナイヨウエキ</t>
    </rPh>
    <rPh sb="15" eb="18">
      <t>ブンポウヒン</t>
    </rPh>
    <phoneticPr fontId="2"/>
  </si>
  <si>
    <t>ﾎﾟﾘｽﾁﾚﾝｽﾙﾎﾝ酸ゼリー</t>
    <rPh sb="11" eb="12">
      <t>サン</t>
    </rPh>
    <phoneticPr fontId="2"/>
  </si>
  <si>
    <t>リスパダール内用液　30ｍｌ</t>
    <rPh sb="6" eb="9">
      <t>ナイヨウエキ</t>
    </rPh>
    <phoneticPr fontId="2"/>
  </si>
  <si>
    <t>アシクロビル点滴250ｍｇ</t>
    <rPh sb="6" eb="8">
      <t>テンテキ</t>
    </rPh>
    <phoneticPr fontId="2"/>
  </si>
  <si>
    <t>塩酸メトクロプラミド注射注１０ｍｇ</t>
    <rPh sb="0" eb="2">
      <t>エンサン</t>
    </rPh>
    <rPh sb="10" eb="12">
      <t>チュウシャ</t>
    </rPh>
    <phoneticPr fontId="2"/>
  </si>
  <si>
    <t>スルバシリン注</t>
    <rPh sb="6" eb="7">
      <t>チュウ</t>
    </rPh>
    <phoneticPr fontId="2"/>
  </si>
  <si>
    <t>ゾシン注</t>
    <rPh sb="3" eb="4">
      <t>チュウ</t>
    </rPh>
    <phoneticPr fontId="2"/>
  </si>
  <si>
    <t>タケプロン注</t>
    <rPh sb="5" eb="6">
      <t>チュウ</t>
    </rPh>
    <phoneticPr fontId="2"/>
  </si>
  <si>
    <t>テリボン皮下注</t>
    <rPh sb="4" eb="7">
      <t>ヒカチュウ</t>
    </rPh>
    <phoneticPr fontId="2"/>
  </si>
  <si>
    <t>ネオファーゲン</t>
    <phoneticPr fontId="2"/>
  </si>
  <si>
    <t>ネオフィリン</t>
    <phoneticPr fontId="2"/>
  </si>
  <si>
    <t>ハロマンス注１００</t>
    <phoneticPr fontId="2"/>
  </si>
  <si>
    <t>ハロマンス注50</t>
    <phoneticPr fontId="2"/>
  </si>
  <si>
    <t>リュープロレリン注</t>
    <rPh sb="8" eb="9">
      <t>チュウ</t>
    </rPh>
    <phoneticPr fontId="2"/>
  </si>
  <si>
    <t>レベチラセタム点滴静注</t>
    <rPh sb="7" eb="11">
      <t>テンテキジョウチュウ</t>
    </rPh>
    <phoneticPr fontId="2"/>
  </si>
  <si>
    <t>フサン注</t>
    <rPh sb="3" eb="4">
      <t>チュウ</t>
    </rPh>
    <phoneticPr fontId="2"/>
  </si>
  <si>
    <t>ヘルベッサー注</t>
    <rPh sb="6" eb="7">
      <t>チュウ</t>
    </rPh>
    <phoneticPr fontId="2"/>
  </si>
  <si>
    <t>セフィピム注</t>
    <rPh sb="5" eb="6">
      <t>チュウ</t>
    </rPh>
    <phoneticPr fontId="2"/>
  </si>
  <si>
    <t>ソルダクトン注</t>
    <rPh sb="6" eb="7">
      <t>チュウ</t>
    </rPh>
    <phoneticPr fontId="2"/>
  </si>
  <si>
    <t>リンデロン懸濁注</t>
    <rPh sb="5" eb="7">
      <t>ケンダク</t>
    </rPh>
    <rPh sb="7" eb="8">
      <t>チュウ</t>
    </rPh>
    <phoneticPr fontId="2"/>
  </si>
  <si>
    <t>パレプラス輸液</t>
    <rPh sb="5" eb="7">
      <t>ユエキ</t>
    </rPh>
    <phoneticPr fontId="2"/>
  </si>
  <si>
    <t>グルカゴンノボ</t>
    <phoneticPr fontId="2"/>
  </si>
  <si>
    <t>生食VTRS100ｍｌ</t>
    <phoneticPr fontId="3"/>
  </si>
  <si>
    <t>生食VTRS20ｍｌ</t>
    <phoneticPr fontId="3"/>
  </si>
  <si>
    <t>ナイロジン注</t>
    <rPh sb="5" eb="6">
      <t>チュウ</t>
    </rPh>
    <phoneticPr fontId="2"/>
  </si>
  <si>
    <t>アスコルビン酸注</t>
    <rPh sb="6" eb="7">
      <t>サン</t>
    </rPh>
    <rPh sb="7" eb="8">
      <t>チュウ</t>
    </rPh>
    <phoneticPr fontId="2"/>
  </si>
  <si>
    <t>トルリシティ皮下注</t>
    <rPh sb="6" eb="9">
      <t>ヒカチュウ</t>
    </rPh>
    <phoneticPr fontId="2"/>
  </si>
  <si>
    <t>ワンパル2号輸液800</t>
    <rPh sb="5" eb="6">
      <t>ゴウ</t>
    </rPh>
    <rPh sb="6" eb="8">
      <t>ユエキ</t>
    </rPh>
    <phoneticPr fontId="2"/>
  </si>
  <si>
    <t>ワンパル2号輸液1200</t>
    <rPh sb="5" eb="6">
      <t>ゴウ</t>
    </rPh>
    <rPh sb="6" eb="8">
      <t>ユエキ</t>
    </rPh>
    <phoneticPr fontId="2"/>
  </si>
  <si>
    <t>トレシーバ注</t>
    <rPh sb="5" eb="6">
      <t>チュウ</t>
    </rPh>
    <phoneticPr fontId="2"/>
  </si>
  <si>
    <t>オリーブ油</t>
    <rPh sb="4" eb="5">
      <t>ユ</t>
    </rPh>
    <phoneticPr fontId="2"/>
  </si>
  <si>
    <t>ヘパリンNaロック用10単位</t>
    <rPh sb="9" eb="10">
      <t>ヨウ</t>
    </rPh>
    <rPh sb="12" eb="14">
      <t>タンイ</t>
    </rPh>
    <phoneticPr fontId="3"/>
  </si>
  <si>
    <t>g</t>
    <phoneticPr fontId="2"/>
  </si>
  <si>
    <t>タンニン酸アルブミン「VTRS]</t>
    <rPh sb="4" eb="5">
      <t>サン</t>
    </rPh>
    <phoneticPr fontId="2"/>
  </si>
  <si>
    <t xml:space="preserve">テプレノン細粒１０％ </t>
    <phoneticPr fontId="2"/>
  </si>
  <si>
    <t>ハロペリドール細粒１％ ｢ﾖｼﾄﾐ｣</t>
    <phoneticPr fontId="3"/>
  </si>
  <si>
    <t xml:space="preserve">パントシン散（２０％） </t>
    <phoneticPr fontId="2"/>
  </si>
  <si>
    <t xml:space="preserve">フェノバルビタール散１０％「ホエイ」 </t>
    <phoneticPr fontId="3"/>
  </si>
  <si>
    <t xml:space="preserve">フェロミア顆粒８．３％ </t>
    <phoneticPr fontId="2"/>
  </si>
  <si>
    <t xml:space="preserve">フロセミド細粒　４％　「ＥＭＥＣ」 </t>
    <phoneticPr fontId="2"/>
  </si>
  <si>
    <t>ブロナンセリン散2％「DSPB]</t>
    <rPh sb="7" eb="8">
      <t>サン</t>
    </rPh>
    <phoneticPr fontId="2"/>
  </si>
  <si>
    <t>モサプリドクエン酸塩散1％「日医工」</t>
    <rPh sb="8" eb="10">
      <t>サンエン</t>
    </rPh>
    <rPh sb="10" eb="11">
      <t>サン</t>
    </rPh>
    <rPh sb="14" eb="17">
      <t>ニチイコウ</t>
    </rPh>
    <phoneticPr fontId="2"/>
  </si>
  <si>
    <t>ﾚﾍﾞﾁﾗｾﾀﾑﾄﾞﾗｲｼﾛｯﾌﾟ50％「明治」</t>
    <rPh sb="21" eb="23">
      <t>メイジ</t>
    </rPh>
    <phoneticPr fontId="2"/>
  </si>
  <si>
    <t>レボトミン顆粒　１０％</t>
    <phoneticPr fontId="2"/>
  </si>
  <si>
    <t>レボフロキサシン細粒10%「DSEP]</t>
    <phoneticPr fontId="3"/>
  </si>
  <si>
    <t xml:space="preserve">ロキソニン細粒１０％ </t>
    <phoneticPr fontId="3"/>
  </si>
  <si>
    <t>ロドピン細粒５０％</t>
    <phoneticPr fontId="2"/>
  </si>
  <si>
    <t>（包）</t>
    <rPh sb="1" eb="2">
      <t>ホウ</t>
    </rPh>
    <phoneticPr fontId="2"/>
  </si>
  <si>
    <t>（個）</t>
    <rPh sb="1" eb="2">
      <t>コ</t>
    </rPh>
    <phoneticPr fontId="2"/>
  </si>
  <si>
    <t>（包）</t>
    <rPh sb="1" eb="2">
      <t>ホウ</t>
    </rPh>
    <phoneticPr fontId="2"/>
  </si>
  <si>
    <t>（ｍｌ）</t>
    <phoneticPr fontId="2"/>
  </si>
  <si>
    <t>アゾセミド錠30ｍｇ「DSEP]</t>
    <rPh sb="5" eb="6">
      <t>ジョウ</t>
    </rPh>
    <phoneticPr fontId="2"/>
  </si>
  <si>
    <t>アトモキセチンカプセル10ｍｇ｢ｻﾜｲ｣</t>
    <phoneticPr fontId="2"/>
  </si>
  <si>
    <t>アトモキセチンカプセル40ｍｇ｢ｻﾜｲ｣</t>
    <phoneticPr fontId="2"/>
  </si>
  <si>
    <t>イグザレルト錠10mg</t>
    <rPh sb="6" eb="7">
      <t>ジョウ</t>
    </rPh>
    <phoneticPr fontId="2"/>
  </si>
  <si>
    <t>イルベサルタン錠50ｍｇ｢ｻﾜｲ｣</t>
    <rPh sb="7" eb="8">
      <t>ジョウ</t>
    </rPh>
    <phoneticPr fontId="2"/>
  </si>
  <si>
    <t>エスシタロプラムOD錠｢ﾄｰﾜ｣　</t>
    <rPh sb="10" eb="11">
      <t>ジョウ</t>
    </rPh>
    <phoneticPr fontId="2"/>
  </si>
  <si>
    <t>エスゾピクロン錠1mg｢ﾄｰﾜ｣</t>
    <rPh sb="7" eb="8">
      <t>ジョウ</t>
    </rPh>
    <phoneticPr fontId="2"/>
  </si>
  <si>
    <t>エゼチミブOD10mg｢ﾄｰﾜ｣</t>
    <phoneticPr fontId="2"/>
  </si>
  <si>
    <t>エチゾラム錠0.5mg｢ｱﾒﾙ｣</t>
    <phoneticPr fontId="3"/>
  </si>
  <si>
    <t>エチゾラム錠1mg｢ｱﾒﾙ｣</t>
    <phoneticPr fontId="3"/>
  </si>
  <si>
    <t>エピナスチン錠20mg｢ﾄｰﾜ｣</t>
    <phoneticPr fontId="3"/>
  </si>
  <si>
    <t>エリスロシン錠200mg</t>
    <rPh sb="6" eb="7">
      <t>ジョウ</t>
    </rPh>
    <phoneticPr fontId="2"/>
  </si>
  <si>
    <t>ガランタミンOD錠4ｍｇ「日医工」</t>
    <rPh sb="8" eb="9">
      <t>ジョウ</t>
    </rPh>
    <rPh sb="13" eb="16">
      <t>ニチイコウ</t>
    </rPh>
    <phoneticPr fontId="2"/>
  </si>
  <si>
    <t>ガランタミンOD錠12ｍｇ「日医工」</t>
    <rPh sb="8" eb="9">
      <t>ジョウ</t>
    </rPh>
    <rPh sb="14" eb="17">
      <t>ニチイコウ</t>
    </rPh>
    <phoneticPr fontId="2"/>
  </si>
  <si>
    <t>センノシド錠　12ｍｇ｢ﾄｰﾜ｣</t>
    <phoneticPr fontId="2"/>
  </si>
  <si>
    <t>ﾘｽﾍﾟﾘﾄﾞﾝ錠2ｍｇ</t>
    <rPh sb="8" eb="9">
      <t>ジョウ</t>
    </rPh>
    <phoneticPr fontId="3"/>
  </si>
  <si>
    <t>グリセリン浣腸液50％「ムネ」60ｍｌ</t>
    <rPh sb="5" eb="7">
      <t>カンチョウ</t>
    </rPh>
    <rPh sb="7" eb="8">
      <t>エキ</t>
    </rPh>
    <phoneticPr fontId="3"/>
  </si>
  <si>
    <t>メロペネム点滴0.5ｇ</t>
    <rPh sb="5" eb="7">
      <t>テンテキ</t>
    </rPh>
    <phoneticPr fontId="2"/>
  </si>
  <si>
    <t>アルダクトンA錠25mg</t>
    <rPh sb="7" eb="8">
      <t>ジョウ</t>
    </rPh>
    <phoneticPr fontId="2"/>
  </si>
  <si>
    <t>トロペロン錠1ｍｇ</t>
    <rPh sb="5" eb="6">
      <t>ジョウ</t>
    </rPh>
    <phoneticPr fontId="2"/>
  </si>
  <si>
    <t>トロペロン錠3ｍｇ</t>
    <rPh sb="5" eb="6">
      <t>ジョウ</t>
    </rPh>
    <phoneticPr fontId="2"/>
  </si>
  <si>
    <t>コートリル（10）</t>
    <phoneticPr fontId="2"/>
  </si>
  <si>
    <t>デノタスチュアブル配合</t>
    <rPh sb="9" eb="11">
      <t>ハイゴウ</t>
    </rPh>
    <phoneticPr fontId="2"/>
  </si>
  <si>
    <t>ノベルジン錠25ｍｇ</t>
    <rPh sb="5" eb="6">
      <t>ジョウ</t>
    </rPh>
    <phoneticPr fontId="2"/>
  </si>
  <si>
    <t>フラジール錠250ｍｇ</t>
    <rPh sb="5" eb="6">
      <t>ジョウ</t>
    </rPh>
    <phoneticPr fontId="2"/>
  </si>
  <si>
    <t>ベタナミン（10）</t>
    <phoneticPr fontId="2"/>
  </si>
  <si>
    <t>フルコナゾール（100）</t>
    <phoneticPr fontId="2"/>
  </si>
  <si>
    <t>リフキシマ200ｍｇ</t>
    <phoneticPr fontId="2"/>
  </si>
  <si>
    <t>ストロメクトール</t>
    <phoneticPr fontId="2"/>
  </si>
  <si>
    <t>エリスロマイシン錠200ｍｇ</t>
    <rPh sb="8" eb="9">
      <t>ジョウ</t>
    </rPh>
    <phoneticPr fontId="2"/>
  </si>
  <si>
    <t>トルバプタンＯＤ7.5ｍｇ</t>
    <phoneticPr fontId="2"/>
  </si>
  <si>
    <t>ロナセンテープ20mg</t>
    <phoneticPr fontId="2"/>
  </si>
  <si>
    <t>ｸﾗｼｴ猪苓湯EK-40　2.0g/包</t>
    <rPh sb="4" eb="7">
      <t>チョレイトウ</t>
    </rPh>
    <rPh sb="18" eb="19">
      <t>ホウ</t>
    </rPh>
    <phoneticPr fontId="2"/>
  </si>
  <si>
    <t>アジルサルタンOD20ｍｇ</t>
    <phoneticPr fontId="2"/>
  </si>
  <si>
    <t>アジスロマイシン錠250ｍｇ</t>
    <rPh sb="8" eb="9">
      <t>ジョウ</t>
    </rPh>
    <phoneticPr fontId="2"/>
  </si>
  <si>
    <t>コンサータ錠18ｍｇ</t>
    <rPh sb="5" eb="6">
      <t>ジョウ</t>
    </rPh>
    <phoneticPr fontId="2"/>
  </si>
  <si>
    <t>デパス（0.5）</t>
    <phoneticPr fontId="2"/>
  </si>
  <si>
    <t>トスキサシン錠150mg</t>
    <rPh sb="6" eb="7">
      <t>ジョウ</t>
    </rPh>
    <phoneticPr fontId="2"/>
  </si>
  <si>
    <t>トピロリック</t>
    <phoneticPr fontId="2"/>
  </si>
  <si>
    <t>リスペリドン内用液1ｍｌ　分包品</t>
    <rPh sb="6" eb="9">
      <t>ナイヨウエキ</t>
    </rPh>
    <rPh sb="13" eb="16">
      <t>ブンポウヒン</t>
    </rPh>
    <phoneticPr fontId="2"/>
  </si>
  <si>
    <t>ラツーダ錠20ｍｇ</t>
    <rPh sb="4" eb="5">
      <t>ジョウ</t>
    </rPh>
    <phoneticPr fontId="2"/>
  </si>
  <si>
    <t>ラツーダ錠40ｍｇ</t>
    <rPh sb="4" eb="5">
      <t>ジョウ</t>
    </rPh>
    <phoneticPr fontId="2"/>
  </si>
  <si>
    <t>モサプリドクエン酸塩錠</t>
    <rPh sb="8" eb="10">
      <t>サンエン</t>
    </rPh>
    <rPh sb="10" eb="11">
      <t>ジョウ</t>
    </rPh>
    <phoneticPr fontId="2"/>
  </si>
  <si>
    <t>クレナフィン爪液</t>
    <rPh sb="6" eb="7">
      <t>ツメ</t>
    </rPh>
    <rPh sb="7" eb="8">
      <t>エキ</t>
    </rPh>
    <phoneticPr fontId="2"/>
  </si>
  <si>
    <t>ケトチフェン点鼻液</t>
    <rPh sb="6" eb="9">
      <t>テンビエキ</t>
    </rPh>
    <phoneticPr fontId="2"/>
  </si>
  <si>
    <t>本</t>
    <rPh sb="0" eb="1">
      <t>ホン</t>
    </rPh>
    <phoneticPr fontId="2"/>
  </si>
  <si>
    <t>個</t>
    <rPh sb="0" eb="1">
      <t>コ</t>
    </rPh>
    <phoneticPr fontId="2"/>
  </si>
  <si>
    <t>レスタミンコーワクリーム</t>
    <phoneticPr fontId="2"/>
  </si>
  <si>
    <t>ムコスタ点眼液</t>
    <rPh sb="4" eb="7">
      <t>テンガンエキ</t>
    </rPh>
    <phoneticPr fontId="2"/>
  </si>
  <si>
    <t>本</t>
    <rPh sb="0" eb="1">
      <t>ホン</t>
    </rPh>
    <phoneticPr fontId="2"/>
  </si>
  <si>
    <t>ラピアクタ</t>
    <phoneticPr fontId="2"/>
  </si>
  <si>
    <t>ボスミン注</t>
    <rPh sb="4" eb="5">
      <t>チュウ</t>
    </rPh>
    <phoneticPr fontId="2"/>
  </si>
  <si>
    <t>アセレンド注</t>
    <rPh sb="5" eb="6">
      <t>チュウ</t>
    </rPh>
    <phoneticPr fontId="2"/>
  </si>
  <si>
    <t>ペルジピン注</t>
    <rPh sb="5" eb="6">
      <t>チュウ</t>
    </rPh>
    <phoneticPr fontId="2"/>
  </si>
  <si>
    <t>袋</t>
    <rPh sb="0" eb="1">
      <t>フクロ</t>
    </rPh>
    <phoneticPr fontId="2"/>
  </si>
  <si>
    <t>イベニティ</t>
    <phoneticPr fontId="2"/>
  </si>
  <si>
    <t>ラクツロースシロップ</t>
    <phoneticPr fontId="2"/>
  </si>
  <si>
    <t>ｿﾀﾛｰﾙ（80）</t>
    <phoneticPr fontId="2"/>
  </si>
  <si>
    <t>デパス（1）</t>
    <phoneticPr fontId="2"/>
  </si>
  <si>
    <t>ビプレッソ徐放150ｍｇ</t>
    <rPh sb="5" eb="7">
      <t>ジョホウ</t>
    </rPh>
    <phoneticPr fontId="2"/>
  </si>
  <si>
    <t>ビプレッソ徐放50ｍｇ</t>
    <rPh sb="5" eb="7">
      <t>ジョホウ</t>
    </rPh>
    <phoneticPr fontId="2"/>
  </si>
  <si>
    <t>ビムパット100ｍｇ</t>
    <phoneticPr fontId="2"/>
  </si>
  <si>
    <t>ミチグリニドOD10ｍｇ</t>
    <phoneticPr fontId="2"/>
  </si>
  <si>
    <t>フェノーバール錠</t>
    <rPh sb="7" eb="8">
      <t>ジョウ</t>
    </rPh>
    <phoneticPr fontId="2"/>
  </si>
  <si>
    <t>個</t>
    <rPh sb="0" eb="1">
      <t>コ</t>
    </rPh>
    <phoneticPr fontId="2"/>
  </si>
  <si>
    <t>マイザー軟膏</t>
    <rPh sb="4" eb="6">
      <t>ナンコウ</t>
    </rPh>
    <phoneticPr fontId="2"/>
  </si>
  <si>
    <t>本</t>
    <rPh sb="0" eb="1">
      <t>ホン</t>
    </rPh>
    <phoneticPr fontId="2"/>
  </si>
  <si>
    <t>ｱﾙﾌｧｶﾙｼﾄﾞｰﾙ０．５｢ﾌｿｰ｣</t>
    <phoneticPr fontId="3"/>
  </si>
  <si>
    <t>シプロフロキサシン点滴静注</t>
    <phoneticPr fontId="2"/>
  </si>
  <si>
    <t>箱</t>
    <rPh sb="0" eb="1">
      <t>ハコ</t>
    </rPh>
    <phoneticPr fontId="2"/>
  </si>
  <si>
    <t>フサン注50</t>
    <rPh sb="3" eb="4">
      <t>チュウ</t>
    </rPh>
    <phoneticPr fontId="2"/>
  </si>
  <si>
    <t>レキサルティOD錠0.5ｍｇ</t>
    <rPh sb="8" eb="9">
      <t>ジョウ</t>
    </rPh>
    <phoneticPr fontId="2"/>
  </si>
  <si>
    <t>2024年度　北山病院薬剤部　棚卸し</t>
    <rPh sb="4" eb="6">
      <t>ネンド</t>
    </rPh>
    <rPh sb="7" eb="9">
      <t>キタヤマ</t>
    </rPh>
    <rPh sb="9" eb="11">
      <t>ビョウイン</t>
    </rPh>
    <rPh sb="11" eb="13">
      <t>ヤクザイ</t>
    </rPh>
    <rPh sb="13" eb="14">
      <t>ブ</t>
    </rPh>
    <rPh sb="15" eb="17">
      <t>タナオロ</t>
    </rPh>
    <phoneticPr fontId="2"/>
  </si>
  <si>
    <t>アトルバスタチンOD錠10ｍｇ</t>
    <rPh sb="10" eb="11">
      <t>ジョウ</t>
    </rPh>
    <phoneticPr fontId="2"/>
  </si>
  <si>
    <t>リバーロキサバンOD錠10mg｢ﾄｰﾜ｣</t>
    <rPh sb="10" eb="11">
      <t>ジョウ</t>
    </rPh>
    <phoneticPr fontId="2"/>
  </si>
  <si>
    <t>ｱﾘﾋﾟﾌﾟﾗｿﾞｰﾙ錠1ｍｇ「ｻﾜｲ」</t>
    <rPh sb="11" eb="12">
      <t>ジョウ</t>
    </rPh>
    <phoneticPr fontId="2"/>
  </si>
  <si>
    <t>インデラル錠10ｍｇ</t>
    <rPh sb="5" eb="6">
      <t>ジョウ</t>
    </rPh>
    <phoneticPr fontId="2"/>
  </si>
  <si>
    <t>エソメプラゾールカプセル（20）</t>
    <phoneticPr fontId="2"/>
  </si>
  <si>
    <t>エバスチンOD錠５ｍｇ</t>
    <phoneticPr fontId="2"/>
  </si>
  <si>
    <t>オロパタジンOD錠5ｍｇ</t>
    <rPh sb="8" eb="9">
      <t>ジョウ</t>
    </rPh>
    <phoneticPr fontId="2"/>
  </si>
  <si>
    <t>シロスタゾールOD錠１００</t>
    <phoneticPr fontId="3"/>
  </si>
  <si>
    <t>タケキャブOD錠10ｍｇ</t>
    <rPh sb="7" eb="8">
      <t>ジョウ</t>
    </rPh>
    <phoneticPr fontId="2"/>
  </si>
  <si>
    <t>タケキャブ錠OD20ｍｇ</t>
    <rPh sb="5" eb="6">
      <t>ジョウ</t>
    </rPh>
    <phoneticPr fontId="2"/>
  </si>
  <si>
    <t>ソリフェナシンコハク酸塩OD錠5ｍｇ</t>
    <rPh sb="10" eb="11">
      <t>サン</t>
    </rPh>
    <rPh sb="11" eb="12">
      <t>エン</t>
    </rPh>
    <rPh sb="14" eb="15">
      <t>ジョウ</t>
    </rPh>
    <phoneticPr fontId="2"/>
  </si>
  <si>
    <t xml:space="preserve">ﾃﾙﾐｻﾙﾀﾝOD錠20ｍｇ </t>
    <rPh sb="9" eb="10">
      <t>ジョウ</t>
    </rPh>
    <phoneticPr fontId="2"/>
  </si>
  <si>
    <t>グリメピリドOD錠1ｍｇ</t>
    <rPh sb="8" eb="9">
      <t>ジョウ</t>
    </rPh>
    <phoneticPr fontId="2"/>
  </si>
  <si>
    <t>ノイロビタン配合錠</t>
    <rPh sb="6" eb="8">
      <t>ハイゴウ</t>
    </rPh>
    <rPh sb="8" eb="9">
      <t>ジョウ</t>
    </rPh>
    <phoneticPr fontId="2"/>
  </si>
  <si>
    <t>ボグリボースOD錠０．２ｍｇ「ﾄｰﾜ」</t>
    <phoneticPr fontId="2"/>
  </si>
  <si>
    <t>ロスバスタチン錠2.5ｍｇ「ﾄｰﾜ」</t>
    <rPh sb="7" eb="8">
      <t>ジョウ</t>
    </rPh>
    <phoneticPr fontId="2"/>
  </si>
  <si>
    <t>ウレパールクリーム10％</t>
    <phoneticPr fontId="2"/>
  </si>
  <si>
    <t>テクスメテンユニバーサルクリーム0.1％</t>
    <phoneticPr fontId="2"/>
  </si>
  <si>
    <t>ラタノプロスト点眼液0.005％「ニットー」2.5ｍｌ/本</t>
    <rPh sb="7" eb="10">
      <t>テンガンエキ</t>
    </rPh>
    <rPh sb="28" eb="29">
      <t>ホン</t>
    </rPh>
    <phoneticPr fontId="2"/>
  </si>
  <si>
    <t>エビリファイ内用液分包3ｍｇ</t>
    <rPh sb="6" eb="8">
      <t>ナイヨウ</t>
    </rPh>
    <rPh sb="8" eb="9">
      <t>エキ</t>
    </rPh>
    <rPh sb="9" eb="10">
      <t>ブン</t>
    </rPh>
    <rPh sb="10" eb="11">
      <t>ホウ</t>
    </rPh>
    <phoneticPr fontId="2"/>
  </si>
  <si>
    <t>エビリファイ内用液分包6ｍｇ</t>
    <rPh sb="6" eb="8">
      <t>ナイヨウ</t>
    </rPh>
    <rPh sb="8" eb="9">
      <t>エキ</t>
    </rPh>
    <rPh sb="9" eb="10">
      <t>ブン</t>
    </rPh>
    <rPh sb="10" eb="11">
      <t>ホウ</t>
    </rPh>
    <phoneticPr fontId="2"/>
  </si>
  <si>
    <t>ポリスチレンスルホン酸ゼリー</t>
    <rPh sb="10" eb="11">
      <t>サン</t>
    </rPh>
    <phoneticPr fontId="2"/>
  </si>
  <si>
    <t>スミスリンローション</t>
    <phoneticPr fontId="2"/>
  </si>
  <si>
    <t>アスコルビン酸注射液500mg「トーワ」</t>
    <rPh sb="6" eb="7">
      <t>サン</t>
    </rPh>
    <rPh sb="7" eb="9">
      <t>チュウシャ</t>
    </rPh>
    <rPh sb="9" eb="10">
      <t>エキ</t>
    </rPh>
    <phoneticPr fontId="2"/>
  </si>
  <si>
    <t>アセリオ靜注液1000mgバッグ</t>
    <rPh sb="4" eb="6">
      <t>ジョウチュウ</t>
    </rPh>
    <rPh sb="6" eb="7">
      <t>エキ</t>
    </rPh>
    <phoneticPr fontId="2"/>
  </si>
  <si>
    <t>アネキセート注射液0.5MG</t>
    <rPh sb="6" eb="8">
      <t>チュウシャ</t>
    </rPh>
    <rPh sb="8" eb="9">
      <t>エキ</t>
    </rPh>
    <phoneticPr fontId="2"/>
  </si>
  <si>
    <t>アミノレバン点滴静注</t>
    <rPh sb="6" eb="10">
      <t>テンテキジョウチュウ</t>
    </rPh>
    <phoneticPr fontId="2"/>
  </si>
  <si>
    <t>イベニティ皮下注105mgシリンジ</t>
    <rPh sb="5" eb="8">
      <t>ヒカチュウ</t>
    </rPh>
    <phoneticPr fontId="2"/>
  </si>
  <si>
    <t>箱</t>
    <rPh sb="0" eb="1">
      <t>ハコ</t>
    </rPh>
    <phoneticPr fontId="2"/>
  </si>
  <si>
    <t>エピペン注射液0.3mg</t>
    <rPh sb="4" eb="6">
      <t>チュウシャ</t>
    </rPh>
    <rPh sb="6" eb="7">
      <t>エキ</t>
    </rPh>
    <phoneticPr fontId="2"/>
  </si>
  <si>
    <t>ジアゼパム注射液「NIG」</t>
    <rPh sb="5" eb="7">
      <t>チュウシャ</t>
    </rPh>
    <rPh sb="7" eb="8">
      <t>エキ</t>
    </rPh>
    <phoneticPr fontId="2"/>
  </si>
  <si>
    <t>ダイビタミックス注</t>
    <rPh sb="8" eb="9">
      <t>チュウ</t>
    </rPh>
    <phoneticPr fontId="2"/>
  </si>
  <si>
    <t>ダルベポエチンアルファ30μシリンジ</t>
    <phoneticPr fontId="2"/>
  </si>
  <si>
    <t>チエナム点滴静注0.5g</t>
    <rPh sb="4" eb="6">
      <t>テンテキ</t>
    </rPh>
    <rPh sb="6" eb="7">
      <t>ジョウ</t>
    </rPh>
    <rPh sb="7" eb="8">
      <t>チュウ</t>
    </rPh>
    <phoneticPr fontId="2"/>
  </si>
  <si>
    <t>デカドロン注射液3.3mg</t>
    <rPh sb="5" eb="7">
      <t>チュウシャ</t>
    </rPh>
    <rPh sb="7" eb="8">
      <t>エキ</t>
    </rPh>
    <phoneticPr fontId="2"/>
  </si>
  <si>
    <t>トルリシティ皮下注0.75mgアテオス</t>
    <rPh sb="6" eb="9">
      <t>ヒカチュウ</t>
    </rPh>
    <phoneticPr fontId="2"/>
  </si>
  <si>
    <t>トレシーバ注フレックスタッチ</t>
    <rPh sb="5" eb="6">
      <t>チュウ</t>
    </rPh>
    <phoneticPr fontId="2"/>
  </si>
  <si>
    <t>バンコマイシン塩酸塩点滴静注0.5g</t>
    <rPh sb="7" eb="10">
      <t>エンサンエン</t>
    </rPh>
    <rPh sb="10" eb="12">
      <t>テンテキ</t>
    </rPh>
    <rPh sb="12" eb="13">
      <t>ジョウ</t>
    </rPh>
    <rPh sb="13" eb="14">
      <t>チュウ</t>
    </rPh>
    <phoneticPr fontId="2"/>
  </si>
  <si>
    <t>ヒューマリンR注U100単位/ml　10ｍｌ</t>
    <rPh sb="7" eb="8">
      <t>チュウ</t>
    </rPh>
    <rPh sb="12" eb="14">
      <t>タンイ</t>
    </rPh>
    <phoneticPr fontId="2"/>
  </si>
  <si>
    <t>ヒューマログミックス25注ミリオペン300単位</t>
    <rPh sb="12" eb="13">
      <t>チュウ</t>
    </rPh>
    <rPh sb="21" eb="23">
      <t>タンイ</t>
    </rPh>
    <phoneticPr fontId="2"/>
  </si>
  <si>
    <t>ヒューマログミックス50注ミリオペン300単位</t>
    <rPh sb="12" eb="13">
      <t>チュウ</t>
    </rPh>
    <rPh sb="21" eb="23">
      <t>タンイ</t>
    </rPh>
    <phoneticPr fontId="2"/>
  </si>
  <si>
    <t>プラリア皮下注60mgシリンジ</t>
    <rPh sb="4" eb="7">
      <t>ヒカチュウ</t>
    </rPh>
    <phoneticPr fontId="2"/>
  </si>
  <si>
    <t>ブロムヘキシン塩酸塩注射液4mg</t>
    <rPh sb="7" eb="10">
      <t>エンサンエン</t>
    </rPh>
    <rPh sb="10" eb="12">
      <t>チュウシャ</t>
    </rPh>
    <rPh sb="12" eb="13">
      <t>エキ</t>
    </rPh>
    <phoneticPr fontId="2"/>
  </si>
  <si>
    <t>ベクルリー点滴静注用100mg</t>
    <rPh sb="5" eb="7">
      <t>テンテキ</t>
    </rPh>
    <rPh sb="7" eb="8">
      <t>ジョウ</t>
    </rPh>
    <rPh sb="8" eb="9">
      <t>チュウ</t>
    </rPh>
    <rPh sb="9" eb="10">
      <t>ヨウ</t>
    </rPh>
    <phoneticPr fontId="2"/>
  </si>
  <si>
    <t>ポララミン注5㎎</t>
    <rPh sb="5" eb="6">
      <t>チュウ</t>
    </rPh>
    <phoneticPr fontId="2"/>
  </si>
  <si>
    <t>ラスビック点滴静注ｷｯﾄ150mg</t>
    <rPh sb="5" eb="9">
      <t>テンテキジョウチュウ</t>
    </rPh>
    <phoneticPr fontId="2"/>
  </si>
  <si>
    <t>ﾗﾝﾀｽ注ｿﾛｽﾀ-300単位</t>
    <rPh sb="13" eb="15">
      <t>タンイ</t>
    </rPh>
    <phoneticPr fontId="2"/>
  </si>
  <si>
    <t>ﾘｽﾊﾟﾀﾞｰﾙｺﾝｽﾀ筋注用25㎎</t>
    <rPh sb="12" eb="13">
      <t>キン</t>
    </rPh>
    <rPh sb="13" eb="14">
      <t>チュウ</t>
    </rPh>
    <rPh sb="14" eb="15">
      <t>ヨウ</t>
    </rPh>
    <phoneticPr fontId="2"/>
  </si>
  <si>
    <t>ﾘｽﾊﾟﾀﾞｰﾙｺﾝｽﾀ筋注用37.5㎎</t>
    <rPh sb="12" eb="13">
      <t>キン</t>
    </rPh>
    <rPh sb="13" eb="14">
      <t>チュウ</t>
    </rPh>
    <rPh sb="14" eb="15">
      <t>ヨウ</t>
    </rPh>
    <phoneticPr fontId="2"/>
  </si>
  <si>
    <t>ﾘｽﾊﾟﾀﾞｰﾙｺﾝｽﾀ筋注用50㎎</t>
    <rPh sb="12" eb="13">
      <t>キン</t>
    </rPh>
    <rPh sb="13" eb="14">
      <t>チュウ</t>
    </rPh>
    <rPh sb="14" eb="15">
      <t>ヨウ</t>
    </rPh>
    <phoneticPr fontId="2"/>
  </si>
  <si>
    <t>レボフロキサシン点滴静注バッグ</t>
    <rPh sb="8" eb="12">
      <t>テンテキジョウチュウ</t>
    </rPh>
    <phoneticPr fontId="2"/>
  </si>
  <si>
    <t>ロイコボリン注3mg</t>
    <rPh sb="6" eb="7">
      <t>チュウ</t>
    </rPh>
    <phoneticPr fontId="2"/>
  </si>
  <si>
    <t>ラコールNF配合経腸用半固形剤</t>
    <rPh sb="6" eb="8">
      <t>ハイゴウ</t>
    </rPh>
    <rPh sb="8" eb="10">
      <t>ケイチョウ</t>
    </rPh>
    <rPh sb="10" eb="11">
      <t>ヨウ</t>
    </rPh>
    <rPh sb="11" eb="12">
      <t>ハン</t>
    </rPh>
    <rPh sb="12" eb="14">
      <t>コケイ</t>
    </rPh>
    <rPh sb="14" eb="15">
      <t>ザイ</t>
    </rPh>
    <phoneticPr fontId="2"/>
  </si>
  <si>
    <t>バルプロ酸ナトリウムシロップ５％ １２０ｍＬ</t>
    <rPh sb="4" eb="5">
      <t>サン</t>
    </rPh>
    <phoneticPr fontId="2"/>
  </si>
  <si>
    <t>クロピトグレル錠25ｍｇ</t>
    <rPh sb="7" eb="8">
      <t>ジョウ</t>
    </rPh>
    <phoneticPr fontId="2"/>
  </si>
  <si>
    <t>ｼﾞﾌﾟﾚｷｻ ｻﾞｲﾃﾞｨｽ錠2.5mg</t>
    <phoneticPr fontId="2"/>
  </si>
  <si>
    <t>ﾌﾟﾗﾊﾞｽﾀﾁﾝ NA錠5MG ｢ｱﾒﾙ｣</t>
    <phoneticPr fontId="2"/>
  </si>
  <si>
    <t>フロセミド錠２０「NIG」</t>
    <phoneticPr fontId="3"/>
  </si>
  <si>
    <t>プレドニゾロン錠５「VTRS」</t>
    <phoneticPr fontId="2"/>
  </si>
  <si>
    <t>ミルタザピン錠15ｍｇ｢ｻﾜｲ｣</t>
    <rPh sb="6" eb="7">
      <t>ジョウ</t>
    </rPh>
    <phoneticPr fontId="2"/>
  </si>
  <si>
    <t>ﾋﾞｿﾌﾟﾛﾛｰﾙﾌﾏﾙ酸（0.625）「トーワ」</t>
    <rPh sb="12" eb="13">
      <t>サン</t>
    </rPh>
    <phoneticPr fontId="2"/>
  </si>
  <si>
    <t>ﾋﾞｿﾌﾟﾛﾛｰﾙﾌﾏﾙ酸（2.5）「トーワ」</t>
    <rPh sb="12" eb="13">
      <t>サン</t>
    </rPh>
    <phoneticPr fontId="2"/>
  </si>
  <si>
    <t>ビラノアOD錠</t>
    <rPh sb="6" eb="7">
      <t>ジョウ</t>
    </rPh>
    <phoneticPr fontId="2"/>
  </si>
  <si>
    <t>アゾセミド錠60mg</t>
    <rPh sb="5" eb="6">
      <t>ジョウ</t>
    </rPh>
    <phoneticPr fontId="2"/>
  </si>
  <si>
    <t>アダラートCR錠20ｍｇ</t>
    <rPh sb="7" eb="8">
      <t>ジョウ</t>
    </rPh>
    <phoneticPr fontId="2"/>
  </si>
  <si>
    <t xml:space="preserve">アナフラニール錠10ｍｇ </t>
    <phoneticPr fontId="2"/>
  </si>
  <si>
    <t>エンレスト錠100mg</t>
    <rPh sb="5" eb="6">
      <t>ジョウ</t>
    </rPh>
    <phoneticPr fontId="2"/>
  </si>
  <si>
    <t>ク―ビビック錠50mg</t>
    <rPh sb="6" eb="7">
      <t>ジョウ</t>
    </rPh>
    <phoneticPr fontId="2"/>
  </si>
  <si>
    <t>ケフレックスカプセル250mg</t>
    <phoneticPr fontId="2"/>
  </si>
  <si>
    <t>シロドシンOD錠4mg</t>
    <rPh sb="7" eb="8">
      <t>ジョウ</t>
    </rPh>
    <phoneticPr fontId="2"/>
  </si>
  <si>
    <t>セルトラリン錠25㎎</t>
    <rPh sb="6" eb="7">
      <t>ジョウ</t>
    </rPh>
    <phoneticPr fontId="2"/>
  </si>
  <si>
    <t>ダーブロック錠2mg</t>
    <rPh sb="6" eb="7">
      <t>ジョウ</t>
    </rPh>
    <phoneticPr fontId="2"/>
  </si>
  <si>
    <t>タリージェ錠5㎎</t>
    <rPh sb="5" eb="6">
      <t>ジョウ</t>
    </rPh>
    <phoneticPr fontId="2"/>
  </si>
  <si>
    <t>ニトロペン舌下錠0.3mg</t>
    <rPh sb="5" eb="7">
      <t>ゼッカ</t>
    </rPh>
    <rPh sb="7" eb="8">
      <t>ジョウ</t>
    </rPh>
    <phoneticPr fontId="2"/>
  </si>
  <si>
    <t>ノウリアスト錠20mg</t>
    <rPh sb="6" eb="7">
      <t>ジョウ</t>
    </rPh>
    <phoneticPr fontId="2"/>
  </si>
  <si>
    <t>ハイペン錠200mg</t>
    <rPh sb="4" eb="5">
      <t>ジョウ</t>
    </rPh>
    <phoneticPr fontId="2"/>
  </si>
  <si>
    <t>パキロビットパック300</t>
    <phoneticPr fontId="2"/>
  </si>
  <si>
    <t>パキロビットパック600</t>
    <phoneticPr fontId="2"/>
  </si>
  <si>
    <t>パロキセチンOD錠10mg</t>
    <rPh sb="8" eb="9">
      <t>ジョウ</t>
    </rPh>
    <phoneticPr fontId="2"/>
  </si>
  <si>
    <t>ビ・シフロール錠0.125mg</t>
    <rPh sb="7" eb="8">
      <t>ジョウ</t>
    </rPh>
    <phoneticPr fontId="2"/>
  </si>
  <si>
    <t>ピオグリタゾンOD錠15mg</t>
    <rPh sb="9" eb="10">
      <t>ジョウ</t>
    </rPh>
    <phoneticPr fontId="2"/>
  </si>
  <si>
    <t>フェロミア錠50mg</t>
    <rPh sb="5" eb="6">
      <t>ジョウ</t>
    </rPh>
    <phoneticPr fontId="2"/>
  </si>
  <si>
    <t>メリスロン錠6mg</t>
    <rPh sb="5" eb="6">
      <t>ジョウ</t>
    </rPh>
    <phoneticPr fontId="2"/>
  </si>
  <si>
    <t>リマチル錠100mg</t>
    <rPh sb="4" eb="5">
      <t>ジョウ</t>
    </rPh>
    <phoneticPr fontId="2"/>
  </si>
  <si>
    <t>リルゾール錠50mg</t>
    <rPh sb="5" eb="6">
      <t>ジョウ</t>
    </rPh>
    <phoneticPr fontId="2"/>
  </si>
  <si>
    <t>レトロゾール錠2.5mg</t>
    <rPh sb="6" eb="7">
      <t>ジョウ</t>
    </rPh>
    <phoneticPr fontId="2"/>
  </si>
  <si>
    <t>レボカルニチンFF錠250mg</t>
    <rPh sb="9" eb="10">
      <t>ジョウ</t>
    </rPh>
    <phoneticPr fontId="2"/>
  </si>
  <si>
    <t>ゾニサミドOD錠25mgTRE</t>
    <phoneticPr fontId="3"/>
  </si>
  <si>
    <t>ノイロビタン配合錠</t>
    <rPh sb="6" eb="8">
      <t>ハイゴウ</t>
    </rPh>
    <rPh sb="8" eb="9">
      <t>ジョウ</t>
    </rPh>
    <phoneticPr fontId="2"/>
  </si>
  <si>
    <t>ラゲブリオカプセル200ｍｇ</t>
    <phoneticPr fontId="2"/>
  </si>
  <si>
    <t>ﾌﾟﾘﾓﾎﾞﾗﾝ錠5㎎</t>
    <rPh sb="8" eb="9">
      <t>ジョウ</t>
    </rPh>
    <phoneticPr fontId="2"/>
  </si>
  <si>
    <t>レペタン坐0.2mg</t>
    <rPh sb="4" eb="5">
      <t>ザ</t>
    </rPh>
    <phoneticPr fontId="2"/>
  </si>
  <si>
    <t>ネオメドロールEE軟膏</t>
    <rPh sb="9" eb="11">
      <t>ナンコウ</t>
    </rPh>
    <phoneticPr fontId="2"/>
  </si>
  <si>
    <t>ロコイド軟膏0.1％</t>
    <rPh sb="4" eb="6">
      <t>ナンコウ</t>
    </rPh>
    <phoneticPr fontId="2"/>
  </si>
  <si>
    <t>ホーリンV膣用錠1mg</t>
    <rPh sb="5" eb="6">
      <t>チツ</t>
    </rPh>
    <rPh sb="6" eb="7">
      <t>ヨウ</t>
    </rPh>
    <rPh sb="7" eb="8">
      <t>ジョウ</t>
    </rPh>
    <phoneticPr fontId="2"/>
  </si>
  <si>
    <t>カリメートドライシロップ</t>
    <phoneticPr fontId="2"/>
  </si>
  <si>
    <t>包</t>
    <rPh sb="0" eb="1">
      <t>ホウ</t>
    </rPh>
    <phoneticPr fontId="2"/>
  </si>
  <si>
    <t>リドメックスコーワ軟膏0.3％</t>
    <rPh sb="9" eb="11">
      <t>ナンコウ</t>
    </rPh>
    <phoneticPr fontId="2"/>
  </si>
  <si>
    <t>007ﾂﾑﾗﾊﾁﾐｼﾞｵｳｶﾞﾝ2.5g/包</t>
    <rPh sb="21" eb="22">
      <t>ホウ</t>
    </rPh>
    <phoneticPr fontId="2"/>
  </si>
  <si>
    <t>012ﾂﾑﾗｻｲｺｶﾘｭｳｺﾂﾎﾞﾚｲﾄｳ2.5g/包</t>
    <rPh sb="26" eb="27">
      <t>ホウ</t>
    </rPh>
    <phoneticPr fontId="2"/>
  </si>
  <si>
    <t>リスパダール内用液分包0.5ｍｇ/0.5ｍｌ</t>
    <rPh sb="6" eb="8">
      <t>ナイヨウ</t>
    </rPh>
    <rPh sb="8" eb="9">
      <t>エキ</t>
    </rPh>
    <rPh sb="9" eb="10">
      <t>ブン</t>
    </rPh>
    <rPh sb="10" eb="11">
      <t>ホウ</t>
    </rPh>
    <phoneticPr fontId="2"/>
  </si>
  <si>
    <t>リスパダール内用液分包1ｍｇ/1ｍｌ</t>
    <rPh sb="6" eb="8">
      <t>ナイヨウ</t>
    </rPh>
    <rPh sb="8" eb="9">
      <t>エキ</t>
    </rPh>
    <rPh sb="9" eb="10">
      <t>ブン</t>
    </rPh>
    <rPh sb="10" eb="11">
      <t>ホウ</t>
    </rPh>
    <phoneticPr fontId="2"/>
  </si>
  <si>
    <t>リスペリドン内用液1ｍｇ/100ｍｌ</t>
    <rPh sb="6" eb="8">
      <t>ナイヨウ</t>
    </rPh>
    <rPh sb="8" eb="9">
      <t>エキ</t>
    </rPh>
    <phoneticPr fontId="2"/>
  </si>
  <si>
    <t>カルバマゼピン細粒50％</t>
    <rPh sb="7" eb="9">
      <t>サイリュウ</t>
    </rPh>
    <phoneticPr fontId="2"/>
  </si>
  <si>
    <t>アドフィードパップ(7枚/袋）</t>
    <rPh sb="11" eb="12">
      <t>マイ</t>
    </rPh>
    <rPh sb="13" eb="14">
      <t>フクロ</t>
    </rPh>
    <phoneticPr fontId="2"/>
  </si>
  <si>
    <t>ｸﾞﾗｱﾙﾌｧ配合点眼液　5ml/本</t>
    <rPh sb="7" eb="9">
      <t>ハイゴウ</t>
    </rPh>
    <rPh sb="9" eb="11">
      <t>テンガン</t>
    </rPh>
    <rPh sb="11" eb="12">
      <t>エキ</t>
    </rPh>
    <rPh sb="17" eb="18">
      <t>ホン</t>
    </rPh>
    <phoneticPr fontId="2"/>
  </si>
  <si>
    <t>在庫</t>
    <rPh sb="0" eb="2">
      <t>ザイコ</t>
    </rPh>
    <phoneticPr fontId="2"/>
  </si>
  <si>
    <t>ｲﾝﾄﾗﾘﾎﾟｽ輸液20%100ｍｌ</t>
    <phoneticPr fontId="3"/>
  </si>
  <si>
    <t>2024年度　北山病院　棚卸</t>
    <rPh sb="4" eb="5">
      <t>ネン</t>
    </rPh>
    <rPh sb="5" eb="6">
      <t>ド</t>
    </rPh>
    <rPh sb="7" eb="9">
      <t>キタヤマ</t>
    </rPh>
    <rPh sb="9" eb="11">
      <t>ビョウイン</t>
    </rPh>
    <rPh sb="12" eb="14">
      <t>タナオロシ</t>
    </rPh>
    <phoneticPr fontId="2"/>
  </si>
  <si>
    <t>レスタミンコーワクリーム500g</t>
    <phoneticPr fontId="2"/>
  </si>
  <si>
    <t>年間購入量</t>
    <rPh sb="0" eb="2">
      <t>ネンカン</t>
    </rPh>
    <rPh sb="2" eb="4">
      <t>コウニュウ</t>
    </rPh>
    <rPh sb="4" eb="5">
      <t>リョウ</t>
    </rPh>
    <phoneticPr fontId="2"/>
  </si>
  <si>
    <t>*</t>
    <phoneticPr fontId="2"/>
  </si>
  <si>
    <t>007　ﾂﾑﾗ　ハチミジオウガン</t>
  </si>
  <si>
    <t>012　ｻｲｺｶﾘｭｳｺﾂﾎﾞﾚｲﾄｳ</t>
  </si>
  <si>
    <t>017 ﾂﾑﾗ　ｺﾞﾚｲｻﾝ</t>
  </si>
  <si>
    <t>020 ﾂﾑﾗ ボウイオウギトウ</t>
  </si>
  <si>
    <t>043 ツムラ　リツクンシトウ</t>
  </si>
  <si>
    <t>048　ﾂﾑﾗ　ｼﾞｭｳｾﾞﾝﾀｲﾎﾄｳ</t>
  </si>
  <si>
    <t>054 ﾂﾑﾗ ﾖｸｶﾝｻﾝ</t>
  </si>
  <si>
    <t>062 ﾂﾑﾗ ﾎﾞｳﾌｳﾂｳｼﾖｳｻﾝ</t>
  </si>
  <si>
    <t>068　ｼｬｸﾔｸｶﾝｿﾞｳﾄｳ</t>
  </si>
  <si>
    <t>083 ﾂﾑﾗ ﾖｸｶﾝｻﾝｶﾁﾝﾋﾟﾊﾝｹﾞ</t>
  </si>
  <si>
    <t>100 ﾂﾑﾗ ﾀﾞｲｹﾝﾁﾕｳﾄｳ</t>
  </si>
  <si>
    <t>112　チョレイトウゴウシモットウ</t>
  </si>
  <si>
    <t>ＥＫ１　葛根湯エキス細粒</t>
  </si>
  <si>
    <t>EK108　人参養栄湯エキス細粒</t>
  </si>
  <si>
    <t>EK114　柴苓湯　　　　　　　　　　　</t>
  </si>
  <si>
    <t>EK15　黄連解毒湯エキス細粒</t>
  </si>
  <si>
    <t>ＥＫ24　加味逍遥散料エキス細粒</t>
  </si>
  <si>
    <t>ＥＫ40　猪苓湯エキス細粒</t>
  </si>
  <si>
    <t>EK41　補中益気湯エキス細粒</t>
  </si>
  <si>
    <t>アセサイド消毒液6％　800ｍｌｘ2</t>
  </si>
  <si>
    <t>スワブスティック　（ﾍｷｼｼﾞﾝ)</t>
  </si>
  <si>
    <t>スワブスティック（ﾎﾟﾋﾞﾄﾞﾝﾖｰﾄﾞ）　　　Ｍサイズ</t>
  </si>
  <si>
    <t>ピューラックス6％</t>
  </si>
  <si>
    <t>エスゾピクロン錠1ｍｇ「トーワ」</t>
  </si>
  <si>
    <t>エチゾラム錠0.5ｍｇ「アメル」</t>
  </si>
  <si>
    <t>エチゾラム錠1ｍｇ「アメル」</t>
  </si>
  <si>
    <t>クアゼパム錠15mg「ｱﾒﾙ」</t>
  </si>
  <si>
    <t>グランダキシン錠50</t>
  </si>
  <si>
    <t>ジアゼパム錠２ｍｇ「アメル」</t>
  </si>
  <si>
    <t>ジアゼパム錠５ｍｇ「アメル」</t>
  </si>
  <si>
    <t>ジアゼパム注射液5ｍｇ「ＮＩＧ」</t>
  </si>
  <si>
    <t>セディール錠１０ｍｇ　　　　　　　　　　</t>
  </si>
  <si>
    <t>セパゾン錠１</t>
  </si>
  <si>
    <t>セパゾン錠２</t>
  </si>
  <si>
    <t>セルシン注射液10ｍｇ</t>
  </si>
  <si>
    <t>ゾピクロン錠７．５ｍｇ「トーワ」</t>
  </si>
  <si>
    <t>ソラナックス0.4ｍｇ錠</t>
  </si>
  <si>
    <t>ソラナックス0.8ｍｇ錠</t>
  </si>
  <si>
    <t>デパス細粒1％</t>
  </si>
  <si>
    <t>トリアゾラム錠0.25ｍｇ「CH」　　　　　　　　</t>
  </si>
  <si>
    <t>フェノバール錠30ｍｇ</t>
  </si>
  <si>
    <t>フェノバール注射液100ｍｇ</t>
  </si>
  <si>
    <t>フルニトラゼパム錠1mg「ｱﾒﾙ」</t>
  </si>
  <si>
    <t>フルニトラゼパム錠２mg「ｱﾒﾙ」</t>
  </si>
  <si>
    <t>ブロチゾラム錠0.25ｍｇ「トーワ」</t>
  </si>
  <si>
    <t>ベンザリン細粒1%</t>
  </si>
  <si>
    <t>ベンザリン錠5</t>
  </si>
  <si>
    <t>マイスリー錠５ｍｇ</t>
  </si>
  <si>
    <t>メイラックス錠1ｍｇ</t>
  </si>
  <si>
    <t>ユーロジン2ｍｇ錠</t>
  </si>
  <si>
    <t>リーゼ錠５ｍｇ</t>
  </si>
  <si>
    <t>リスミー錠2ｍｇ</t>
  </si>
  <si>
    <t>レキソタン錠２</t>
  </si>
  <si>
    <t>レキソタン錠５</t>
  </si>
  <si>
    <t>ロラゼパム錠0.5ｍｇ「サワイ」</t>
  </si>
  <si>
    <t>ロラメット錠1.0（アスカ）</t>
  </si>
  <si>
    <t>アレビアチン散１０％</t>
  </si>
  <si>
    <t>アレビアチン注２５０ｍｇ</t>
  </si>
  <si>
    <t>カルバマゼピン細粒５０％「アメル」　　　</t>
  </si>
  <si>
    <t>カルバマゼピン錠100mg｢ｱﾒﾙ」</t>
  </si>
  <si>
    <t>カルバマゼピン錠200ｍｇ｢ｱﾒﾙ」</t>
  </si>
  <si>
    <t>ゾニサミド錠100MG「アメル」</t>
  </si>
  <si>
    <t>ダイアップ坐剤４</t>
  </si>
  <si>
    <t>デパケンＲ錠２００mg</t>
  </si>
  <si>
    <t>デパケンシロップ５％  120ｍｌ　採用中止</t>
  </si>
  <si>
    <t>バルプロ酸NA徐放顆粒40％「フジナガ」</t>
  </si>
  <si>
    <t>バルプロ酸ナトリウムシロップ５％「ＤＳＰ」</t>
  </si>
  <si>
    <t>バルプロ酸ナトリウム錠２００ｍｇ「DSP」</t>
  </si>
  <si>
    <t>ビムパット錠100ｍｇ</t>
  </si>
  <si>
    <t>ビムパット錠50ｍｇ</t>
  </si>
  <si>
    <t>フィコンパ錠2ｍｇ</t>
  </si>
  <si>
    <t>マイスタン錠５ｍｇ</t>
  </si>
  <si>
    <t>ラモトリギン錠100ｍｇ「トーワ」</t>
  </si>
  <si>
    <t>ラモトリギン錠25ｍｇ「トーワ」</t>
  </si>
  <si>
    <t>リボトリール錠0.5MG</t>
  </si>
  <si>
    <t>リボトリール錠1ｍｇ</t>
  </si>
  <si>
    <t>レベチラセタムDS50％「トーワ」</t>
  </si>
  <si>
    <t>レベチラセタム錠250ｍｇ「トーワ」</t>
  </si>
  <si>
    <t>レベチラセタム点滴静注500ｍｇ「明治」</t>
  </si>
  <si>
    <t>アセリオ静注液1000ｍｇバッグ</t>
  </si>
  <si>
    <t>カロナール坐剤200</t>
  </si>
  <si>
    <t>カロナール錠200</t>
  </si>
  <si>
    <t>セレコキシブ錠100ｍｇ「DSEP」</t>
  </si>
  <si>
    <t>トアラセット配合錠「オーハラ」</t>
  </si>
  <si>
    <t>トラマールＯＤ錠25ｍｇ</t>
  </si>
  <si>
    <t>ノイロトロピン錠4単位</t>
  </si>
  <si>
    <t>ハイペン錠200ｍｇ</t>
  </si>
  <si>
    <t>ボルタレン錠25ｍｇ</t>
  </si>
  <si>
    <t>ロキソプロフェンナトリウム錠60ｍｇ「日医工」</t>
  </si>
  <si>
    <t>アキネトン細粒1％</t>
  </si>
  <si>
    <t>アキネトン注射液５ｍｇ　　　　　　　　　</t>
  </si>
  <si>
    <t>アマンタジン塩酸塩錠50ｍｇ「杏林」</t>
  </si>
  <si>
    <t>ゾニサミドOD錠25ｍｇＴＲＥ「ＤＳＥＰ」</t>
  </si>
  <si>
    <t>ドパストン静注50ｍｇ</t>
  </si>
  <si>
    <t>ドプスOD錠100ｍｇ</t>
  </si>
  <si>
    <t>トリヘキシフェニジル塩酸塩錠　2ｍｇ「タカタ」</t>
  </si>
  <si>
    <t>トレリーフOD錠25ｍｇ　採用中止</t>
  </si>
  <si>
    <t>ニュープロパッチ4.5ｍｇ</t>
  </si>
  <si>
    <t>ネオドパストン配合錠Ｌ１００</t>
  </si>
  <si>
    <t>ノウリアスト錠20ｍｇ</t>
  </si>
  <si>
    <t>ビペリデン塩酸塩錠1ｍｇ「アメル」</t>
  </si>
  <si>
    <t>アタラックス錠25ｍｇ</t>
  </si>
  <si>
    <t>クロフェクトン錠25ｍｇ</t>
  </si>
  <si>
    <t>コントミン糖衣錠１００ｍｇ</t>
  </si>
  <si>
    <t>コントミン糖衣錠２５ｍｇ</t>
  </si>
  <si>
    <t>コントミン糖衣錠５０ｍｇ</t>
  </si>
  <si>
    <t>スルピリド錠１００mg「アメル」</t>
  </si>
  <si>
    <t>スルピリド錠２００mg「アメル」</t>
  </si>
  <si>
    <t>スルピリド錠５０mg「アメル」</t>
  </si>
  <si>
    <t>セレネース注５ｍｇ</t>
  </si>
  <si>
    <t>セレネース内服液０．２％</t>
  </si>
  <si>
    <t>トロペロン細粒1％</t>
  </si>
  <si>
    <t>トロペロン錠1ｍｇ　　　　　　　　　　　　　　</t>
  </si>
  <si>
    <t>トロペロン錠3ｍｇ　　　　　　　　　　　　　　</t>
  </si>
  <si>
    <t>トロペロン注４ｍｇ　　　　　　　　　　　　　　</t>
  </si>
  <si>
    <t>ニューレプチル錠10ｍｇ</t>
  </si>
  <si>
    <t>ニューレプチル錠5ｍｇ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</si>
  <si>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</si>
  <si>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</si>
  <si>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</si>
  <si>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</si>
  <si>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ハロペリドール錠3mg｢ｱﾒﾙ」</t>
  </si>
  <si>
    <t>ハロマンス注100ｍｇ</t>
  </si>
  <si>
    <t>ハロマンス注50ｍｇ</t>
  </si>
  <si>
    <t>ピーゼットシー糖衣錠４ｍｇ</t>
  </si>
  <si>
    <t>ヒルナミン錠（25ｍｇ）</t>
  </si>
  <si>
    <t>ヒルナミン錠（50ｍｇ）</t>
  </si>
  <si>
    <t>ヒルナミン錠（5ｍｇ）</t>
  </si>
  <si>
    <t>フルデカシン筋注２５ｍｇ</t>
  </si>
  <si>
    <t>ブロムペリドール錠3mg｢ｱﾒﾙ｣</t>
  </si>
  <si>
    <t>レボトミン顆粒１０％</t>
  </si>
  <si>
    <t>ロドピン細粒50％</t>
  </si>
  <si>
    <t>ロドピン錠25ｍｇ</t>
  </si>
  <si>
    <t>ロドピン錠50ｍｇ</t>
  </si>
  <si>
    <t>アリピプラゾールＯＤ錠12ｍｇ「ニプロ」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</si>
  <si>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</si>
  <si>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</si>
  <si>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</si>
  <si>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</si>
  <si>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インヴェガ錠6ｍｇ</t>
  </si>
  <si>
    <t>エビリファイ持続性水懸筋注用300ｍｇ　シリンジ</t>
  </si>
  <si>
    <t>エビリファイ持続性水懸筋注用400ｍｇ　シリンジ</t>
  </si>
  <si>
    <t>エビリファイ錠1ｍｇ　採用中止</t>
  </si>
  <si>
    <t>エビリファイ内用液0.1％（3ｍｌ）</t>
  </si>
  <si>
    <t>エビリファイ内用液0.1％（6ｍｌ）</t>
  </si>
  <si>
    <t>オランザピンOD錠10ｍｇ「NP」</t>
  </si>
  <si>
    <t>オランザピンOD錠5ｍｇ「NP」</t>
  </si>
  <si>
    <t>オランザピン細粒1％「NP」</t>
  </si>
  <si>
    <t>オランザピン錠2.5ｍｇ「NP」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</si>
  <si>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</si>
  <si>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</si>
  <si>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</si>
  <si>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</si>
  <si>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</si>
  <si>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シクレスト舌下錠10ｍｇ</t>
  </si>
  <si>
    <t>シクレスト舌下錠5ｍｇ</t>
  </si>
  <si>
    <t>ジプレキサ ｻﾞｲﾃﾞｨｽ錠10ｍｇ</t>
  </si>
  <si>
    <t>ジプレキサ ｻﾞｲﾃﾞｨｽ錠2.5ｍｇ</t>
  </si>
  <si>
    <t>ジプレキサ ｻﾞｲﾃﾞｨｽ錠5ｍｇ</t>
  </si>
  <si>
    <t>ゼプリオン水懸筋注100ｍｇ ｼﾘﾝｼﾞ</t>
  </si>
  <si>
    <t>ゼプリオン水懸筋注150ｍｇ ｼﾘﾝｼﾞ</t>
  </si>
  <si>
    <t>ゼプリオン水懸筋注50ｍｇｼﾘﾝｼﾞ</t>
  </si>
  <si>
    <t>ゼプリオン水懸筋注75ｍｇｼﾘﾝｼﾞ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</si>
  <si>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</si>
  <si>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</si>
  <si>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</si>
  <si>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</si>
  <si>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ラツーダ錠20ｍｇ</t>
  </si>
  <si>
    <t>ラツーダ錠40ｍｇ</t>
  </si>
  <si>
    <t>リスパダールコンスタ筋注用　25ｍｇ</t>
  </si>
  <si>
    <t>リスパダールコンスタ筋注用37.5ｍｇ</t>
  </si>
  <si>
    <t>リスパダールコンスタ筋注用50ｍｇ（1）</t>
  </si>
  <si>
    <t>リスパダール錠１ｍｇ　　　　　　　　　　</t>
  </si>
  <si>
    <t>リスパダール錠２ｍｇ　　　　　　　　　　</t>
  </si>
  <si>
    <t>リスパダール内用液　1mg/ml
　　　(30ml瓶）
　　　　</t>
  </si>
  <si>
    <t>リスパダール内用液（1ｍｇ/ｍｌ）0.5ml</t>
  </si>
  <si>
    <t>リスパダール内用液１mg/ml　　（1ｍｌ）　　　　</t>
  </si>
  <si>
    <t>リスペリドン錠0.5ｍｇ「アメル」</t>
  </si>
  <si>
    <t>リスペリドン錠1ｍｇ「アメル」</t>
  </si>
  <si>
    <t>リスペリドン錠2ｍｇ「アメル」</t>
  </si>
  <si>
    <t>リスペリドン錠3ｍｇ「アメル」</t>
  </si>
  <si>
    <t>リスペリドン内用液1ｍｇ/ｍｌ「アメル」100ｍｌ</t>
  </si>
  <si>
    <t>リスペリドン内用液分包0.5ｍｇ「アメル」0.5ｍｌ</t>
  </si>
  <si>
    <t>リスペリドン内用液分包1ｍｇ「アメル」　1ｍｌ</t>
  </si>
  <si>
    <t>ルーラン錠４ｍｇ　　　　　　　　　　　　</t>
  </si>
  <si>
    <t>レキサルティOD錠0.5ｍｇ</t>
  </si>
  <si>
    <t>レキサルティOD錠1ｍｇ</t>
  </si>
  <si>
    <t>レキサルティOD錠2ｍｇ</t>
  </si>
  <si>
    <t>ロナセンテープ20ｍｇ</t>
  </si>
  <si>
    <t>ロナセンテープ40ｍｇ</t>
  </si>
  <si>
    <t>アトモキセチンカプセル10ｍｇ　「サワイ」</t>
  </si>
  <si>
    <t>アトモキセチンカプセル40ｍｇ　「サワイ」</t>
  </si>
  <si>
    <t>イフェクサーＳＲカプセル37.5ｍｇ</t>
  </si>
  <si>
    <t>イフェクサーＳＲカプセル75ｍｇ</t>
  </si>
  <si>
    <t>エスシタロプラムＯＤ錠10ｍｇ「トーワ」</t>
  </si>
  <si>
    <t>コンサータ錠18ｍｇ</t>
  </si>
  <si>
    <t>ジェイゾロフト錠２５ｍｇ　　　　　　　　　採用中止</t>
  </si>
  <si>
    <t>セルトラリン錠25ｍｇ「明治」</t>
  </si>
  <si>
    <t>テトラミド錠１０ｍｇ</t>
  </si>
  <si>
    <t>デプロメール錠25</t>
  </si>
  <si>
    <t>デュロキセチンカプセル20ｍｇ「DSEP」</t>
  </si>
  <si>
    <t>トフラニール錠１０ｍｇ</t>
  </si>
  <si>
    <t>トラゾドン塩酸塩錠25ｍｇ「アメル」</t>
  </si>
  <si>
    <t>トリプタノール錠２５</t>
  </si>
  <si>
    <t>トリンテリックス錠10ｍｇ</t>
  </si>
  <si>
    <t>トレドミン錠15ｍｇ　　　　　　　　　　　</t>
  </si>
  <si>
    <t>トレドミン錠25ｍｇ　　　　　　　</t>
  </si>
  <si>
    <t>パキシルＣＲ錠12.5ｍｇ</t>
  </si>
  <si>
    <t>パロキセチンOD錠10ｍｇ「トーワ」</t>
  </si>
  <si>
    <t>ビプレッソ徐放錠150ｍｇ</t>
  </si>
  <si>
    <t>ビプレッソ徐放錠50ｍｇ</t>
  </si>
  <si>
    <t>ベタナミン錠10ｍｇ</t>
  </si>
  <si>
    <t>マプロチリン塩酸塩錠10ｍｇ「アメル」</t>
  </si>
  <si>
    <t>マプロチリン塩酸塩錠25ｍｇ「アメル」</t>
  </si>
  <si>
    <t>ミルタザピンOD錠15ｍｇ「サワイ」</t>
  </si>
  <si>
    <t>炭酸リチウム錠100ｍｇ「ｱﾒﾙ」（採用中止）</t>
  </si>
  <si>
    <t>炭酸リチウム錠200mg「大正」</t>
  </si>
  <si>
    <t>トーワチーム配合顆粒</t>
  </si>
  <si>
    <t>アリドネパッチ27.5ｍｇ</t>
  </si>
  <si>
    <t>アリドネパッチ55ｍｇ</t>
  </si>
  <si>
    <t>ガランタミンＯＤ錠12ｍｇ「日医工」</t>
  </si>
  <si>
    <t>ガランタミンＯＤ錠4ｍｇ「日医工」</t>
  </si>
  <si>
    <t>クービビック錠50ｍｇ</t>
  </si>
  <si>
    <t>グラマリール細粒10％</t>
  </si>
  <si>
    <t>グラマリール錠25ｍｇ</t>
  </si>
  <si>
    <t>グラマリール錠50ｍｇ</t>
  </si>
  <si>
    <t>タリージェ錠5ｍｇ</t>
  </si>
  <si>
    <t>デエビゴ錠2.5ｍｇ</t>
  </si>
  <si>
    <t>デエビゴ錠5ｍｇ</t>
  </si>
  <si>
    <t>ドネペジル塩酸塩ＯＤ錠10ｍｇ「明治」</t>
  </si>
  <si>
    <t>ドネペジル塩酸塩ＯＤ錠3ｍｇ「明治」</t>
  </si>
  <si>
    <t>ドネペジル塩酸塩ＯＤ錠5ｍｇ「明治」</t>
  </si>
  <si>
    <t>ビ・シフロール錠0.125ｍｇ</t>
  </si>
  <si>
    <t>プレガバリンＯＤ錠25ｍｇ「サワイ」</t>
  </si>
  <si>
    <t>プレガバリンＯＤ錠75ｍｇ「サワイ」</t>
  </si>
  <si>
    <t>ベルソムラ錠15ｍｇ</t>
  </si>
  <si>
    <t>ベルソムラ錠20ｍｇ</t>
  </si>
  <si>
    <t>メマンチン塩酸塩ＯＤ錠20ｍｇ「DSEP」</t>
  </si>
  <si>
    <t>メマンチン塩酸塩ＯＤ錠5ｍｇ「DSEP」</t>
  </si>
  <si>
    <t>ラメルテオン錠8ｍｇ「トーワ」</t>
  </si>
  <si>
    <t>リバスチグミンテープ13.5ｍｇ「ニプロ」</t>
  </si>
  <si>
    <t>リバスチグミンテープ18ｍｇ「ニプロ」</t>
  </si>
  <si>
    <t>リバスチグミンテープ4.5ｍｇ「ニプロ」</t>
  </si>
  <si>
    <t>リバスチグミンテープ9ｍｇ「ニプロ」</t>
  </si>
  <si>
    <t>リルゾール錠50ｍｇ「ニプロ」</t>
  </si>
  <si>
    <t>レグテクト錠333ｍｇ</t>
  </si>
  <si>
    <t>ロゼレム錠8ｍｇ</t>
  </si>
  <si>
    <t>キシロカイン注シリンジ0.5％　　</t>
  </si>
  <si>
    <t>ダントリウム ｶﾌﾟｾﾙ 25MG</t>
  </si>
  <si>
    <t>ジスチグミン臭化物錠5ｍｇ「ＮＩＧ」</t>
  </si>
  <si>
    <t>ベサコリン散５％</t>
  </si>
  <si>
    <t>エペリゾン塩酸塩錠50ｍｇ「日医工」</t>
  </si>
  <si>
    <t>チザニジン錠1㎎「トーワ」　</t>
  </si>
  <si>
    <t>リオレサール錠5ｍｇ</t>
  </si>
  <si>
    <t>アズレン点眼液0.02％「ﾆｯﾄｰ」</t>
  </si>
  <si>
    <t>アレギサール点眼液　0.1％　　　　　　　</t>
  </si>
  <si>
    <t>オフロキサシン点眼液0.3％「JG」</t>
  </si>
  <si>
    <t>グラアルファ配合点眼液</t>
  </si>
  <si>
    <t>クロモグリク酸Na点眼液2%「ニットー」　</t>
  </si>
  <si>
    <t>コソプト配合点眼液</t>
  </si>
  <si>
    <t>シアノコバラミン点眼液0.02％「日点」</t>
  </si>
  <si>
    <t>ジクアス点眼液3％</t>
  </si>
  <si>
    <t>タリビッド眼軟膏0.3％</t>
  </si>
  <si>
    <t>ネオメドロールEE軟膏</t>
  </si>
  <si>
    <t>ヒアルロン酸Na点眼液0.1％「ニットー」</t>
  </si>
  <si>
    <t>ピレノキシン懸濁性点眼液0.005%「参天」</t>
  </si>
  <si>
    <t>フルオロメトロン点眼液0.1％「NIT」</t>
  </si>
  <si>
    <t>ブロナック点眼液0.1％</t>
  </si>
  <si>
    <t>ミケルナ配合点眼液</t>
  </si>
  <si>
    <t>ムコスタ点眼液UD2％</t>
  </si>
  <si>
    <t>ラタノプロスト点眼液0.005％「ニットー」</t>
  </si>
  <si>
    <t>リンデロン点眼点耳点鼻液0.1％</t>
  </si>
  <si>
    <t>ケトチフェン点鼻液0.05％「サワイ」</t>
  </si>
  <si>
    <t>コールタイジン点鼻液　</t>
  </si>
  <si>
    <t>タリビッド耳科用液0.3％</t>
  </si>
  <si>
    <t>ジフェニドール塩酸塩錠25ｍｇ「NIG」</t>
  </si>
  <si>
    <t>メリスロン錠6ｍｇ</t>
  </si>
  <si>
    <t>エホチール注10ｍｇ</t>
  </si>
  <si>
    <t>ジギラノゲン注0.4ｍｇ　0.02％</t>
  </si>
  <si>
    <t>ハーフジゴキシンＫＹ錠0.125</t>
  </si>
  <si>
    <t>インデラル錠10ｍｇ</t>
  </si>
  <si>
    <t>カルビスケン錠5ｍｇ</t>
  </si>
  <si>
    <t>サンリズムカプセル25ｍｇ</t>
  </si>
  <si>
    <t>シベンゾリンコハク酸塩錠100ｍｇ「サワイ」</t>
  </si>
  <si>
    <t>ソタロール塩酸塩錠80ｍｇ「TE」</t>
  </si>
  <si>
    <t>タンボコール錠50ｍｇ</t>
  </si>
  <si>
    <t>ビソプロロールフマル酸塩錠0.625ｍｇ「トーワ」</t>
  </si>
  <si>
    <t>ビソプロロールフマル酸塩錠2.5ｍｇ「テバ」　採用中止</t>
  </si>
  <si>
    <t>ベプリコール錠50ｍｇ</t>
  </si>
  <si>
    <t>メキシチールカプセル50ｍｇ</t>
  </si>
  <si>
    <t>アゾセミド錠30ｍｇ「ＤＳＥＰ」</t>
  </si>
  <si>
    <t>アゾセミド錠60ｍｇ「ＤＳＥＰ」</t>
  </si>
  <si>
    <t>アルダクトンＡ錠25ｍｇ</t>
  </si>
  <si>
    <t>ソルダクトン静注用100mg</t>
  </si>
  <si>
    <t>トルバプタンOD錠7.5ｍｇ「ＴＥ」</t>
  </si>
  <si>
    <t>フルイトラン錠２ｍｇ</t>
  </si>
  <si>
    <t>フロセミド細粒４％「EMEC」</t>
  </si>
  <si>
    <t>フロセミド錠20ｍｇ「NIG」</t>
  </si>
  <si>
    <t>フロセミド注20ｍｇ「トーワ｣</t>
  </si>
  <si>
    <t>ルプラック錠4ｍｇ</t>
  </si>
  <si>
    <t>アーチスト錠1.25ｍｇ</t>
  </si>
  <si>
    <t>アジルサルタンOD錠20ｍｇ「サワイ」</t>
  </si>
  <si>
    <t>アジルバ錠10ｍｇ　</t>
  </si>
  <si>
    <t>イルベサルタン錠50ｍｇ「サワイ」</t>
  </si>
  <si>
    <t>エナラプリルマレイン酸塩錠５ｍｇ「日新」</t>
  </si>
  <si>
    <t>エブランチルカプセル15ｍｇ　「三和」</t>
  </si>
  <si>
    <t>オルメテックOD錠10ｍｇ</t>
  </si>
  <si>
    <t>カルベジロール錠10ｍｇ「DSEP」</t>
  </si>
  <si>
    <t>ケルロング錠１０ｍｇ</t>
  </si>
  <si>
    <t>セララ錠50ｍｇ</t>
  </si>
  <si>
    <t>テルミサルタンＯＤ錠20ｍｇ「トーワ」</t>
  </si>
  <si>
    <t>ナトリックス錠１</t>
  </si>
  <si>
    <t>ビソノテープ4ｍｇ</t>
  </si>
  <si>
    <t>フェロジピン錠5ｍｇ「NIG」</t>
  </si>
  <si>
    <t>ミドドリン塩酸塩錠２ｍｇ「トーワ」</t>
  </si>
  <si>
    <t>レルパックス錠20ｍｇ</t>
  </si>
  <si>
    <t>アダラートCR錠20ｍｇ</t>
  </si>
  <si>
    <t>アムロジピンOD錠2.5ｍｇ「あすか」</t>
  </si>
  <si>
    <t>ニコランジル錠５ｍｇ「ﾄｰﾜ」　　　　　　　　　</t>
  </si>
  <si>
    <t>ニトロペン舌下錠0.3ｍｇ</t>
  </si>
  <si>
    <t>ニフェジピンカプセル10ｍｇ「ｻﾜｲ」</t>
  </si>
  <si>
    <t>ニルバジピン錠２ｍｇ「サワイ」</t>
  </si>
  <si>
    <t>ニルバジピン錠4ｍｇ「サワイ」</t>
  </si>
  <si>
    <t>フランドルテープ 40MG</t>
  </si>
  <si>
    <t>ヘルベッサー錠30　　　　　</t>
  </si>
  <si>
    <t>ワソラン錠40ｍｇ</t>
  </si>
  <si>
    <t>硝酸イソソルビド徐放カプセル20ｍｇ「St」</t>
  </si>
  <si>
    <t>EPLカプセル250ｍｇ</t>
  </si>
  <si>
    <t>アトルバスタチンOD錠10ｍｇ「ﾄｰﾜ」</t>
  </si>
  <si>
    <t>エゼチミブOD錠10ｍｇ「トーワ」</t>
  </si>
  <si>
    <t>プラバスタチンNa錠５mg「サワイ」</t>
  </si>
  <si>
    <t>ベザフィブラートＳＲ錠２００ｍｇ「日医工」　　　</t>
  </si>
  <si>
    <t>ロスバスタチン錠2.5ｍｇ「トーワ」</t>
  </si>
  <si>
    <t>エンレスト錠100ｍｇ</t>
  </si>
  <si>
    <t>カリメートドライシロップ92.59％</t>
  </si>
  <si>
    <t>ニセルゴリン錠5mg「トーワ」</t>
  </si>
  <si>
    <t>ユベラNソフトカプセル200ｍｇ</t>
  </si>
  <si>
    <t>カルボシステイン錠250ｍｇ「ﾄｰﾜ」</t>
  </si>
  <si>
    <t>ブロムヘキシン塩酸塩吸入液0.2％「タイヨー」</t>
  </si>
  <si>
    <t>ブロムヘキシン塩酸塩注射液4mg「タイヨー」</t>
  </si>
  <si>
    <t>ブロムヘキシン塩酸塩錠４ｍｇ「トーワ」　　　　　　　　　　　　　　</t>
  </si>
  <si>
    <t>レスプレン錠20ｍｇ</t>
  </si>
  <si>
    <t>アノーロエリプタ30吸入用</t>
  </si>
  <si>
    <t>スピロペント錠10μｇ</t>
  </si>
  <si>
    <t>ツロブテロールテープ1ｍｇ「サワイ」</t>
  </si>
  <si>
    <t>テオフィリン徐放U錠200ｍｇ「トーワ」</t>
  </si>
  <si>
    <t>メプチンｴｱ-10μｇ吸入100回　　0.0143％</t>
  </si>
  <si>
    <t>ポビドンヨードガーグル７％「ケンエー」　　　　　　　　　　</t>
  </si>
  <si>
    <t>アドエア500ディスカス
60吸入用</t>
  </si>
  <si>
    <t>キュバール100エアゾール15ｍｇ　　</t>
  </si>
  <si>
    <t>レルベア100エリプタ30吸入用</t>
  </si>
  <si>
    <t>レルベア200エリプタ30吸入用</t>
  </si>
  <si>
    <t>ジメチコン錠40ｍｇ「ＹＤ」</t>
  </si>
  <si>
    <t>タンニン酸アルブミン「VTRS」原末　　　</t>
  </si>
  <si>
    <t>ビオフェルミン錠剤</t>
  </si>
  <si>
    <t>ビオフェルミン配合散</t>
  </si>
  <si>
    <t>ロペミンカプセル１ｍｇ</t>
  </si>
  <si>
    <t>エソメプラゾールカプセル20ｍｇ「ニプロ」</t>
  </si>
  <si>
    <t>タケキャブOD錠10ｍｇ</t>
  </si>
  <si>
    <t>タケキャブOD錠20ｍｇ</t>
  </si>
  <si>
    <t>タケプロン静注用30ｍｇ</t>
  </si>
  <si>
    <t>テプレノンカプセル50ｍｇ「YD」</t>
  </si>
  <si>
    <t>テプレノン細粒10％「YD」</t>
  </si>
  <si>
    <t>ファモチジンＤ錠20ｍｇ「サワイ」</t>
  </si>
  <si>
    <t>ファモチジン静注液20mg「サワイ」</t>
  </si>
  <si>
    <t>プロマックD錠75</t>
  </si>
  <si>
    <t>マーズレンＳ配合顆粒</t>
  </si>
  <si>
    <t>ランソプラゾールＯＤ錠15ｍｇ「トーワ」</t>
  </si>
  <si>
    <t>レバミピド錠100ｍｇ「オーツカ」</t>
  </si>
  <si>
    <t>センブリ・重曹散</t>
  </si>
  <si>
    <t>マグミット錠330ｍｇ</t>
  </si>
  <si>
    <t>マグミット錠500ｍｇ</t>
  </si>
  <si>
    <t>アミティーザカプセル24μｇ</t>
  </si>
  <si>
    <t>グーフィス錠5ｍｇ</t>
  </si>
  <si>
    <t>グリセリン浣腸液50％「ムネ」　60ｍｌ</t>
  </si>
  <si>
    <t>センノシド錠12ｍｇ「トーワ」</t>
  </si>
  <si>
    <t>ピコスルファートナトリウム錠2.5ｍｇ「イワキ」</t>
  </si>
  <si>
    <t>ピコスルファートナトリウム内用液0.75％「イワキ」</t>
  </si>
  <si>
    <t>モビコール配合内用剤ＬＤ（1）　　　6.8523g/1包</t>
  </si>
  <si>
    <t>ラクツロースシロップﾟ65%「タカタ」</t>
  </si>
  <si>
    <t>重カマ「ヨシダ」（細粒状）</t>
  </si>
  <si>
    <t>新レシカルボン坐剤　　　　　　　　　　　</t>
  </si>
  <si>
    <t>ウルソデオキシコール酸錠100mg「ｻﾜｲ」</t>
  </si>
  <si>
    <t>SPトローチ0.25ｍｇ「明治」</t>
  </si>
  <si>
    <t>イリボー錠５μｇ</t>
  </si>
  <si>
    <t>サリベートエアゾール</t>
  </si>
  <si>
    <t>デキサメタゾン口腔用軟膏0.1％「日医工」</t>
  </si>
  <si>
    <t>トリメブチンマレイン酸錠100mg「トーワ」</t>
  </si>
  <si>
    <t>ドンペリドン錠10mg「トーワ」</t>
  </si>
  <si>
    <t>モサプリドクエン酸塩散１％「日医工」</t>
  </si>
  <si>
    <t>モサプリドクエン酸塩錠5ｍｇ「日医工」</t>
  </si>
  <si>
    <t>リンゼス錠0.25ｍｇ</t>
  </si>
  <si>
    <t>塩酸ﾒﾄｸﾛﾌﾟﾗﾐﾄﾞ注10ｍｇ「タカタ」</t>
  </si>
  <si>
    <t>チラーヂンS錠25μｇ</t>
  </si>
  <si>
    <t>チラーヂンS錠５０μｇ</t>
  </si>
  <si>
    <t>チラーヂンS静注液200μg</t>
  </si>
  <si>
    <t>テリボン皮下注用56.5μｇ　溶解液付</t>
  </si>
  <si>
    <t>水溶性ハイドロコートン注射　　１００ｍｇ</t>
  </si>
  <si>
    <t>エピペン注射液0.3ｍｇ</t>
  </si>
  <si>
    <t>デカドロン注射液3.3ｍｇ</t>
  </si>
  <si>
    <t>プレドニゾロン錠1ｍｇ「VTRS」</t>
  </si>
  <si>
    <t>プレドニゾロン錠５ｍｇ「VTRS」　　　　　</t>
  </si>
  <si>
    <t>ボスミン注1ｍｇ　0.1％</t>
  </si>
  <si>
    <t>水溶性プレドニン10ｍｇ</t>
  </si>
  <si>
    <t>デュタステリドカプセル0.5ｍｇＡＶ「サワイ」</t>
  </si>
  <si>
    <t>トルリシティ皮下注0.75ｍｇアテオス</t>
  </si>
  <si>
    <t>トレシーバ注フレックスタッチ</t>
  </si>
  <si>
    <t>ヒューマリンR注U100単位/ｍｌ　10ｍｌ</t>
  </si>
  <si>
    <t>ヒューマログミックス50注ミリオペン　300単位</t>
  </si>
  <si>
    <t>ランタス注ソロスター300単位</t>
  </si>
  <si>
    <t>クロマイ腟錠100mg</t>
  </si>
  <si>
    <t>ホーリンV膣用錠1ｍｇ</t>
  </si>
  <si>
    <t>ヘモレックス軟膏</t>
  </si>
  <si>
    <t>シロドシンＯＤ錠4ｍｇ「ＫＭＰ」</t>
  </si>
  <si>
    <t>ソリフェナシンコハク酸塩OD錠5ｍｇ「トーワ」</t>
  </si>
  <si>
    <t>タムスロシン塩酸塩OD錠0.2ｍｇ「サワイ」</t>
  </si>
  <si>
    <t>プロピベリン塩酸塩錠10mg「ＮＩＧ」　</t>
  </si>
  <si>
    <t>ベタニス錠50ｍｇ</t>
  </si>
  <si>
    <t>ポリスチレンスルホン酸Ca経口ゼリー20%分包25g「三和」</t>
  </si>
  <si>
    <t>イソプロパノール消毒液70％ 「ヨシダ」</t>
  </si>
  <si>
    <t>ポビドンヨード外用液10％「ＶＴＲＳ」</t>
  </si>
  <si>
    <t>逆性石ｹﾝ液10％｢ﾖｼﾀﾞ｣</t>
  </si>
  <si>
    <t>アクアチムクリーム1%</t>
  </si>
  <si>
    <t>ゲーベンクリーム１％　　　　　　　　　　</t>
  </si>
  <si>
    <t>アズノール軟膏0.033%</t>
  </si>
  <si>
    <t>アドフィードパップ40ｍｇ</t>
  </si>
  <si>
    <t>アルメタ軟膏</t>
  </si>
  <si>
    <t>インテバン外用液１％　　　　　　　　　</t>
  </si>
  <si>
    <t>インテバン軟膏１％　　　　　　　　　　　　</t>
  </si>
  <si>
    <t>オイラックスクリーム10%</t>
  </si>
  <si>
    <t>ケトプロフェンパップ30ｍｇ 「三和」　　10ｘ14ｃｍ</t>
  </si>
  <si>
    <t>ｿﾌﾗﾁｭ-ﾙ貼付剤10ｃｍx10cm</t>
  </si>
  <si>
    <t>テクスメテン ユニバーサル クリーム0.1%</t>
  </si>
  <si>
    <t>デルモゾールG軟膏</t>
  </si>
  <si>
    <t>デルモベート軟膏0.05%</t>
  </si>
  <si>
    <t>ベタメタゾン吉草酸エステルﾛ-ｼｮﾝ0.12％「イワキ」</t>
  </si>
  <si>
    <t>ボアラ軟膏0.12％</t>
  </si>
  <si>
    <t>マイザー軟膏0.05％</t>
  </si>
  <si>
    <t>リドメックスコーワ軟膏0.3％</t>
  </si>
  <si>
    <t>リンデロン-V ｸﾘ-ﾑ0.12%</t>
  </si>
  <si>
    <t>レスタミンコーワクリーム1％</t>
  </si>
  <si>
    <t>ロキソプロフェンNaテープ100ｍｇ「科研」</t>
  </si>
  <si>
    <t>ロコイド軟膏0.1％</t>
  </si>
  <si>
    <t>テルビナフィン塩酸塩クリーム 1%「イワキ」</t>
  </si>
  <si>
    <t>テルビナフィン塩酸塩外用液1%「F」　採用中止</t>
  </si>
  <si>
    <t>ニゾラールクリーム２％　　　　　　　　　</t>
  </si>
  <si>
    <t>ニゾラールローション２％</t>
  </si>
  <si>
    <t>ウレパールクリーム10％</t>
  </si>
  <si>
    <t>ヒルドイドソフト軟膏 0.3％</t>
  </si>
  <si>
    <t>尿素クリーム10％「日医工」</t>
  </si>
  <si>
    <t>オキサロール軟膏25μｇ/
0.0025％</t>
  </si>
  <si>
    <t>ゲンタマイシン硫酸塩軟膏0.1%「イワキ」</t>
  </si>
  <si>
    <t>スクロードパスタ</t>
  </si>
  <si>
    <t>プロスタンディン軟膏0.003％</t>
  </si>
  <si>
    <t>アルファカルシドールカプセル0.5μｇ「フソー」</t>
  </si>
  <si>
    <t>パントール注射液500MG</t>
  </si>
  <si>
    <t>パントシン散20％</t>
  </si>
  <si>
    <t>パントシン錠200</t>
  </si>
  <si>
    <t>フォリアミン錠５ｍｇ</t>
  </si>
  <si>
    <t>アスコルビン酸注射液500ｍｇ「トーワ」</t>
  </si>
  <si>
    <t>メコバラミン錠５００「トーワ」</t>
  </si>
  <si>
    <t>シーピー配合顆粒</t>
  </si>
  <si>
    <t>ダイビタミックス注</t>
  </si>
  <si>
    <t>ノイロビタン配合錠</t>
  </si>
  <si>
    <t>アスパラ-CA錠200</t>
  </si>
  <si>
    <t>デノタスチュアブル配合錠</t>
  </si>
  <si>
    <t>アスパラカリウム散50％</t>
  </si>
  <si>
    <t>アスパラカリウム錠300ｍｇ</t>
  </si>
  <si>
    <t>アスパラギン酸カリウム注　10MEQｷｯﾄ「テルモ」</t>
  </si>
  <si>
    <t>アセレンド注100μｇ</t>
  </si>
  <si>
    <t>フェジン静注40ｍｇ</t>
  </si>
  <si>
    <t>フェロミア錠50ｍｇ</t>
  </si>
  <si>
    <t>フェロミア顆粒８．３％</t>
  </si>
  <si>
    <t>塩化カリウム</t>
  </si>
  <si>
    <t>塩化ナトリウム</t>
  </si>
  <si>
    <t>ブドウ糖注５％ＰＬ「フソー」　　　　　　</t>
  </si>
  <si>
    <t>ブドウ糖注５％ＰＬ「フソー」20ｍｌ</t>
  </si>
  <si>
    <t>ブドウ糖注５０％ＰＬ「フソー」　　</t>
  </si>
  <si>
    <t>大塚糖液５％　　　　　　　　　　　　　</t>
  </si>
  <si>
    <t>アミノレバンEN配合散　　　　　コーヒー味</t>
  </si>
  <si>
    <t>アミノレバン点滴静注</t>
  </si>
  <si>
    <t>パレプラス輸液</t>
  </si>
  <si>
    <t>ラコールNF配合経腸液（コーヒー）</t>
  </si>
  <si>
    <t>ラコールNF配合経腸液（ミルク）</t>
  </si>
  <si>
    <t>ラコールNF配合経腸用半固形剤</t>
  </si>
  <si>
    <t>ワンパル2号輸液（1）</t>
  </si>
  <si>
    <t>ワンパル2号輸液1200ｍｌ</t>
  </si>
  <si>
    <t>アクチット輸液　　　　　　　　　　　　　　</t>
  </si>
  <si>
    <t>ソルデム-１輸液　200ｍｌ</t>
  </si>
  <si>
    <t>ソルデム１輸液　500ｍｌ</t>
  </si>
  <si>
    <t>トリフリード輸液</t>
  </si>
  <si>
    <t>ポタコールR輸液　250ｍｌ</t>
  </si>
  <si>
    <t>ポタコールR輸液　500ｍｌ</t>
  </si>
  <si>
    <t>生食注シリンジ「ｵｰﾂｶ」10ｍｌ</t>
  </si>
  <si>
    <t>生食溶解液キットH（１）</t>
  </si>
  <si>
    <t>生理食塩液「ＶＴＲＳ」100ｍｌ</t>
  </si>
  <si>
    <t>生理食塩液「VTRS」20ｍｌ　　　　　　　　　　　　　</t>
  </si>
  <si>
    <t>大塚生食注　　　　　　　　　　　　　　　</t>
  </si>
  <si>
    <t>アドナ散10％</t>
  </si>
  <si>
    <t>アドナ錠30ｍｇ</t>
  </si>
  <si>
    <t>アドナ注（静脈用）５０ｍｇ　　　　　　　</t>
  </si>
  <si>
    <t>トランサミンカプセル250ｍｇ　　　　　　　　</t>
  </si>
  <si>
    <t>トランサミン注５％　　　　　　　　　　</t>
  </si>
  <si>
    <t>イグザレルトOD錠10ｍｇ</t>
  </si>
  <si>
    <t>イグザレルト錠10ｍｇ</t>
  </si>
  <si>
    <t>エリキュース錠2.5ｍｇ</t>
  </si>
  <si>
    <t>ヘパリンＮＡロック用10単位/ｍｌ「オーツカ」　100単位</t>
  </si>
  <si>
    <t>ヘパリンＮａ注5千単位/5ｍｌ「モチダ」</t>
  </si>
  <si>
    <t>ヘパリン類似物質外用スプレー0.3％「サトウ」</t>
  </si>
  <si>
    <t>ヘパリン類似物質外用泡状スプレー0.3％「日本臓器」</t>
  </si>
  <si>
    <t>ヘパリン類似物質油性クリーム0.3％「ニチイコウ」</t>
  </si>
  <si>
    <t>リクシアナOD錠30ｍｇ</t>
  </si>
  <si>
    <t>リバーロキサバンＯＤ錠10ｍｇ「トーワ」</t>
  </si>
  <si>
    <t>ワーファリン錠１ｍｇ</t>
  </si>
  <si>
    <t>イコサペント酸エチルカプセル　３００ｍｇ「日医工」</t>
  </si>
  <si>
    <t>エフィエント錠2.5ｍｇ</t>
  </si>
  <si>
    <t>クロピドグレル錠25ｍｇ「トーワ」</t>
  </si>
  <si>
    <t>クロピドグレル錠75ｍｇ「トーワ」</t>
  </si>
  <si>
    <t>シロスタゾールOD錠100ｍｇ「トーワ」</t>
  </si>
  <si>
    <t>バッサミン配合錠A81</t>
  </si>
  <si>
    <t>リマプロストアルファデクス錠5μｇ「サワイ」</t>
  </si>
  <si>
    <t>グリチロン配合錠</t>
  </si>
  <si>
    <t>タチオン錠50ｍｇ</t>
  </si>
  <si>
    <t>ノベルジン錠25ｍｇ</t>
  </si>
  <si>
    <t>メイロン静注7％　ﾌﾟﾗｱﾝﾌﾟﾙ</t>
  </si>
  <si>
    <t>ロイコボリン注3ｍｇ</t>
  </si>
  <si>
    <t>ｼｱﾅﾏｲﾄﾞ内用液１％「ﾀﾅﾍﾞ」</t>
  </si>
  <si>
    <t>アロプリノール錠100mg｢ｻﾜｲ」</t>
  </si>
  <si>
    <t>トピロリック錠40ｍｇ</t>
  </si>
  <si>
    <t>フェブキソスタット錠１０ｍｇ「ＡＦＰ」</t>
  </si>
  <si>
    <t>グラクティブ錠50ｍｇ</t>
  </si>
  <si>
    <t>グリメピリドOD錠1ｍｇ「トーワ」</t>
  </si>
  <si>
    <t>トラゼンタ錠5ｍｇ</t>
  </si>
  <si>
    <t>ピオグリダゾンOD錠15ｍｇ「ﾄｰﾜ」</t>
  </si>
  <si>
    <t>フォシーガ錠５ｍｇ</t>
  </si>
  <si>
    <t>ボグリボーズＯＤ錠0.2ｍｇ　「トーワ」</t>
  </si>
  <si>
    <t>ミチグリニドCa・OD錠10ｍｇ「三和」</t>
  </si>
  <si>
    <t>メトホルミン塩酸塩錠250ｍｇMT「DSPB」</t>
  </si>
  <si>
    <t>イバンドロン酸静注1ｍｇシリンジ「トーワ」</t>
  </si>
  <si>
    <t>イベニティ皮下注105ｍｇシリンジ</t>
  </si>
  <si>
    <t>エビスタ錠60ｍｇ</t>
  </si>
  <si>
    <t>カモスタットメシル酸塩錠100ｍｇ｢ｻﾜｲ｣</t>
  </si>
  <si>
    <t>グリセオール注</t>
  </si>
  <si>
    <t>シクロスポリンカプセル50ｍｇ「ﾄｰﾜ」</t>
  </si>
  <si>
    <t>ダーブロック錠2ｍｇ</t>
  </si>
  <si>
    <t>タクロリムスカプセル1ｍｇ「ニプロ」</t>
  </si>
  <si>
    <t>ダルベポエチン　アルファBS注30μgシリンジ「三和」</t>
  </si>
  <si>
    <t>プラリア皮下注60ｍｇシリンジ</t>
  </si>
  <si>
    <t>ミノドロン酸錠50ｍｇ「JG」</t>
  </si>
  <si>
    <t>メトトレキサート錠2ｍｇ「あゆみ」</t>
  </si>
  <si>
    <t>メルカゾール錠５ｍｇ</t>
  </si>
  <si>
    <t>レボカルニチンFF錠250ｍｇ「アメル」</t>
  </si>
  <si>
    <t>レボレード錠12.5ｍｇ</t>
  </si>
  <si>
    <t>アナストロゾール錠1ｍｇ「ＮＫ」</t>
  </si>
  <si>
    <t>ビカルタミド錠80ｍｇ「ＶＴＲＳ」</t>
  </si>
  <si>
    <t>レトロゾール錠2.5ｍｇ「サワイ」</t>
  </si>
  <si>
    <t>ヒベルナ注25ｍｇ</t>
  </si>
  <si>
    <t>ヒベルナ糖衣錠２５ｍｇ</t>
  </si>
  <si>
    <t>ポララミン注5ｍｇ</t>
  </si>
  <si>
    <t>リマチル錠100ｍｇ</t>
  </si>
  <si>
    <t>エバスチンOD錠5ｍｇ「杏林」</t>
  </si>
  <si>
    <t>エバステル錠５ｍｇ</t>
  </si>
  <si>
    <t>エピナスチン塩酸塩錠20ｍｇ「トーワ」</t>
  </si>
  <si>
    <t>オロパタジン塩酸塩OD錠5ｍｇ「トーワ」</t>
  </si>
  <si>
    <t>クラリチン錠10ｍｇ</t>
  </si>
  <si>
    <t>ビラノアOD錠20ｍｇ</t>
  </si>
  <si>
    <t>サワシリン錠２５０</t>
  </si>
  <si>
    <t>セフトリアキソンNa静注1G「ﾆﾁｲｺｳ」</t>
  </si>
  <si>
    <t>ハベカシン注射液75ｍｇ</t>
  </si>
  <si>
    <t>バンコマイシン塩酸塩点滴静注用0.5ｇ「ＶＴＲＳ」</t>
  </si>
  <si>
    <t>ペントシリン注射用１ｇ　　　　　　　　　</t>
  </si>
  <si>
    <t>オーグメンチン配合錠250ＲＳ（375ｍｇ）</t>
  </si>
  <si>
    <t>ケフラールカプセル250ｍｇ</t>
  </si>
  <si>
    <t>ケフレックスカプセル250ｍｇ</t>
  </si>
  <si>
    <t>スルバシリン静注用1.5ｇ</t>
  </si>
  <si>
    <t>セフェピム塩酸塩静注用1ｇ「サンド」</t>
  </si>
  <si>
    <t>ゾシン静注用4.5</t>
  </si>
  <si>
    <t>チエナム点滴静注用0.5ｇ</t>
  </si>
  <si>
    <t>バナン錠100ｍｇ（第一三共）</t>
  </si>
  <si>
    <t>ホスホマイシンナトリウム静注用２ｇ「日医工」</t>
  </si>
  <si>
    <t>アジスロマイシン錠250ｍｇ「ﾄｰﾜ」</t>
  </si>
  <si>
    <t>エリスロシン錠200ｍｇ</t>
  </si>
  <si>
    <t>クラリシッド錠200ｍｇ</t>
  </si>
  <si>
    <t>ジェニナック錠200MG</t>
  </si>
  <si>
    <t>ビブラマイシン錠50ｍｇ</t>
  </si>
  <si>
    <t>ミノサイクリン塩酸塩点滴静注用100ｍｇ「日医工」</t>
  </si>
  <si>
    <t>リフキシマ錠200ｍｇ</t>
  </si>
  <si>
    <t>アザルフィジンＥＮ錠500ｍｇ</t>
  </si>
  <si>
    <t>トスキサシン錠150ｍｇ</t>
  </si>
  <si>
    <t>ラスビック点滴静注キット150ｍｇ</t>
  </si>
  <si>
    <t>レボフロキサシン細粒10％「DSEP」</t>
  </si>
  <si>
    <t>レボフロキサシン錠250ｍｇ「DSEP」</t>
  </si>
  <si>
    <t>レボフロキサシン点滴静注バッグ500ｍｇ「ＤＳＥＰ」</t>
  </si>
  <si>
    <t>アシクロビル点滴静注用250ｍｇ「サワイ」</t>
  </si>
  <si>
    <t>ゾフルーザ錠20ｍｇ</t>
  </si>
  <si>
    <t>パキロビットパック300</t>
  </si>
  <si>
    <t>パキロビットパック600</t>
  </si>
  <si>
    <t>バラシクロビル錠500ｍｇ「ＮＰ」</t>
  </si>
  <si>
    <t>ベクルリー点滴静注用100ｍｇ</t>
  </si>
  <si>
    <t>ラゲブリオカプセル200ｍｇ</t>
  </si>
  <si>
    <t>クレナフィン爪外用液10％3.56ｇ</t>
  </si>
  <si>
    <t>ダイフェン配合錠</t>
  </si>
  <si>
    <t>ビダラビン軟膏3%｢SW」</t>
  </si>
  <si>
    <t>アルブミナー25％静注12.5ｇ/50ｍｌ</t>
  </si>
  <si>
    <t>フラジール内服錠</t>
  </si>
  <si>
    <t>ストロメクトール錠3ｍｇ</t>
  </si>
  <si>
    <t>スミスリンローション5％</t>
  </si>
  <si>
    <t>乳糖水和物「ケンエー」粒状</t>
  </si>
  <si>
    <t>白色ワセリン「ケンエー」</t>
  </si>
  <si>
    <t>精製水「ケンエー」</t>
  </si>
  <si>
    <t>注射用水ＰＬ「フソー」20ｍｌ（スノープル）　　　　　　</t>
  </si>
  <si>
    <t>*在庫</t>
    <rPh sb="1" eb="3">
      <t>ザイコ</t>
    </rPh>
    <phoneticPr fontId="2"/>
  </si>
  <si>
    <t>黄連解毒湯　KB-15　3.0g/包</t>
    <rPh sb="0" eb="2">
      <t>オウレン</t>
    </rPh>
    <rPh sb="2" eb="4">
      <t>ゲドク</t>
    </rPh>
    <rPh sb="4" eb="5">
      <t>トウ</t>
    </rPh>
    <rPh sb="17" eb="18">
      <t>ホウ</t>
    </rPh>
    <phoneticPr fontId="2"/>
  </si>
  <si>
    <t>加味逍遥散KB-24　3.0g/包</t>
    <rPh sb="0" eb="2">
      <t>カミ</t>
    </rPh>
    <rPh sb="2" eb="4">
      <t>ショウヨウ</t>
    </rPh>
    <rPh sb="4" eb="5">
      <t>サン</t>
    </rPh>
    <rPh sb="16" eb="17">
      <t>ホウ</t>
    </rPh>
    <phoneticPr fontId="2"/>
  </si>
  <si>
    <t>小青龍湯EK-19　2.0g/包</t>
    <rPh sb="0" eb="4">
      <t>ショウセイリュウトウ</t>
    </rPh>
    <rPh sb="15" eb="16">
      <t>ホウ</t>
    </rPh>
    <phoneticPr fontId="2"/>
  </si>
  <si>
    <t>猪苓湯EK-40　2.0g/包</t>
    <rPh sb="0" eb="3">
      <t>チョレイトウ</t>
    </rPh>
    <rPh sb="14" eb="15">
      <t>ホウ</t>
    </rPh>
    <phoneticPr fontId="2"/>
  </si>
  <si>
    <t>葛根湯　ＥＫ－１　2.5g/包</t>
    <rPh sb="14" eb="15">
      <t>ホウ</t>
    </rPh>
    <phoneticPr fontId="3"/>
  </si>
  <si>
    <t>柴苓湯　ＥＫ－１１４　2.7g/包</t>
    <rPh sb="16" eb="17">
      <t>ホウ</t>
    </rPh>
    <phoneticPr fontId="3"/>
  </si>
  <si>
    <t>補中益気湯　ＫＢ－４１　3.75g/包</t>
    <rPh sb="18" eb="19">
      <t>ホウ</t>
    </rPh>
    <phoneticPr fontId="3"/>
  </si>
  <si>
    <t>*</t>
    <phoneticPr fontId="2"/>
  </si>
  <si>
    <t>*</t>
    <phoneticPr fontId="2"/>
  </si>
  <si>
    <t>*</t>
    <phoneticPr fontId="2"/>
  </si>
  <si>
    <t>*</t>
    <phoneticPr fontId="2"/>
  </si>
  <si>
    <t xml:space="preserve"> </t>
    <phoneticPr fontId="2"/>
  </si>
  <si>
    <t>1000錠以上</t>
    <rPh sb="4" eb="5">
      <t>ジョウ</t>
    </rPh>
    <rPh sb="5" eb="7">
      <t>イジョウ</t>
    </rPh>
    <phoneticPr fontId="2"/>
  </si>
  <si>
    <t>10万円以上</t>
    <rPh sb="2" eb="4">
      <t>マンエン</t>
    </rPh>
    <rPh sb="4" eb="6">
      <t>イジョウ</t>
    </rPh>
    <phoneticPr fontId="2"/>
  </si>
  <si>
    <t>ゾニサミド錠100MG</t>
    <phoneticPr fontId="3"/>
  </si>
  <si>
    <t>F-C</t>
    <phoneticPr fontId="2"/>
  </si>
  <si>
    <t>注射剤</t>
  </si>
  <si>
    <t>ﾜﾝﾊﾟﾙ1ｺﾞｳﾕｴｷ</t>
  </si>
  <si>
    <t>ワンパル１号輸液</t>
  </si>
  <si>
    <t>ﾜﾝﾊﾟﾙ2ｺﾞｳﾕｴｷ</t>
  </si>
  <si>
    <t>ワンパル２号輸液</t>
  </si>
  <si>
    <t>ワンパル２号輸液1200</t>
  </si>
  <si>
    <t>錠剤</t>
  </si>
  <si>
    <t>ﾜｰﾌｧﾘﾝｼﾞｮｳ1mg</t>
  </si>
  <si>
    <t>ﾜｿﾗﾝｼﾞｮｳ40mg</t>
  </si>
  <si>
    <t>ワソラン錠４０ｍｇ</t>
  </si>
  <si>
    <t>ﾜｿﾗﾝｼﾞｮｳﾁｭｳ5mg</t>
  </si>
  <si>
    <t>ワソラン静注５ｍｇ</t>
  </si>
  <si>
    <t>ﾜｺﾞｽﾁｸﾞﾐﾝﾁｭｳ0.5mg</t>
  </si>
  <si>
    <t>ワゴスチグミン注０．５ｍｇ</t>
  </si>
  <si>
    <t>ﾛﾗﾒｯﾄｼﾞｮｳ1.0</t>
  </si>
  <si>
    <t>ロラメット錠１．０</t>
  </si>
  <si>
    <t>ﾛﾗｾﾞﾊﾟﾑｼﾞｮｳ0.5mg｢ｻﾜｲ｣</t>
  </si>
  <si>
    <t>ロラゼパム錠０．５ｍｇ「サワイ」</t>
  </si>
  <si>
    <t>カプセル</t>
  </si>
  <si>
    <t>ﾛﾍﾟﾐﾝｶﾌﾟｾﾙ1mg</t>
  </si>
  <si>
    <t>ﾛﾌﾗｾﾞﾌﾟｻﾝｴﾁﾙｼﾞｮｳ1mg｢SN｣</t>
  </si>
  <si>
    <t>ロフラゼプ酸エチル錠１ｍｇ「ＳＮ」</t>
  </si>
  <si>
    <t>ﾛﾋﾟﾆﾛｰﾙｼﾞｮﾎｳｼﾞｮｳ2mg｢ｻﾜｲ｣</t>
  </si>
  <si>
    <t>ロピニロール徐放錠２ｍｇ「サワイ」</t>
  </si>
  <si>
    <t>貼付剤</t>
  </si>
  <si>
    <t>ﾛﾅｾﾝﾃｰﾌﾟ40mg</t>
  </si>
  <si>
    <t>ロナセンテープ４０ｍｇ</t>
  </si>
  <si>
    <t>ﾛﾅｾﾝﾃｰﾌﾟ20mg</t>
  </si>
  <si>
    <t>ロナセンテープ２０ｍｇ</t>
  </si>
  <si>
    <t>散</t>
  </si>
  <si>
    <t>ﾛﾄﾞﾋﾟﾝｻｲﾘｭｳ50%</t>
  </si>
  <si>
    <t>ロドピン細粒５０％</t>
  </si>
  <si>
    <t>ﾛﾄﾞﾋﾟﾝｼﾞｮｳ50mg</t>
  </si>
  <si>
    <t>ロドピン錠５０ｍｇ</t>
  </si>
  <si>
    <t>ﾛﾄﾞﾋﾟﾝｼﾞｮｳ25mg</t>
  </si>
  <si>
    <t>ロドピン錠２５ｍｇ</t>
  </si>
  <si>
    <t>ﾛｰﾄｴｷｽｻﾝ</t>
  </si>
  <si>
    <t>ロートエキス散</t>
  </si>
  <si>
    <t>ﾛｾﾞﾚﾑｼﾞｮｳ8mg</t>
  </si>
  <si>
    <t>ロゼレム錠８ｍｇ</t>
  </si>
  <si>
    <t>ﾛｽﾊﾞｽﾀﾁﾝｼﾞﾖｳ2.5MGﾄ-ﾜ</t>
  </si>
  <si>
    <t>ロスバスタチン錠２．５ｍｇ「トーワ」</t>
  </si>
  <si>
    <t>ﾛｽﾊﾞｽﾀﾁﾝｼﾞｮｳ2.5mg｢ﾆﾌﾟﾛ｣</t>
  </si>
  <si>
    <t>ロスバスタチン錠２．５ｍｇ「ニプロ」</t>
  </si>
  <si>
    <t>軟膏</t>
  </si>
  <si>
    <t>ﾛｺｲﾄﾞﾅﾝｺｳ0.1%</t>
  </si>
  <si>
    <t>ロコイド軟膏０．１％</t>
  </si>
  <si>
    <t>ﾛｹﾙﾏｹﾝﾀﾞｸﾖｳｻﾝﾌﾞﾝﾎﾟｳ5G</t>
  </si>
  <si>
    <t>ロケルマ懸濁用散分包５ｇ</t>
  </si>
  <si>
    <t>ﾛｷｿﾌﾟﾛﾌｴﾝNAﾃ-ﾌﾟ100MGDSEP</t>
  </si>
  <si>
    <t>ロキソプロフェンＮａテープ１００ｍｇ「ＤＳＥＰ」</t>
  </si>
  <si>
    <t>ﾛｷｿﾌﾟﾛﾌｴﾝNAﾃ-ﾌﾟ100MGｶｹﾝ</t>
  </si>
  <si>
    <t>ロキソプロフェンＮａテープ１００ｍｇ「科研」</t>
  </si>
  <si>
    <t>ﾛｷｿﾌﾟﾛﾌｪﾝNaﾃｰﾌﾟ100mg｢ｻﾝﾜ｣</t>
  </si>
  <si>
    <t>ロキソプロフェンＮａテープ１００ｍｇ「三和」</t>
  </si>
  <si>
    <t>ﾛｷｿﾆﾝｻｲﾘｭｳ10%</t>
  </si>
  <si>
    <t>ロキソニン細粒１０％</t>
  </si>
  <si>
    <t>ﾛｷｿﾌﾟﾛﾌｪﾝﾅﾄﾘｳﾑｼﾞｮｳ60mg｢ﾆﾁｲｺｳ｣</t>
  </si>
  <si>
    <t>ロキソプロフェンナトリウム錠６０ｍｇ「日医工」</t>
  </si>
  <si>
    <t>吸入剤</t>
  </si>
  <si>
    <t>ﾚﾙﾍﾞｱ100ｴﾘﾌﾟﾀ30ｷｭｳﾆｭｳﾖｳ</t>
  </si>
  <si>
    <t>レルベア１００エリプタ３０吸入用</t>
  </si>
  <si>
    <t>ﾚﾙﾍﾞｱ200ｴﾘﾌﾟﾀ30ｷｭｳﾆｭｳﾖｳ</t>
  </si>
  <si>
    <t>レルベア２００エリプタ３０吸入用</t>
  </si>
  <si>
    <t>ﾚﾙﾊﾟｯｸｽｼﾞｮｳ20mg</t>
  </si>
  <si>
    <t>レルパックス錠２０ｍｇ</t>
  </si>
  <si>
    <t>ﾚﾎﾞﾚｰﾄﾞｼﾞｮｳ12.5mg</t>
  </si>
  <si>
    <t>レボレード錠１２．５ｍｇ</t>
  </si>
  <si>
    <t>点眼剤</t>
  </si>
  <si>
    <t>ﾚﾎﾞﾌﾛｷｻｼﾝﾃﾝｶﾞﾝｴｷ1.5%ﾆﾂﾄ-</t>
  </si>
  <si>
    <t>レボフロキサシン点眼液１．５％「ニットー」</t>
  </si>
  <si>
    <t>ﾚﾎﾞﾌﾛｷｻｼﾝﾃﾝﾃｷｼﾞﾖｳﾁﾕｳﾊﾞﾂｸﾞ500MG/100MLDSEP</t>
  </si>
  <si>
    <t>レボフロキサシン点滴静注バッグ５００ｍｇ／１００ｍＬ「ＤＳＥＰ」</t>
  </si>
  <si>
    <t>ﾚﾎﾞﾌﾛｷｻｼﾝｼﾞｮｳ250mg｢DSEP｣</t>
  </si>
  <si>
    <t>レボフロキサシン錠２５０ｍｇ「ＤＳＥＰ」</t>
  </si>
  <si>
    <t>ﾚﾎﾞﾌﾛｷｻｼﾝｻｲﾘｭｳ10%｢DSEP｣</t>
  </si>
  <si>
    <t>レボフロキサシン細粒１０％「ＤＳＥＰ」</t>
  </si>
  <si>
    <t>ﾚﾎﾞﾄﾐﾝｷﾝﾁｭｳ25mg</t>
  </si>
  <si>
    <t>レボトミン筋注２５ｍｇ</t>
  </si>
  <si>
    <t>ﾚﾎﾞﾄﾐﾝｶﾘｭｳ10%</t>
  </si>
  <si>
    <t>ﾚﾎﾞﾄﾐﾝｼﾞｮｳ50mg</t>
  </si>
  <si>
    <t>レボトミン錠５０ｍｇ</t>
  </si>
  <si>
    <t>ﾚﾎﾞﾄﾐﾝｼﾞｮｳ25mg</t>
  </si>
  <si>
    <t>レボトミン錠２５ｍｇ</t>
  </si>
  <si>
    <t>ﾚﾎﾞﾄﾐﾝｼﾞｮｳ5mg</t>
  </si>
  <si>
    <t>レボトミン錠５ｍｇ</t>
  </si>
  <si>
    <t>ﾚﾎﾞｶﾙﾆﾁﾝFFｼﾞﾖｳ250MGｱﾒﾙ</t>
  </si>
  <si>
    <t>レボカルニチンＦＦ錠２５０ｍｇ「アメル」</t>
  </si>
  <si>
    <t>ﾚﾍﾞﾁﾗｾﾀﾑDS50%ﾄ-ﾜ</t>
  </si>
  <si>
    <t>レベチラセタムＤＳ５０％「トーワ」</t>
  </si>
  <si>
    <t>ﾚﾍﾞﾁﾗｾﾀﾑｼﾞﾖｳ250MGﾄ-ﾜ</t>
  </si>
  <si>
    <t>レベチラセタム錠２５０ｍｇ「トーワ」</t>
  </si>
  <si>
    <t>ﾚﾍﾞﾁﾗｾﾀﾑﾃﾝﾃｷｼﾞｮｳﾁｭｳ500mg｢ﾒｲｼﾞ｣</t>
  </si>
  <si>
    <t>レベチラセタム点滴静注５００ｍｇ「明治」</t>
  </si>
  <si>
    <t>ﾚﾍﾞﾁﾗｾﾀﾑﾄﾞﾗｲｼﾛｯﾌﾟ50%｢ﾒｲｼﾞ｣</t>
  </si>
  <si>
    <t>レベチラセタムドライシロップ５０％「明治」</t>
  </si>
  <si>
    <t>ﾚﾍﾞﾁﾗｾﾀﾑｼﾞｮｳ250mg｢ﾒｲｼﾞ｣</t>
  </si>
  <si>
    <t>レベチラセタム錠２５０ｍｇ「明治」</t>
  </si>
  <si>
    <t>坐剤</t>
  </si>
  <si>
    <t>ﾚﾍﾟﾀﾝｻﾞｻﾞｲ0.2mg</t>
  </si>
  <si>
    <t>レペタン坐剤０．２ｍｇ</t>
  </si>
  <si>
    <t>ﾚﾊﾞﾐﾋﾟﾄﾞｼﾞﾖｳ100MGｵ-ﾂｶ</t>
  </si>
  <si>
    <t>レバミピド錠１００ｍｇ「オーツカ」</t>
  </si>
  <si>
    <t>ﾚﾄﾛｿﾞ-ﾙｼﾞﾖｳ2.5MGｻﾜｲ</t>
  </si>
  <si>
    <t>レトロゾール錠２．５ｍｇ「サワイ」</t>
  </si>
  <si>
    <t>ﾚｽﾌﾟﾚﾝｼﾞｮｳ20mg</t>
  </si>
  <si>
    <t>レスプレン錠２０ｍｇ</t>
  </si>
  <si>
    <t>クリーム</t>
  </si>
  <si>
    <t>ﾚｽﾀﾐﾝｺ-ﾜｸﾘ-ﾑ1%</t>
  </si>
  <si>
    <t>レスタミンコーワクリーム１％</t>
  </si>
  <si>
    <t>ﾚｸﾞﾃｸﾄｼﾞｮｳ333mg</t>
  </si>
  <si>
    <t>レグテクト錠３３３ｍｇ</t>
  </si>
  <si>
    <t>ﾚｸﾁｿﾞｰﾙｼﾞｮｳ25mg</t>
  </si>
  <si>
    <t>レクチゾール錠２５ｍｇ</t>
  </si>
  <si>
    <t>ﾚｷｿﾀﾝｼﾞｮｳ5</t>
  </si>
  <si>
    <t>ﾚｷｿﾀﾝｼﾞｮｳ2</t>
  </si>
  <si>
    <t>ﾚｷｻﾙﾃｲODｼﾞﾖｳ0.5MG</t>
  </si>
  <si>
    <t>レキサルティＯＤ錠０．５ｍｇ</t>
  </si>
  <si>
    <t>ﾚｷｻﾙﾃｨODｼﾞｮｳ2mg</t>
  </si>
  <si>
    <t>レキサルティＯＤ錠２ｍｇ</t>
  </si>
  <si>
    <t>ﾚｷｻﾙﾃｨODｼﾞｮｳ1mg</t>
  </si>
  <si>
    <t>レキサルティＯＤ錠１ｍｇ</t>
  </si>
  <si>
    <t>ﾙｰﾗﾝｼﾞｮｳ8mg</t>
  </si>
  <si>
    <t>ﾙｰﾗﾝｼﾞｮｳ4mg</t>
  </si>
  <si>
    <t>ﾙﾎﾞｯｸｽｼﾞｮｳ25</t>
  </si>
  <si>
    <t>ルボックス錠２５</t>
  </si>
  <si>
    <t>ﾙﾌﾟﾗｯｸｼﾞｮｳ4mg</t>
  </si>
  <si>
    <t>ルプラック錠４ｍｇ</t>
  </si>
  <si>
    <t>ﾙｼﾞｵﾐｰﾙｼﾞｮｳ25mg</t>
  </si>
  <si>
    <t>ルジオミール錠２５ｍｇ</t>
  </si>
  <si>
    <t>ﾘﾝﾃﾞﾛﾝｹﾝﾀﾞｸﾁﾕｳ</t>
  </si>
  <si>
    <t>リンデロン懸濁注</t>
  </si>
  <si>
    <t>ﾘﾝﾃﾞﾛﾝ-Vﾅﾝｺｳ0.12%</t>
  </si>
  <si>
    <t>リンデロン－Ｖ軟膏０．１２％</t>
  </si>
  <si>
    <t>ﾘﾝﾃﾞﾛﾝ-Vｸﾘｰﾑ0.12%</t>
  </si>
  <si>
    <t>リンデロン－Ｖクリーム０．１２％</t>
  </si>
  <si>
    <t>ｶﾞﾝ･ｼﾞｶﾖｳﾘﾝﾃﾞﾛﾝAﾅﾝｺｳ</t>
  </si>
  <si>
    <t>眼・耳科用リンデロンＡ軟膏</t>
  </si>
  <si>
    <t>外用液剤</t>
  </si>
  <si>
    <t>ﾘﾝﾃﾞﾛﾝﾃﾝｶﾞﾝ･ﾃﾝｼﾞ･ﾃﾝﾋﾞｴｷ0.1%</t>
  </si>
  <si>
    <t>リンデロン点眼・点耳・点鼻液０．１％</t>
  </si>
  <si>
    <t>ﾘﾝｾﾞｽｼﾞｮｳ0.25mg</t>
  </si>
  <si>
    <t>リンゼス錠０．２５ｍｇ</t>
  </si>
  <si>
    <t>ﾘﾙｿﾞ-ﾙｼﾞﾖｳ50MGﾆﾌﾟﾛ</t>
  </si>
  <si>
    <t>リルゾール錠５０ｍｇ「ニプロ」</t>
  </si>
  <si>
    <t>ﾘｭｰﾌﾟﾛﾚﾘﾝｻｸｻﾝｴﾝﾁｭｳｼｬﾖｳｷｯﾄ3.75mg｢ｱｽｶ｣</t>
  </si>
  <si>
    <t>リュープロレリン酢酸塩注射用キット３．７５ｍｇ「あすか」</t>
  </si>
  <si>
    <t>ﾘｭｳｻﾝｽﾄﾚﾌﾟﾄﾏｲｼﾝﾁｭｳｼｬﾖｳ1g｢ﾒｲｼﾞ｣</t>
  </si>
  <si>
    <t>硫酸ストレプトマイシン注射用１ｇ「明治」</t>
  </si>
  <si>
    <t>ﾘﾏﾌﾟﾛｽﾄｱﾙﾌｧﾃﾞｸｽｼﾞｮｳ5μg｢ｻﾜｲ｣</t>
  </si>
  <si>
    <t>リマプロストアルファデクス錠５μｇ「サワイ」</t>
  </si>
  <si>
    <t>ﾘﾏﾁﾙｼﾞﾖｳ100MG</t>
  </si>
  <si>
    <t>リマチル錠１００ｍｇ</t>
  </si>
  <si>
    <t>ﾘﾎﾞﾄﾘｰﾙｼﾞｮｳ1mg</t>
  </si>
  <si>
    <t>リボトリール錠１ｍｇ</t>
  </si>
  <si>
    <t>ﾘﾎﾞﾄﾘｰﾙｼﾞｮｳ0.5mg</t>
  </si>
  <si>
    <t>リボトリール錠０．５ｍｇ</t>
  </si>
  <si>
    <t>ﾘﾌﾟﾙ</t>
  </si>
  <si>
    <t>リプル</t>
  </si>
  <si>
    <t>ﾘﾌｷｼﾏｼﾞﾖｳ200MG</t>
  </si>
  <si>
    <t>リフキシマ錠２００ｍｇ</t>
  </si>
  <si>
    <t>ﾘﾌｧﾝﾋﾟｼﾝｶﾌﾟｾﾙ150mg｢ｻﾝﾄﾞ｣</t>
  </si>
  <si>
    <t>リファンピシンカプセル１５０ｍｇ「サンド」</t>
  </si>
  <si>
    <t>ﾘﾊﾞ-ﾛｷｻﾊﾞﾝODｼﾞﾖｳ10MGﾊﾞｲｴﾙ</t>
  </si>
  <si>
    <t>リバーロキサバンＯＤ錠１０ｍｇ「バイエル」</t>
  </si>
  <si>
    <t>ﾘﾊﾞ-ﾛｷｻﾊﾞﾝODｼﾞﾖｳ10MGﾄ-ﾜ</t>
  </si>
  <si>
    <t>リバーロキサバンＯＤ錠１０ｍｇ「トーワ」</t>
  </si>
  <si>
    <t>ﾘﾊﾞｽﾁｸﾞﾐﾝﾃ-ﾌﾟ18MGﾄ-ﾜ</t>
  </si>
  <si>
    <t>リバスチグミンテープ１８ｍｇ「トーワ」</t>
  </si>
  <si>
    <t>ﾘﾊﾞｽﾁｸﾞﾐﾝﾃ-ﾌﾟ13.5MGﾄ-ﾜ</t>
  </si>
  <si>
    <t>リバスチグミンテープ１３．５ｍｇ「トーワ」</t>
  </si>
  <si>
    <t>ﾘﾊﾞｽﾁｸﾞﾐﾝﾃ-ﾌﾟ9MGﾄ-ﾜ</t>
  </si>
  <si>
    <t>リバスチグミンテープ９ｍｇ「トーワ」</t>
  </si>
  <si>
    <t>ﾘﾊﾞｽﾁｸﾞﾐﾝﾃ-ﾌﾟ4.5MGﾄ-ﾜ</t>
  </si>
  <si>
    <t>リバスチグミンテープ４．５ｍｇ「トーワ」</t>
  </si>
  <si>
    <t>ﾘﾊﾞｽﾁｸﾞﾐﾝﾃｰﾌﾟ18mg｢ﾆﾌﾟﾛ｣</t>
  </si>
  <si>
    <t>リバスチグミンテープ１８ｍｇ「ニプロ」</t>
  </si>
  <si>
    <t>ﾘﾊﾞｽﾁｸﾞﾐﾝﾃｰﾌﾟ13.5mg｢ﾆﾌﾟﾛ｣</t>
  </si>
  <si>
    <t>リバスチグミンテープ１３．５ｍｇ「ニプロ」</t>
  </si>
  <si>
    <t>ﾘﾊﾞｽﾁｸﾞﾐﾝﾃｰﾌﾟ9mg｢ﾆﾌﾟﾛ｣</t>
  </si>
  <si>
    <t>リバスチグミンテープ９ｍｇ「ニプロ」</t>
  </si>
  <si>
    <t>ﾘﾊﾞｽﾁｸﾞﾐﾝﾃｰﾌﾟ4.5mg｢ﾆﾌﾟﾛ｣</t>
  </si>
  <si>
    <t>リバスチグミンテープ４．５ｍｇ「ニプロ」</t>
  </si>
  <si>
    <t>ﾘﾊﾟｸﾚｵﾝｶﾌﾟｾﾙ150mg</t>
  </si>
  <si>
    <t>リパクレオンカプセル１５０ｍｇ</t>
  </si>
  <si>
    <t>ﾘﾄﾞﾒﾂｸｽｺ-ﾜﾅﾝｺｳ0.3%</t>
  </si>
  <si>
    <t>リドメックスコーワ軟膏０．３％</t>
  </si>
  <si>
    <t>ﾘｰｾﾞｼﾞｮｳ5mg</t>
  </si>
  <si>
    <t>ﾘｽﾐｰｼﾞｮｳ2mg</t>
  </si>
  <si>
    <t>リスミー錠２ｍｇ</t>
  </si>
  <si>
    <t>ﾘｽﾍﾟﾘﾄﾞﾝODｼﾞﾖｳ3MGｱﾒﾙ</t>
  </si>
  <si>
    <t>リスペリドンＯＤ錠３ｍｇ「アメル」</t>
  </si>
  <si>
    <t>ﾘｽﾍﾟﾘﾄﾞﾝODｼﾞﾖｳ2MGｱﾒﾙ</t>
  </si>
  <si>
    <t>リスペリドンＯＤ錠２ｍｇ「アメル」</t>
  </si>
  <si>
    <t>ﾘｽﾍﾟﾘﾄﾞﾝODｼﾞﾖｳ1MGｱﾒﾙ</t>
  </si>
  <si>
    <t>リスペリドンＯＤ錠１ｍｇ「アメル」</t>
  </si>
  <si>
    <t>ﾘｽﾍﾟﾘﾄﾞﾝODｼﾞﾖｳ0.5MGｱﾒﾙ</t>
  </si>
  <si>
    <t>リスペリドンＯＤ錠０．５ｍｇ「アメル」</t>
  </si>
  <si>
    <t>ﾘｽﾍﾟﾘﾄﾞﾝｻｲﾘｭｳ1%｢ｱﾒﾙ｣</t>
  </si>
  <si>
    <t>リスペリドン細粒１％「アメル」</t>
  </si>
  <si>
    <t>ﾘｽﾍﾟﾘﾄﾞﾝｼﾞｮｳ3mg｢ｱﾒﾙ｣</t>
  </si>
  <si>
    <t>リスペリドン錠３ｍｇ「アメル」</t>
  </si>
  <si>
    <t>ﾘｽﾍﾟﾘﾄﾞﾝｼﾞｮｳ2mg｢ｱﾒﾙ｣</t>
  </si>
  <si>
    <t>リスペリドン錠２ｍｇ「アメル」</t>
  </si>
  <si>
    <t>液（内用）</t>
  </si>
  <si>
    <t>ﾘｽﾍﾟﾘﾄﾞﾝﾅｲﾖｳｴｷﾌﾞﾝﾎﾟｳ1mg｢ｱﾒﾙ｣</t>
  </si>
  <si>
    <t>リスペリドン内用液分包１ｍｇ「アメル」</t>
  </si>
  <si>
    <t>ﾘｽﾍﾟﾘﾄﾞﾝｼﾞｮｳ1mg｢ｱﾒﾙ｣</t>
  </si>
  <si>
    <t>リスペリドン錠１ｍｇ「アメル」</t>
  </si>
  <si>
    <t>ﾘｽﾍﾟﾘﾄﾞﾝﾅｲﾖｳｴｷ1mg/mL｢ｱﾒﾙ｣</t>
  </si>
  <si>
    <t>リスペリドン内用液１ｍｇ／ｍＬ「アメル」</t>
  </si>
  <si>
    <t>ﾘｽﾍﾟﾘﾄﾞﾝﾅｲﾖｳｴｷﾌﾞﾝﾎﾟｳ0.5mg｢ｱﾒﾙ｣</t>
  </si>
  <si>
    <t>リスペリドン内用液分包０．５ｍｇ「アメル」</t>
  </si>
  <si>
    <t>ﾘｽﾍﾟﾘﾄﾞﾝｼﾞｮｳ0.5mg｢ｱﾒﾙ｣</t>
  </si>
  <si>
    <t>リスペリドン錠０．５ｍｇ「アメル」</t>
  </si>
  <si>
    <t>ﾘｽﾊﾟﾀﾞｰﾙ ｺﾝｽﾀｷﾝﾁｭｳﾖｳ50mg</t>
  </si>
  <si>
    <t>リスパダール コンスタ筋注用５０ｍｇ</t>
  </si>
  <si>
    <t>ﾘｽﾊﾟﾀﾞｰﾙ ｺﾝｽﾀｷﾝﾁｭｳﾖｳ37.5mg</t>
  </si>
  <si>
    <t>リスパダール コンスタ筋注用３７．５ｍｇ</t>
  </si>
  <si>
    <t>ﾘｽﾊﾟﾀﾞｰﾙ ｺﾝｽﾀｷﾝﾁｭｳﾖｳ25mg</t>
  </si>
  <si>
    <t>リスパダール コンスタ筋注用２５ｍｇ</t>
  </si>
  <si>
    <t>ﾘｽﾊﾟﾀﾞｰﾙｻｲﾘｭｳ1%</t>
  </si>
  <si>
    <t>ﾘｽﾊﾟﾀﾞｰﾙｼﾞｮｳ3mg</t>
  </si>
  <si>
    <t>ﾘｽﾊﾟﾀﾞｰﾙｼﾞｮｳ2mg</t>
  </si>
  <si>
    <t>ﾘｽﾊﾟﾀﾞｰﾙﾅｲﾖｳｴｷ1mg/mL</t>
  </si>
  <si>
    <t>リスパダール内用液0.5ｍｇ／0.5ｍＬ分包品</t>
  </si>
  <si>
    <t>リスパダール内用液１ｍｇ／ｍＬ</t>
  </si>
  <si>
    <t>リスパダール内用液１ｍｇ／ｍＬ分包品</t>
  </si>
  <si>
    <t>ﾘｽﾊﾟﾀﾞｰﾙｼﾞｮｳ1mg</t>
  </si>
  <si>
    <t>ﾘｺﾓｼﾞｭﾘﾝﾃﾝﾃｷｼﾞｮｳﾁｭｳﾖｳ12800</t>
  </si>
  <si>
    <t>リコモジュリン点滴静注用１２８００（用時購入）</t>
  </si>
  <si>
    <t>ﾘｸﾗｽﾄﾃﾝﾃｷｼﾞｮｳﾁｭｳｴｷ5mg</t>
  </si>
  <si>
    <t>リクラスト点滴静注液５ｍｇ（用時購入）</t>
  </si>
  <si>
    <t>ﾘｸｼｱﾅODｼﾞｮｳ30mg</t>
  </si>
  <si>
    <t>リクシアナＯＤ錠３０ｍｇ</t>
  </si>
  <si>
    <t>ﾘｵﾚｻｰﾙｼﾞｮｳ5mg</t>
  </si>
  <si>
    <t>リオレサール錠５ｍｇ</t>
  </si>
  <si>
    <t>ﾘｱﾙﾀﾞｼﾞﾖｳ1200MG</t>
  </si>
  <si>
    <t>リアルダ錠１２００ｍｇ</t>
  </si>
  <si>
    <t>ﾗﾝﾀｽXRﾁﾕｳｿﾛｽﾀ-</t>
  </si>
  <si>
    <t>ランタスＸＲ注ソロスター</t>
  </si>
  <si>
    <t>ﾗﾝﾀｽﾁｭｳｿﾛｽﾀｰ</t>
  </si>
  <si>
    <t>ランタス注ソロスター</t>
  </si>
  <si>
    <t>ﾗﾝｿﾌﾟﾗｿﾞｰﾙODｼﾞｮｳ15mg｢ﾄｰﾜ｣</t>
  </si>
  <si>
    <t>ランソプラゾールＯＤ錠１５ｍｇ「トーワ」</t>
  </si>
  <si>
    <t>ﾗﾓﾄﾘｷﾞﾝｼﾞｮｳ100mg｢ﾄｰﾜ｣</t>
  </si>
  <si>
    <t>ラモトリギン錠１００ｍｇ「トーワ」</t>
  </si>
  <si>
    <t>ﾗﾓﾄﾘｷﾞﾝｼﾞｮｳ25mg｢ﾄｰﾜ｣</t>
  </si>
  <si>
    <t>ラモトリギン錠２５ｍｇ「トーワ」</t>
  </si>
  <si>
    <t>ﾗﾒﾙﾃｵﾝｼﾞｮｳ8mg｢ﾄｰﾜ｣</t>
  </si>
  <si>
    <t>ラメルテオン錠８ｍｇ「トーワ」</t>
  </si>
  <si>
    <t>ﾗﾋﾟｱｸﾀﾃﾝﾃｷｼﾞｮｳﾁｭｳｴｷﾊﾞｯｸﾞ300mg</t>
  </si>
  <si>
    <t>ラピアクタ点滴静注液バッグ３００ｍｇ</t>
  </si>
  <si>
    <t>ﾗﾂｰﾀﾞｼﾞｮｳ40mg</t>
  </si>
  <si>
    <t>ラツーダ錠４０ｍｇ</t>
  </si>
  <si>
    <t>ﾗﾂｰﾀﾞｼﾞｮｳ20mg</t>
  </si>
  <si>
    <t>ラツーダ錠２０ｍｇ</t>
  </si>
  <si>
    <t>ﾗﾀﾉﾌﾟﾛｽﾄﾃﾝｶﾞﾝｴｷ0.005%ｾﾝｼﾞﾕ</t>
  </si>
  <si>
    <t>ラタノプロスト点眼液０．００５％「センジュ」</t>
  </si>
  <si>
    <t>ﾗﾀﾉﾌﾟﾛｽﾄﾃﾝｶﾞﾝｴｷ0.005%ﾆﾂﾄ-</t>
  </si>
  <si>
    <t>ラタノプロスト点眼液０．００５％「ニットー」</t>
  </si>
  <si>
    <t>ﾗﾀﾉﾌﾟﾛｽﾄﾃﾝｶﾞﾝｴｷ0.005%｢ｻﾜｲ｣</t>
  </si>
  <si>
    <t>ラタノプロスト点眼液０．００５％「サワイ」</t>
  </si>
  <si>
    <t>ﾗｽﾋﾞﾂｸﾃﾝﾃｷｼﾞﾖｳﾁﾕｳｷﾂﾄ150MG</t>
  </si>
  <si>
    <t>ラスビック点滴静注キット１５０ｍｇ</t>
  </si>
  <si>
    <t>ﾗｼﾞｶﾂﾄﾅｲﾖｳｹﾝﾀﾞｸｴｷ2.1%</t>
  </si>
  <si>
    <t>ラジカット内用懸濁液２．１％</t>
  </si>
  <si>
    <t>ﾗｺｰﾙNFﾊｲｺﾞｳｹｲﾁｮｳﾖｳｴｷ</t>
  </si>
  <si>
    <t>ラコールＮＦ配合経腸用液【コーヒー】</t>
  </si>
  <si>
    <t>ラコールＮＦ配合経腸用液【ミルク】</t>
  </si>
  <si>
    <t>その他</t>
  </si>
  <si>
    <t>ﾗｺｰﾙNFﾊｲｺﾞｳｹｲﾁｮｳﾖｳ半固形ｻﾞｲ</t>
  </si>
  <si>
    <t>ラコールＮＦ配合経腸用半固形剤</t>
  </si>
  <si>
    <t>ﾗｺｻﾐﾄﾞｼﾞﾖｳ50MGJG</t>
  </si>
  <si>
    <t>ラコサミド錠５０ｍｇ「ＪＧ」</t>
  </si>
  <si>
    <t>ﾗｹﾞﾌﾞﾘｵｶﾌﾟｾﾙ200mg</t>
  </si>
  <si>
    <t>ラゲブリオカプセル２００ｍｇ</t>
  </si>
  <si>
    <t>シロップ</t>
  </si>
  <si>
    <t>ﾗｸﾂﾛｰｽｼﾛｯﾌﾟ65%｢ﾀｶﾀ｣</t>
  </si>
  <si>
    <t>ラクツロースシロップ６５％「タカタ」</t>
  </si>
  <si>
    <t>ﾖｸｲﾆﾝｴｷｽｼﾞﾖｳｺﾀﾛ-</t>
  </si>
  <si>
    <t>ヨクイニンエキス錠「コタロー」</t>
  </si>
  <si>
    <t>ﾖｳｶｶﾘｳﾑｶﾞﾝ50MGﾆﾁｲｺｳ</t>
  </si>
  <si>
    <t>ヨウ化カリウム丸５０ｍｇ「日医工」</t>
  </si>
  <si>
    <t>ﾕｰﾛｼﾞﾝ2mgｼﾞｮｳ</t>
  </si>
  <si>
    <t>ユーロジン２ｍｇ錠</t>
  </si>
  <si>
    <t>ﾕﾘｰﾌｼﾞｮｳ4mg</t>
  </si>
  <si>
    <t>ユリーフ錠４ｍｇ</t>
  </si>
  <si>
    <t>ﾕﾘｽｼﾞﾖｳ2MG</t>
  </si>
  <si>
    <t>ユリス錠２ｍｇ</t>
  </si>
  <si>
    <t>ﾕﾘｽｼﾞﾖｳ1MG</t>
  </si>
  <si>
    <t>ユリス錠１ｍｇ</t>
  </si>
  <si>
    <t>ﾕﾍﾞﾗNｿﾌﾄｶﾌﾟｾﾙ200mg</t>
  </si>
  <si>
    <t>ユベラＮソフトカプセル２００ｍｇ</t>
  </si>
  <si>
    <t>ﾕｰﾋﾞｯﾄｼﾞｮｳ100mg</t>
  </si>
  <si>
    <t>ユービット錠１００ｍｇ</t>
  </si>
  <si>
    <t>ﾓﾒﾀｿﾞﾝﾌﾗﾝｶﾙﾎﾞﾝｻﾝｴｽﾃﾙﾅﾝｺｳ0.1%｢MYK｣</t>
  </si>
  <si>
    <t>モメタゾンフランカルボン酸エステル軟膏０．１％「ＭＹＫ」</t>
  </si>
  <si>
    <t>ﾓﾋﾞｺｰﾙﾊｲｺﾞｳﾅｲﾖｳｻﾞｲLD</t>
  </si>
  <si>
    <t>モビコール配合内用剤ＬＤ</t>
  </si>
  <si>
    <t>ﾓﾃﾞｲｵﾀﾞ-ﾙｼﾞﾖｳ100MG</t>
  </si>
  <si>
    <t>モディオダール錠１００ｍｇ</t>
  </si>
  <si>
    <t>ﾓｻﾌﾟﾘﾄﾞｸｴﾝｻﾝｴﾝｻﾝ1%｢ﾆﾁｲｺｳ｣</t>
  </si>
  <si>
    <t>ﾓｻﾌﾟﾘﾄﾞｸｴﾝｻﾝｴﾝｼﾞｮｳ5mg｢ﾆﾁｲｺｳ｣</t>
  </si>
  <si>
    <t>モサプリドクエン酸塩錠５ｍｇ「日医工」</t>
  </si>
  <si>
    <t>ﾓｷｼﾌﾛｷｻｼﾝﾃﾝｶﾞﾝｴｷ0.5%ｻﾝﾄﾞ</t>
  </si>
  <si>
    <t>モキシフロキサシン点眼液０．５％「サンド」</t>
  </si>
  <si>
    <t>ﾒﾛﾍﾟﾈﾑﾃﾝﾃｷｼﾞﾖｳﾁﾕｳﾖｳ0.5Gｻﾜｲ</t>
  </si>
  <si>
    <t>メロペネム点滴静注用０．５ｇ「サワイ」</t>
  </si>
  <si>
    <t>ﾒﾛﾍﾟﾈﾑﾃﾝﾃｷｼﾞﾖｳﾁﾕｳﾖｳ0.5GNP</t>
  </si>
  <si>
    <t>メロペネム点滴静注用０．５ｇ「ＮＰ」</t>
  </si>
  <si>
    <t>ﾒﾛﾍﾟﾝﾃﾝﾃｷﾖｳﾊﾞｲｱﾙ0.5g</t>
  </si>
  <si>
    <t>メロペン点滴用バイアル０．５ｇ</t>
  </si>
  <si>
    <t>ﾒﾙｶｿﾞｰﾙｼﾞｮｳ5mg</t>
  </si>
  <si>
    <t>ﾒﾘｽﾛﾝｼﾞﾖｳ6MG</t>
  </si>
  <si>
    <t>メリスロン錠６ｍｇ</t>
  </si>
  <si>
    <t>ﾒﾏﾝﾁﾝｴﾝｻﾝｴﾝODｼﾞｮｳ20mg｢DSEP｣</t>
  </si>
  <si>
    <t>メマンチン塩酸塩ＯＤ錠２０ｍｇ「ＤＳＥＰ」</t>
  </si>
  <si>
    <t>ﾒﾏﾝﾁﾝｴﾝｻﾝｴﾝODｼﾞｮｳ5mg｢DSEP｣</t>
  </si>
  <si>
    <t>メマンチン塩酸塩ＯＤ錠５ｍｇ「ＤＳＥＰ」</t>
  </si>
  <si>
    <t>ﾒﾌﾟﾁﾝｴｱｰ10μg</t>
  </si>
  <si>
    <t>メプチンエアー１０μｇ</t>
  </si>
  <si>
    <t>ﾒﾈｼｯﾄﾊｲｺﾞｳｼﾞｮｳ100</t>
  </si>
  <si>
    <t>メネシット配合錠１００</t>
  </si>
  <si>
    <t>ﾒﾄﾎﾙﾐﾝｴﾝｻﾝｴﾝｼﾞｮｳ250mgMT｢DSPB｣</t>
  </si>
  <si>
    <t>メトホルミン塩酸塩錠２５０ｍｇＭＴ「ＤＳＰＢ」</t>
  </si>
  <si>
    <t>ﾒﾄﾄﾚｷｻｰﾄｼﾞｮｳ2mg｢あゆみ｣</t>
  </si>
  <si>
    <t>メトトレキサート錠２ｍｇ「あゆみ」</t>
  </si>
  <si>
    <t>ﾒｺﾊﾞﾗﾐﾝｼﾞｮｳ500｢ﾄｰﾜ｣</t>
  </si>
  <si>
    <t>ﾒｷｼﾁｰﾙｶﾌﾟｾﾙ50mg</t>
  </si>
  <si>
    <t>メキシチールカプセル５０ｍｇ</t>
  </si>
  <si>
    <t>ﾒｲﾛﾝｼﾞｮｳﾁｭｳ7%</t>
  </si>
  <si>
    <t>メイロン静注７％</t>
  </si>
  <si>
    <t>ﾒｲﾗｯｸｽｼﾞｮｳ1mg</t>
  </si>
  <si>
    <t>メイラックス錠１ｍｇ</t>
  </si>
  <si>
    <t>ﾑｺﾌｧｼﾞﾝﾃﾝｶﾞﾝｴｷ</t>
  </si>
  <si>
    <t>ムコファジン点眼液</t>
  </si>
  <si>
    <t>ﾑｺｽﾀｶﾘｭｳ20%</t>
  </si>
  <si>
    <t>ムコスタ顆粒２０％</t>
  </si>
  <si>
    <t>ﾑｺｽﾀﾃﾝｶﾞﾝｴｷUD2%</t>
  </si>
  <si>
    <t>ムコスタ点眼液ＵＤ２％</t>
  </si>
  <si>
    <t>ﾐﾙﾀｻﾞﾋﾟﾝODｼﾞﾖｳ15MGｻﾜｲ</t>
  </si>
  <si>
    <t>ミルタザピンＯＤ錠１５ｍｇ「サワイ」</t>
  </si>
  <si>
    <t>ﾐﾙﾀｻﾞﾋﾟﾝｼﾞｮｳ15mg｢ﾒｲｼﾞ｣</t>
  </si>
  <si>
    <t>ミルタザピン錠１５ｍｇ「明治」</t>
  </si>
  <si>
    <t>ﾐﾉﾄﾞﾛﾝｻﾝｼﾞｮｳ50mg｢JG｣</t>
  </si>
  <si>
    <t>ミノドロン酸錠５０ｍｇ「ＪＧ」</t>
  </si>
  <si>
    <t>ﾐﾉｻｲｸﾘﾝｴﾝｻﾝｴﾝﾃﾝﾃｷｼﾞｮｳﾁｭｳﾖｳ100mg｢ﾆﾁｲｺｳ｣</t>
  </si>
  <si>
    <t>ミノサイクリン塩酸塩点滴静注用１００ｍｇ「日医工」</t>
  </si>
  <si>
    <t>ﾐﾉｻｲｸﾘﾝｴﾝｻﾝｴﾝｼﾞｮｳ50mg｢ﾆﾁｲｺｳ｣</t>
  </si>
  <si>
    <t>ミノサイクリン塩酸塩錠５０ｍｇ「日医工」</t>
  </si>
  <si>
    <t>ﾐﾄﾞﾘﾝPﾃﾝｶﾞﾝｴｷ</t>
  </si>
  <si>
    <t>ミドリンＰ点眼液（用時購入）</t>
  </si>
  <si>
    <t>ﾐﾄﾞﾄﾞﾘﾝｴﾝｻﾝｴﾝｼﾞｮｳ2mg｢ﾄｰﾜ｣</t>
  </si>
  <si>
    <t>ﾐﾁｸﾞﾘﾆﾄﾞCa･ODｼﾞｮｳ10mg｢ｻﾝﾜ｣</t>
  </si>
  <si>
    <t>ミチグリニドＣａ・ＯＤ錠１０ｍｇ「三和」</t>
  </si>
  <si>
    <t>ﾐｿﾞﾘﾋﾞﾝｼﾞｮｳ50mg｢ｻﾜｲ｣</t>
  </si>
  <si>
    <t>ミゾリビン錠５０ｍｇ「サワイ」</t>
  </si>
  <si>
    <t>ﾐｹﾙﾅﾊｲｺﾞｳﾃﾝｶﾞﾝｴｷ</t>
  </si>
  <si>
    <t>ﾐｶﾌｧﾝｷﾞﾝNaﾃﾝﾃｷｼﾞｮｳﾁｭｳﾖｳ50mg｢ｻﾜｲ｣</t>
  </si>
  <si>
    <t>ミカファンギンＮａ点滴静注用５０ｍｇ「サワイ」</t>
  </si>
  <si>
    <t>ﾏﾌﾟﾛﾁﾘﾝｴﾝｻﾝｴﾝｼﾞｮｳ25mg｢ｱﾒﾙ｣</t>
  </si>
  <si>
    <t>マプロチリン塩酸塩錠２５ｍｇ「アメル」</t>
  </si>
  <si>
    <t>ﾏﾌﾟﾛﾁﾘﾝｴﾝｻﾝｴﾝｼﾞｮｳ10mg｢ｱﾒﾙ｣</t>
  </si>
  <si>
    <t>マプロチリン塩酸塩錠１０ｍｇ「アメル」</t>
  </si>
  <si>
    <t>ﾏﾄﾞﾊﾟ-ﾊｲｺﾞｳｼﾞﾖｳL100</t>
  </si>
  <si>
    <t>マドパー配合錠Ｌ１００</t>
  </si>
  <si>
    <t>ﾏｰﾃﾞｭｵｯｸｽﾅﾝｺｳ</t>
  </si>
  <si>
    <t>マーデュオックス軟膏</t>
  </si>
  <si>
    <t>ﾏｰｽﾞﾚﾝSﾊｲｺﾞｳｶﾘｭｳ</t>
  </si>
  <si>
    <t>ﾏｸﾞﾐｯﾄｼﾞｮｳ500mg</t>
  </si>
  <si>
    <t>マグミット錠５００ｍｇ</t>
  </si>
  <si>
    <t>ﾏｸﾞﾐｯﾄｼﾞｮｳ330mg</t>
  </si>
  <si>
    <t>マグミット錠３３０ｍｇ</t>
  </si>
  <si>
    <t>ﾏｳﾞｨﾚｯﾄﾊｲｺﾞｳｼﾞｮｳ</t>
  </si>
  <si>
    <t>マヴィレット配合錠</t>
  </si>
  <si>
    <t>ﾏｲｽﾀﾝｼﾞｮｳ5mg</t>
  </si>
  <si>
    <t>ﾏｲｽﾘｰｼﾞｮｳ5mg</t>
  </si>
  <si>
    <t>ﾏｲｻﾞｰﾅﾝｺｳ0.05%</t>
  </si>
  <si>
    <t>マイザー軟膏０．０５％</t>
  </si>
  <si>
    <t>ﾎﾞﾙﾀﾚﾝｼﾞｮｳ25mg</t>
  </si>
  <si>
    <t>ボルタレン錠２５ｍｇ</t>
  </si>
  <si>
    <t>膣錠</t>
  </si>
  <si>
    <t>ﾎｰﾘﾝVﾁﾂﾖｳｼﾞｮｳ1mg</t>
  </si>
  <si>
    <t>ホーリンＶ腟用錠１ｍｇ</t>
  </si>
  <si>
    <t>ﾎｰﾘｯﾄｻﾝ10%</t>
  </si>
  <si>
    <t>ホーリット散１０％</t>
  </si>
  <si>
    <t>ﾎｰﾘｯﾄｼﾞｮｳ20mg</t>
  </si>
  <si>
    <t>ホーリット錠２０ｍｇ</t>
  </si>
  <si>
    <t>ゼリー（ゲル）</t>
  </si>
  <si>
    <t>ﾎﾟﾘｽﾁﾚﾝｽﾙﾎﾝｻﾝCaｹｲｺｳｾﾞﾘｰ20%ﾌﾞﾝﾎﾟｳ25g｢ｻﾝﾜ｣</t>
  </si>
  <si>
    <t>ポリスチレンスルホン酸Ｃａ経口ゼリー２０％分包２５ｇ「三和」</t>
  </si>
  <si>
    <t>ﾎﾟﾗﾗﾐﾝﾁｭｳ5mg</t>
  </si>
  <si>
    <t>ポララミン注５ｍｇ</t>
  </si>
  <si>
    <t>ﾎﾟﾋﾞﾄﾞﾝﾖｰﾄﾞｹﾞﾙ10%</t>
  </si>
  <si>
    <t>ﾎﾟﾋﾞﾄﾞﾝﾖｰﾄﾞｶﾞｲﾖｳｴｷ10%｢VTRS｣</t>
  </si>
  <si>
    <t>ポビドンヨード外用液１０％「ＶＴＲＳ」</t>
  </si>
  <si>
    <t>含漱剤</t>
  </si>
  <si>
    <t>ﾎﾟﾋﾞﾄﾞﾝﾖｰﾄﾞｶﾞｰｸﾞﾙｴｷ7%｢ｹﾝｴｰ｣</t>
  </si>
  <si>
    <t>ポビドンヨードガーグル液７％「ケンエー」</t>
  </si>
  <si>
    <t>ﾎﾟﾀｺｰﾙRﾕｴｷ</t>
  </si>
  <si>
    <t>ポタコールＲ輸液500?</t>
  </si>
  <si>
    <t>ポタコールＲ輸液250?</t>
  </si>
  <si>
    <t>ﾎｽﾘﾎﾞﾝﾊｲｺﾞｳｶﾘｭｳ</t>
  </si>
  <si>
    <t>ホスリボン配合顆粒</t>
  </si>
  <si>
    <t>ﾎﾞｽﾐﾝﾁｭｳ1mg</t>
  </si>
  <si>
    <t>ボスミン注１ｍｇ</t>
  </si>
  <si>
    <t>点耳薬</t>
  </si>
  <si>
    <t>ﾎｽﾐｼﾝSｼﾞｶﾖｳ3%</t>
  </si>
  <si>
    <t>ホスミシンＳ耳科用３％</t>
  </si>
  <si>
    <t>ﾎｽﾎﾏｲｼﾝﾅﾄﾘｳﾑｼﾞｮｳﾁｭｳﾖｳ2g｢ﾆﾁｲｺｳ｣</t>
  </si>
  <si>
    <t>ﾎﾞｸﾞﾘﾎﾞ-ｽODｼﾞﾖｳ0.2MGﾄ-ﾜ</t>
  </si>
  <si>
    <t>ボグリボースＯＤ錠０．２ｍｇ「トーワ」</t>
  </si>
  <si>
    <t>ﾎﾞｸﾞﾘﾎﾞｰｽODｼﾞｮｳ0.2mg｢ﾆﾁｲｺｳ｣</t>
  </si>
  <si>
    <t>ボグリボースＯＤ錠０．２ｍｇ「日医工」</t>
  </si>
  <si>
    <t>ﾎﾞｱﾗﾅﾝｺｳ0.12%</t>
  </si>
  <si>
    <t>ボアラ軟膏０．１２％</t>
  </si>
  <si>
    <t>ﾍﾟﾝﾄｼﾘﾝﾁｭｳｼｬﾖｳ1g</t>
  </si>
  <si>
    <t>顆粒</t>
  </si>
  <si>
    <t>ﾍﾟﾝﾀｻｶﾘﾕｳ94%</t>
  </si>
  <si>
    <t>ペンタサ顆粒９４％</t>
  </si>
  <si>
    <t>細粒</t>
  </si>
  <si>
    <t>ﾍﾞﾝｻﾞﾘﾝｻｲﾘﾕｳ1%</t>
  </si>
  <si>
    <t>ベンザリン細粒１％</t>
  </si>
  <si>
    <t>ﾍﾞﾝｻﾞﾘﾝｼﾞｮｳ5</t>
  </si>
  <si>
    <t>ベンザリン錠５</t>
  </si>
  <si>
    <t>ﾍﾙﾍﾞﾂｻ-ﾁﾕｳｼﾔﾖｳ50</t>
  </si>
  <si>
    <t>ヘルベッサー注射用５０</t>
  </si>
  <si>
    <t>ﾍﾙﾍﾞｯｻｰｼﾞｮｳ30</t>
  </si>
  <si>
    <t>ヘルベッサー錠３０</t>
  </si>
  <si>
    <t>ﾍﾞﾙｿﾑﾗｼﾞｮｳ20mg</t>
  </si>
  <si>
    <t>ベルソムラ錠２０ｍｇ</t>
  </si>
  <si>
    <t>ﾍﾞﾙｿﾑﾗｼﾞｮｳ15mg</t>
  </si>
  <si>
    <t>ベルソムラ錠１５ｍｇ</t>
  </si>
  <si>
    <t>ﾍﾟﾙｼﾞﾋﾟﾝﾁﾕｳｼﾔｴｷ2MG</t>
  </si>
  <si>
    <t>ペルジピン注射液２ｍｇ</t>
  </si>
  <si>
    <t>ﾍﾟﾙｻﾝﾁﾝｼﾞｮｳ25mg</t>
  </si>
  <si>
    <t>ペルサンチン錠２５ｍｇ</t>
  </si>
  <si>
    <t>ﾍﾞﾗﾌﾟﾛｽﾄNaｼﾞｮｳ20μg｢ﾄｰﾜ｣</t>
  </si>
  <si>
    <t>ベラプロストＮａ錠２０μｇ「トーワ」</t>
  </si>
  <si>
    <t>ﾍﾓﾚｯｸｽﾅﾝｺｳ</t>
  </si>
  <si>
    <t>ﾍﾟﾐﾛﾗｽﾄKﾃﾝｶﾞﾝｴｷ0.1%TS</t>
  </si>
  <si>
    <t>ペミロラストＫ点眼液０．１％「ＴＳ」</t>
  </si>
  <si>
    <t>ﾍﾞﾌﾟﾘｺｰﾙｼﾞｮｳ50mg</t>
  </si>
  <si>
    <t>ベプリコール錠５０ｍｇ</t>
  </si>
  <si>
    <t>ﾍﾌﾞｽﾌﾞﾘﾝIHｼﾞｮｳﾁｭｳ1000ﾀﾝｲ</t>
  </si>
  <si>
    <t>ヘブスブリンＩＨ静注１０００単位</t>
  </si>
  <si>
    <t>ﾍﾞﾋﾟｵｹﾞﾙ2.5%</t>
  </si>
  <si>
    <t>ベピオゲル２．５％</t>
  </si>
  <si>
    <t>ﾍﾊﾟﾘﾝﾙｲｼﾞﾌﾞﾂｼﾂﾕｾｲｸﾘ-ﾑ0.3%ﾆﾁｲｺｳ</t>
  </si>
  <si>
    <t>ヘパリン類似物質油性クリーム０．３％「日医工」</t>
  </si>
  <si>
    <t>噴霧剤</t>
  </si>
  <si>
    <t>ﾍﾊﾟﾘﾝﾙｲｼﾞﾌﾞｯｼﾂｶﾞｲﾖｳｽﾌﾟﾚｰ0.3%｢ｻﾄｳ｣</t>
  </si>
  <si>
    <t>ヘパリン類似物質外用スプレー０．３％「サトウ」</t>
  </si>
  <si>
    <t>ﾍﾊﾟﾘﾝﾙｲｼﾞﾌﾞｯｼﾂｶﾞｲﾖｳ泡ｼﾞｮｳｽﾌﾟﾚｰ0.3%｢ﾆﾎﾝｿﾞｳｷ｣</t>
  </si>
  <si>
    <t>ヘパリン類似物質外用泡状スプレー０．３％「日本臓器」</t>
  </si>
  <si>
    <t>ﾍﾊﾟﾘﾝNaﾛｯｸﾖｳ10ﾀﾝｲ/mLｼﾘﾝｼﾞ｢ｵｰﾂｶ｣10mL</t>
  </si>
  <si>
    <t>ヘパリンＮａロック用１０単位／ｍＬシリンジ「オーツカ」１０ｍＬ</t>
  </si>
  <si>
    <t>ﾍﾊﾟﾘﾝNaﾁｭｳ5ｾﾝﾀﾝｲ/5mL｢ﾓﾁﾀﾞ｣</t>
  </si>
  <si>
    <t>ヘパリンＮａ注５千単位／５ｍＬ「モチダ」</t>
  </si>
  <si>
    <t>ｹﾝｹﾂﾍﾞﾆﾛﾝ-Iｼﾞｮｳﾁｭｳﾖｳ2500mg</t>
  </si>
  <si>
    <t>献血ベニロン－Ｉ静注用２５００ｍｇ</t>
  </si>
  <si>
    <t>ﾍﾞﾅﾊﾟｽﾀﾅﾝｺｳ4%</t>
  </si>
  <si>
    <t>ベナパスタ軟膏４％</t>
  </si>
  <si>
    <t>ﾍﾞﾀﾒﾀｿﾞﾝｷｯｿｳｻﾝｴｽﾃﾙﾛｰｼｮﾝ0.12%｢ｲﾜｷ｣</t>
  </si>
  <si>
    <t>ベタメタゾン吉草酸エステルローション０．１２％「イワキ」</t>
  </si>
  <si>
    <t>ﾍﾞﾀﾆｽｼﾞｮｳ50mg</t>
  </si>
  <si>
    <t>ベタニス錠５０ｍｇ</t>
  </si>
  <si>
    <t>ﾍﾞﾀﾅﾐﾝｼﾞﾖｳ10MG</t>
  </si>
  <si>
    <t>ベタナミン錠１０ｍｇ</t>
  </si>
  <si>
    <t>ﾍﾞｼｹｱｼﾞｮｳ5mg</t>
  </si>
  <si>
    <t>ベシケア錠５ｍｇ</t>
  </si>
  <si>
    <t>ﾍﾞｻﾞﾌｨﾌﾞﾗｰﾄSRｼﾞｮｳ200mg｢ﾆﾁｲｺｳ｣</t>
  </si>
  <si>
    <t>ベザフィブラートＳＲ錠２００ｍｇ「日医工」</t>
  </si>
  <si>
    <t>ﾍﾞｻﾞﾄｰﾙSRｼﾞｮｳ200mg</t>
  </si>
  <si>
    <t>ベザトールＳＲ錠２００ｍｇ</t>
  </si>
  <si>
    <t>ﾍﾞｻｺﾘﾝｻﾝ5%</t>
  </si>
  <si>
    <t>ﾍﾞｸﾙﾘｰﾃﾝﾃｷｼﾞｮｳﾁｭｳﾖｳ100mg</t>
  </si>
  <si>
    <t>ベクルリー点滴静注用１００ｍｇ</t>
  </si>
  <si>
    <t>ﾍﾞｵ-ﾊﾞｼﾞﾖｳ50MG</t>
  </si>
  <si>
    <t>ベオーバ錠５０ｍｇ</t>
  </si>
  <si>
    <t>ﾌﾛﾘｰﾄﾞｹﾞﾙｹｲｺｳﾖｳ2%</t>
  </si>
  <si>
    <t>フロリードゲル経口用２％</t>
  </si>
  <si>
    <t>ﾌﾞﾛﾓｸﾘﾌﾟﾁﾝｼﾞｮｳ2.5mg｢F｣</t>
  </si>
  <si>
    <t>ブロモクリプチン錠２．５ｍｇ「Ｆ」</t>
  </si>
  <si>
    <t>ﾌﾞﾛﾒﾗｲﾝﾅﾝｺｳ5ﾏﾝﾀﾝｲ/Gｼﾞｴｲﾄﾞﾙﾌ</t>
  </si>
  <si>
    <t>ブロメライン軟膏５万単位／ｇ＊（ジェイドルフ）</t>
  </si>
  <si>
    <t>ﾌﾞﾛﾑﾍｷｼﾝｴﾝｻﾝｴﾝﾁﾕｳｼﾔｴｷ4MGﾀｲﾖ-</t>
  </si>
  <si>
    <t>ブロムヘキシン塩酸塩注射液４ｍｇ「タイヨー」</t>
  </si>
  <si>
    <t>ﾌﾞﾛﾑﾍｷｼﾝｴﾝｻﾝｴﾝ0.2%ｷﾕｳﾆﾕｳｴｷ</t>
  </si>
  <si>
    <t>ブロムヘキシン塩酸塩０．２％吸入液</t>
  </si>
  <si>
    <t>ﾌﾞﾛﾑﾍﾟﾘﾄﾞ-ﾙｻｲﾘﾕｳ1%ｱﾒﾙ</t>
  </si>
  <si>
    <t>ブロムペリドール細粒１％「アメル」</t>
  </si>
  <si>
    <t>ﾌﾞﾛﾑﾍｷｼﾝｴﾝｻﾝｴﾝｼﾞｮｳ4mg｢ﾄｰﾜ｣</t>
  </si>
  <si>
    <t>ブロムヘキシン塩酸塩錠４ｍｇ「トーワ」</t>
  </si>
  <si>
    <t>ﾌﾞﾛﾑﾍﾟﾘﾄﾞｰﾙｼﾞｮｳ3mg｢ｱﾒﾙ｣</t>
  </si>
  <si>
    <t>ブロムペリドール錠３ｍｇ「アメル」</t>
  </si>
  <si>
    <t>ﾌﾟﾛﾏｯｸDｼﾞｮｳ75</t>
  </si>
  <si>
    <t>プロマックＤ錠７５</t>
  </si>
  <si>
    <t>ﾌﾟﾛﾌﾟﾗﾉﾛｰﾙｴﾝｻﾝｴﾝｼﾞｮｳ10mg｢ﾆﾁｲｺｳ｣</t>
  </si>
  <si>
    <t>プロプラノロール塩酸塩錠１０ｍｇ「日医工」</t>
  </si>
  <si>
    <t>ﾌﾟﾛﾋﾟﾍﾞﾘﾝｴﾝｻﾝｴﾝｼﾞｮｳ10mg｢NIG｣</t>
  </si>
  <si>
    <t>プロピベリン塩酸塩錠１０ｍｇ「ＮＩＧ」</t>
  </si>
  <si>
    <t>ﾌﾞﾛﾅﾂｸﾃﾝｶﾞﾝｴｷ</t>
  </si>
  <si>
    <t>ブロナック点眼液</t>
  </si>
  <si>
    <t>ﾌﾞﾛﾅﾝｾﾘﾝｻﾝ2%｢DSPB｣</t>
  </si>
  <si>
    <t>ブロナンセリン散２％「ＤＳＰＢ」</t>
  </si>
  <si>
    <t>ﾌﾞﾛﾅﾝｾﾘﾝｼﾞｮｳ8mg｢DSPB｣</t>
  </si>
  <si>
    <t>ブロナンセリン錠８ｍｇ「ＤＳＰＢ」</t>
  </si>
  <si>
    <t>ﾌﾞﾛﾅﾝｾﾘﾝｼﾞｮｳ4mg｢DSPB｣</t>
  </si>
  <si>
    <t>ブロナンセリン錠４ｍｇ「ＤＳＰＢ」</t>
  </si>
  <si>
    <t>ﾌﾞﾛﾅﾝｾﾘﾝｼﾞｮｳ2mg｢DSPB｣</t>
  </si>
  <si>
    <t>ブロナンセリン錠２ｍｇ「ＤＳＰＢ」</t>
  </si>
  <si>
    <t>ﾌﾟﾛﾄﾋﾟｯｸﾅﾝｺｳ0.1%</t>
  </si>
  <si>
    <t>プロトピック軟膏０．１％</t>
  </si>
  <si>
    <t>ﾌﾞﾛﾁｿﾞﾗﾑｼﾞﾖｳ0.25MGﾖｼﾄﾐ</t>
  </si>
  <si>
    <t>ブロチゾラム錠０．２５ｍｇ「ヨシトミ」</t>
  </si>
  <si>
    <t>ﾌﾞﾛﾁｿﾞﾗﾑｼﾞｮｳ0.25mg｢ﾄｰﾜ｣</t>
  </si>
  <si>
    <t>ブロチゾラム錠０．２５ｍｇ「トーワ」</t>
  </si>
  <si>
    <t>ﾌﾟﾛﾀﾉｰﾙSｼﾞｮｳ15mg</t>
  </si>
  <si>
    <t>ﾌﾛｾﾐﾄﾞﾁｭｳ20mg｢ﾄｰﾜ｣</t>
  </si>
  <si>
    <t>フロセミド注２０ｍｇ「トーワ」</t>
  </si>
  <si>
    <t>ﾌﾛｾﾐﾄﾞｻｲﾘｭｳ4%｢EMEC｣</t>
  </si>
  <si>
    <t>フロセミド細粒４％「ＥＭＥＣ」</t>
  </si>
  <si>
    <t>ﾌﾛｾﾐﾄﾞｼﾞｮｳ20mg｢NIG｣</t>
  </si>
  <si>
    <t>フロセミド錠２０ｍｇ「ＮＩＧ」</t>
  </si>
  <si>
    <t>ﾌﾟﾛｽﾀﾝﾃﾞｨﾝﾅﾝｺｳ0.003%</t>
  </si>
  <si>
    <t>プロスタンディン軟膏０．００３％</t>
  </si>
  <si>
    <t>ﾌﾟﾛｸﾞﾗﾌｶﾌﾟｾﾙ1mg</t>
  </si>
  <si>
    <t>プログラフカプセル１ｍｇ</t>
  </si>
  <si>
    <t>ｽｲﾖｳｾｲﾌﾟﾚﾄﾞﾆﾝ10MG</t>
  </si>
  <si>
    <t>水溶性プレドニン１０ｍｇ</t>
  </si>
  <si>
    <t>ﾌﾟﾚﾄﾞﾆｿﾞﾛﾝｼﾞｮｳ5mg｢VTRS｣</t>
  </si>
  <si>
    <t>プレドニゾロン錠５ｍｇ「ＶＴＲＳ」</t>
  </si>
  <si>
    <t>ﾌﾟﾚﾄﾞﾆｿﾞﾛﾝｼﾞｮｳ1mg｢VTRS｣</t>
  </si>
  <si>
    <t>プレドニゾロン錠１ｍｇ「ＶＴＲＳ」</t>
  </si>
  <si>
    <t>ﾌﾟﾚｶﾞﾊﾞﾘﾝODｼﾞｮｳ75mg｢ｻﾜｲ｣</t>
  </si>
  <si>
    <t>プレガバリンＯＤ錠７５ｍｇ「サワイ」</t>
  </si>
  <si>
    <t>ﾌﾟﾚｶﾞﾊﾞﾘﾝODｼﾞｮｳ25mg｢ｻﾜｲ｣</t>
  </si>
  <si>
    <t>プレガバリンＯＤ錠２５ｍｇ「サワイ」</t>
  </si>
  <si>
    <t>ﾌﾙﾙﾊﾞﾝﾊﾟｯﾌﾟ40mg</t>
  </si>
  <si>
    <t>フルルバンパップ４０ｍｇ</t>
  </si>
  <si>
    <t>ﾌﾙﾆﾄﾗｾﾞﾊﾟﾑｼﾞｮｳ2mg｢ｱﾒﾙ｣</t>
  </si>
  <si>
    <t>フルニトラゼパム錠２ｍｇ「アメル」</t>
  </si>
  <si>
    <t>ﾌﾙﾆﾄﾗｾﾞﾊﾟﾑｼﾞｮｳ1mg｢ｱﾒﾙ｣</t>
  </si>
  <si>
    <t>ﾌﾙﾃﾞｶｼﾝｷﾝﾁｭｳ25mg</t>
  </si>
  <si>
    <t>ﾌﾙﾂﾛﾝｶﾌﾟｾﾙ200</t>
  </si>
  <si>
    <t>フルツロンカプセル２００</t>
  </si>
  <si>
    <t>ﾌﾙﾀｲﾄﾞ100ﾃﾞｨｽｶｽ</t>
  </si>
  <si>
    <t>フルタイド１００ディスカス</t>
  </si>
  <si>
    <t>ﾌﾙｺﾅｿﾞ-ﾙｶﾌﾟｾﾙ100MGｻﾜｲ</t>
  </si>
  <si>
    <t>フルコナゾールカプセル１００ｍｇ「サワイ」</t>
  </si>
  <si>
    <t>ﾌﾙｵﾛﾒﾄﾛﾝﾃﾝｶﾞﾝｴｷ0.1%NIT</t>
  </si>
  <si>
    <t>フルオロメトロン点眼液０．１％「ＮＩＴ」</t>
  </si>
  <si>
    <t>ﾌﾙｲﾄﾗﾝｼﾞｮｳ2mg</t>
  </si>
  <si>
    <t>ﾌﾟﾘﾝﾍﾟﾗﾝﾁﾕｳｼﾔｴｷ10MG</t>
  </si>
  <si>
    <t>プリンペラン注射液１０ｍｇ</t>
  </si>
  <si>
    <t>ﾌﾟﾘﾓﾎﾞﾗﾝｼﾞｮｳ5mg</t>
  </si>
  <si>
    <t>プリモボラン錠５ｍｇ</t>
  </si>
  <si>
    <t>ﾌﾟﾗﾝﾙｶｽﾄｼﾞｮｳ225mg｢ﾆﾁｲｺｳ｣</t>
  </si>
  <si>
    <t>プランルカスト錠２２５ｍｇ「日医工」</t>
  </si>
  <si>
    <t>ﾌﾗﾝﾄﾞﾙﾃｰﾌﾟ40mg</t>
  </si>
  <si>
    <t>フランドルテープ４０ｍｇ</t>
  </si>
  <si>
    <t>ﾌﾟﾗﾘｱﾋｶﾁｭｳ60mgｼﾘﾝｼﾞ</t>
  </si>
  <si>
    <t>プラリア皮下注６０ｍｇシリンジ（用時購入）</t>
  </si>
  <si>
    <t>ﾌﾟﾗﾊﾞｽﾀﾁﾝNaｼﾞｮｳ5mg｢ｻﾜｲ｣</t>
  </si>
  <si>
    <t>プラバスタチンＮａ錠５ｍｇ「サワイ」</t>
  </si>
  <si>
    <t>ﾌﾟﾗｾﾎﾞｻﾝ</t>
  </si>
  <si>
    <t>プラセボ散</t>
  </si>
  <si>
    <t>ﾌﾟﾗｾﾎﾞｻﾞﾔｸ</t>
  </si>
  <si>
    <t>プラセボ坐薬</t>
  </si>
  <si>
    <t>ﾌﾟﾗｾﾎﾞｶﾌﾟｾﾙ</t>
  </si>
  <si>
    <t>プラセボカプセル</t>
  </si>
  <si>
    <t>ﾌﾗｼﾞｰﾙﾅｲﾌｸｼﾞｮｳ250mg</t>
  </si>
  <si>
    <t>フラジール内服錠２５０ｍｇ</t>
  </si>
  <si>
    <t>ﾌﾗｼﾞｰﾙﾁﾂｼﾞｮｳ250mg</t>
  </si>
  <si>
    <t>フラジール腟錠２５０ｍｇ</t>
  </si>
  <si>
    <t>ﾌﾟﾗｻﾞｷｻｶﾌﾟｾﾙ110mg</t>
  </si>
  <si>
    <t>プラザキサカプセル１１０ｍｇ</t>
  </si>
  <si>
    <t>ｵｵﾂｶﾄｳｴｷ5%</t>
  </si>
  <si>
    <t>大塚糖液５％100ml</t>
  </si>
  <si>
    <t>ﾌﾞﾄﾞｳﾄｳﾁﾕｳ5%PLﾌｿ-</t>
  </si>
  <si>
    <t>ブドウ糖注５％ＰＬ「フソー」</t>
  </si>
  <si>
    <t>ﾌﾞﾄﾞｳﾄｳﾁｭｳ50%PL｢ﾌｿｰ｣</t>
  </si>
  <si>
    <t>ブドウ糖注５０％ＰＬ「フソー」</t>
  </si>
  <si>
    <t>ﾌﾞﾄﾞｳﾄｳﾁｭｳ20%PL｢ﾌｿｰ｣</t>
  </si>
  <si>
    <t>ブドウ糖注２０％ＰＬ「フソー」</t>
  </si>
  <si>
    <t>ﾌﾞﾄﾞｳﾄｳﾁｭｳ5%PL｢ﾌｿｰ｣</t>
  </si>
  <si>
    <t>ﾌﾞﾄﾞｳﾄｳ*(ﾌｿｳ)</t>
  </si>
  <si>
    <t>ブドウ糖＊（扶桑）</t>
  </si>
  <si>
    <t>ﾌﾞｽｺﾊﾟﾝﾁｭｳ20mg</t>
  </si>
  <si>
    <t>ﾌﾞｽｺﾊﾟﾝｼﾞｮｳ10mg</t>
  </si>
  <si>
    <t>ﾁﾕｳｼﾔﾖｳﾌｻﾝ50</t>
  </si>
  <si>
    <t>注射用フサン５０</t>
  </si>
  <si>
    <t>ﾌｫﾙﾃｵﾋｶﾁｭｳｷｯﾄ600μg</t>
  </si>
  <si>
    <t>フォルテオ皮下注キット６００μｇ</t>
  </si>
  <si>
    <t>ﾌｫﾘｱﾐﾝｼﾞｮｳ</t>
  </si>
  <si>
    <t>フォリアミン錠</t>
  </si>
  <si>
    <t>ﾌｫｼｰｶﾞｼﾞｮｳ5mg</t>
  </si>
  <si>
    <t>ﾌｴﾛｼﾞﾋﾟﾝｼﾞﾖｳ5MGNIG</t>
  </si>
  <si>
    <t>フェロジピン錠５ｍｇ「ＮＩＧ」</t>
  </si>
  <si>
    <t>ﾌｴﾛﾐｱｼﾞﾖｳ50MG</t>
  </si>
  <si>
    <t>フェロミア錠５０ｍｇ</t>
  </si>
  <si>
    <t>ﾌｪﾛﾐｱｶﾘｭｳ8.3%</t>
  </si>
  <si>
    <t>ﾌｴﾛｸﾞﾗﾃﾞﾕﾒﾂﾄｼﾞﾖｳ105MG</t>
  </si>
  <si>
    <t>ﾌｪﾛｼﾞﾋﾟﾝｼﾞｮｳ5mg｢武田ﾃﾊﾞ｣</t>
  </si>
  <si>
    <t>フェロジピン錠５ｍｇ「武田テバ」</t>
  </si>
  <si>
    <t>ﾌｴﾌﾞｷｿｽﾀﾂﾄODｼﾞﾖｳ10MGｻﾜｲ</t>
  </si>
  <si>
    <t>フェブキソスタットＯＤ錠１０ｍｇ「サワイ」</t>
  </si>
  <si>
    <t>ﾌｪﾌﾞｷｿｽﾀｯﾄｼﾞｮｳ10mg｢AFP｣</t>
  </si>
  <si>
    <t>ﾌｴﾉ-ﾙｱｴﾝｶﾘﾆﾒﾝﾄﾆﾂｺ-</t>
  </si>
  <si>
    <t>フェノール・亜鉛華リニメント「ニッコー」</t>
  </si>
  <si>
    <t>ﾌｪﾉﾊﾞｰﾙﾁｭｳｼｬｴｷ100mg</t>
  </si>
  <si>
    <t>フェノバール注射液１００ｍｇ</t>
  </si>
  <si>
    <t>ﾌｪﾉﾊﾞｰﾙｼﾞｮｳ30mg</t>
  </si>
  <si>
    <t>フェノバール錠３０ｍｇ</t>
  </si>
  <si>
    <t>ﾌｪﾉﾊﾞﾙﾋﾞﾀｰﾙｻﾝ10%｢ﾎｴｲ｣</t>
  </si>
  <si>
    <t>フェノバルビタール散１０％「ホエイ」</t>
  </si>
  <si>
    <t>ﾌｪｼﾞﾝｼﾞｮｳﾁｭｳ40mg</t>
  </si>
  <si>
    <t>フェジン静注４０ｍｇ</t>
  </si>
  <si>
    <t>ﾌｨﾌﾞﾗｽﾄｽﾌﾟﾚｰ500</t>
  </si>
  <si>
    <t>フィブラストスプレー５００</t>
  </si>
  <si>
    <t>ﾌｨｺﾝﾊﾟｼﾞｮｳ2mg</t>
  </si>
  <si>
    <t>フィコンパ錠２ｍｇ</t>
  </si>
  <si>
    <t>ﾌｧﾝｷﾞｿﾞﾝｼﾛｯﾌﾟ100mg/mL</t>
  </si>
  <si>
    <t>ファンギゾンシロップ１００ｍｇ／ｍＬ</t>
  </si>
  <si>
    <t>ﾌｧﾛﾑｼﾞｮｳ200mg</t>
  </si>
  <si>
    <t>ファロム錠２００ｍｇ</t>
  </si>
  <si>
    <t>ﾌｱﾓﾁｼﾞﾝｼﾞﾖｳﾁﾕｳｴｷ20MGｻﾜｲ</t>
  </si>
  <si>
    <t>ファモチジン静注液２０ｍｇ「サワイ」</t>
  </si>
  <si>
    <t>ﾌｧﾓﾁｼﾞﾝﾁｭｳｼｬﾖｳ20mg｢ｵｰﾊﾗ｣</t>
  </si>
  <si>
    <t>ファモチジン注射用２０ｍｇ「オーハラ」</t>
  </si>
  <si>
    <t>ﾌｧﾓﾁｼﾞﾝｻﾝ10%｢ｻﾜｲ｣</t>
  </si>
  <si>
    <t>ファモチジン散１０％「サワイ」</t>
  </si>
  <si>
    <t>ﾌｧﾓﾁｼﾞﾝDｼﾞｮｳ20mg｢ｻﾜｲ｣</t>
  </si>
  <si>
    <t>ファモチジンＤ錠２０ｍｇ「サワイ」</t>
  </si>
  <si>
    <t>ﾋﾟﾚﾉｷｼﾝｹﾝﾀﾞｸｾｲﾃﾝｶﾞﾝｴｷ0.005%｢ｻﾝﾃﾝ｣</t>
  </si>
  <si>
    <t>ピレノキシン懸濁性点眼液０．００５％「参天」</t>
  </si>
  <si>
    <t>ﾋﾙﾅﾐﾝｻｲﾘﾕｳ10%</t>
  </si>
  <si>
    <t>ヒルナミン細粒１０％</t>
  </si>
  <si>
    <t>ﾋﾙﾅﾐﾝｼﾞﾖｳ50MG</t>
  </si>
  <si>
    <t>ヒルナミン錠（５０ｍｇ）</t>
  </si>
  <si>
    <t>ﾋﾙﾅﾐﾝｼﾞﾖｳ25MG</t>
  </si>
  <si>
    <t>ヒルナミン錠（２５ｍｇ）</t>
  </si>
  <si>
    <t>ﾋﾙﾅﾐﾝｼﾞﾖｳ5MG</t>
  </si>
  <si>
    <t>ヒルナミン錠（５ｍｇ）</t>
  </si>
  <si>
    <t>ﾋﾙﾄﾞｲﾄﾞｿﾌﾄﾅﾝｺｳ0.3%</t>
  </si>
  <si>
    <t>ヒルドイドソフト軟膏０．３％</t>
  </si>
  <si>
    <t>ﾋﾟﾙｼｶｲﾆﾄﾞｴﾝｻﾝｴﾝｶﾌﾟｾﾙ50mg｢ﾆﾁｲｺｳ｣</t>
  </si>
  <si>
    <t>ピルシカイニド塩酸塩カプセル５０ｍｇ「日医工」</t>
  </si>
  <si>
    <t>ﾋﾟﾗﾏｲﾄﾞｹﾞﾝﾏﾂ</t>
  </si>
  <si>
    <t>ピラマイド原末</t>
  </si>
  <si>
    <t>ﾋﾞﾗﾉｱODｼﾞﾖｳ20MG</t>
  </si>
  <si>
    <t>ビラノアＯＤ錠２０ｍｇ</t>
  </si>
  <si>
    <t>ﾋﾞﾗﾉｱｼﾞｮｳ20mg</t>
  </si>
  <si>
    <t>ビラノア錠２０ｍｇ</t>
  </si>
  <si>
    <t>ﾋﾕ-ﾏﾛｸﾞﾐﾂｸｽ50ﾁﾕｳﾐﾘｵﾍﾟﾝ</t>
  </si>
  <si>
    <t>ヒューマログミックス５０注ミリオペン</t>
  </si>
  <si>
    <t>ﾋｭｰﾏﾛｸﾞﾐｯｸｽ25ﾁｭｳﾐﾘｵﾍﾟﾝ</t>
  </si>
  <si>
    <t>ヒューマログミックス２５注ミリオペン</t>
  </si>
  <si>
    <t>ﾋｭｰﾏﾘﾝRﾁｭｳﾐﾘｵﾍﾟﾝ</t>
  </si>
  <si>
    <t>ヒューマリンＲ注ミリオペン</t>
  </si>
  <si>
    <t>ﾋｭｰﾏﾘﾝRﾁｭｳ100ﾀﾝｲ/mL</t>
  </si>
  <si>
    <t>ヒューマリンＲ注１００単位／ｍＬ</t>
  </si>
  <si>
    <t>ﾋﾟﾓﾍﾞﾝﾀﾞﾝｼﾞｮｳ1.25mg｢TE｣</t>
  </si>
  <si>
    <t>ピモベンダン錠１．２５ｍｇ「ＴＥ」</t>
  </si>
  <si>
    <t>ﾋﾟﾒﾉｰﾙｶﾌﾟｾﾙ50mg</t>
  </si>
  <si>
    <t>ピメノールカプセル５０ｍｇ</t>
  </si>
  <si>
    <t>ﾋﾞﾑﾊﾟｯﾄﾃﾝﾃｷｼﾞｮｳﾁｭｳ200mg</t>
  </si>
  <si>
    <t>ビムパット点滴静注２００ｍｇ</t>
  </si>
  <si>
    <t>ﾋﾞﾑﾊﾟｯﾄｼﾞｮｳ100mg</t>
  </si>
  <si>
    <t>ビムパット錠１００ｍｇ</t>
  </si>
  <si>
    <t>ﾋﾞﾑﾊﾟｯﾄｼﾞｮｳ50mg</t>
  </si>
  <si>
    <t>ビムパット錠５０ｍｇ</t>
  </si>
  <si>
    <t>ﾋﾍﾞﾙﾅﾁｭｳ25mg</t>
  </si>
  <si>
    <t>ヒベルナ注２５ｍｇ</t>
  </si>
  <si>
    <t>ﾋﾍﾞﾙﾅｻﾝ10%</t>
  </si>
  <si>
    <t>ヒベルナ散１０％</t>
  </si>
  <si>
    <t>ﾋﾍﾞﾙﾅﾄｳｲｼﾞｮｳ25mg</t>
  </si>
  <si>
    <t>ﾋﾍﾞﾙﾅﾄｳｲｼﾞｮｳ5mg</t>
  </si>
  <si>
    <t>ヒベルナ糖衣錠５ｍｇ</t>
  </si>
  <si>
    <t>ﾋﾞﾍﾟﾘﾃﾞﾝｴﾝｻﾝｴﾝｻｲﾘｭｳ1%｢ｱﾒﾙ｣</t>
  </si>
  <si>
    <t>ビペリデン塩酸塩細粒１％「アメル」</t>
  </si>
  <si>
    <t>ﾋﾞﾍﾟﾘﾃﾞﾝｴﾝｻﾝｴﾝｼﾞｮｳ1mg｢ｱﾒﾙ｣</t>
  </si>
  <si>
    <t>ビペリデン塩酸塩錠１ｍｇ「アメル」</t>
  </si>
  <si>
    <t>ﾋﾞﾌﾟﾚｯｿｼﾞｮﾎｳｼﾞｮｳ150mg</t>
  </si>
  <si>
    <t>ビプレッソ徐放錠１５０ｍｇ</t>
  </si>
  <si>
    <t>ﾋﾞﾌﾟﾚｯｿｼﾞｮﾎｳｼﾞｮｳ50mg</t>
  </si>
  <si>
    <t>ビプレッソ徐放錠５０ｍｇ</t>
  </si>
  <si>
    <t>ﾋﾞﾌﾞﾗﾏｲｼﾝｼﾞﾖｳ50MG</t>
  </si>
  <si>
    <t>ビブラマイシン錠５０ｍｇ</t>
  </si>
  <si>
    <t>ﾋﾞﾀﾞﾗﾋﾞﾝﾅﾝｺｳ3%｢SW｣</t>
  </si>
  <si>
    <t>ビダラビン軟膏３％「ＳＷ」</t>
  </si>
  <si>
    <t>ﾋﾞﾀﾉｲﾘﾝｶﾌﾟｾﾙ50</t>
  </si>
  <si>
    <t>ビタノイリンカプセル５０</t>
  </si>
  <si>
    <t>ﾋﾞｿﾙﾎﾞﾝｷｭｳﾆｭｳｴｷ0.2%</t>
  </si>
  <si>
    <t>ビソルボン吸入液０．２％</t>
  </si>
  <si>
    <t>ﾋﾞｿﾙﾎﾞﾝﾁｭｳ4mg</t>
  </si>
  <si>
    <t>ビソルボン注４ｍｇ</t>
  </si>
  <si>
    <t>ﾋﾞｿﾌﾟﾛﾛ-ﾙﾌﾏﾙｻﾝｴﾝｼﾞﾖｳ0.625MGﾄ-ﾜ</t>
  </si>
  <si>
    <t>ビソプロロールフマル酸塩錠０．６２５ｍｇ「トーワ」</t>
  </si>
  <si>
    <t>ﾋﾞｿﾌﾟﾛﾛ-ﾙﾌﾏﾙｻﾝｴﾝｼﾞﾖｳ2.5MGﾄ-ﾜ</t>
  </si>
  <si>
    <t>ビソプロロールフマル酸塩錠２．５ｍｇ「トーワ」</t>
  </si>
  <si>
    <t>ﾋﾞｿﾌﾟﾛﾛｰﾙﾌﾏﾙｻﾝｴﾝｼﾞｮｳ2.5mg｢ﾃﾊﾞ｣</t>
  </si>
  <si>
    <t>ビソプロロールフマル酸塩錠２．５ｍｇ「テバ」</t>
  </si>
  <si>
    <t>ﾋﾞｿﾌﾟﾛﾛｰﾙﾌﾏﾙｻﾝｴﾝｼﾞｮｳ0.625mg｢ﾃﾊﾞ｣</t>
  </si>
  <si>
    <t>ビソプロロールフマル酸塩錠０．６２５ｍｇ「テバ」</t>
  </si>
  <si>
    <t>ﾋﾞｿﾉﾃ-ﾌﾟ2MG</t>
  </si>
  <si>
    <t>ビソノテープ２ｍｇ</t>
  </si>
  <si>
    <t>ﾋﾞｿﾉﾃｰﾌﾟ4mg</t>
  </si>
  <si>
    <t>ビソノテープ４ｍｇ</t>
  </si>
  <si>
    <t>ﾋﾟｰｾﾞｯﾄｼｰﾄｳｲｼﾞｮｳ4mg</t>
  </si>
  <si>
    <t>ﾋﾞ･ｼﾌﾛｰﾙｼﾞｮｳ0.125mg</t>
  </si>
  <si>
    <t>ビ・シフロール錠０．１２５ｍｇ</t>
  </si>
  <si>
    <t>ﾋﾟｺｽﾙﾌｧｰﾄﾅﾄﾘｳﾑﾅｲﾖｳｴｷ0.75%｢ｲﾜｷ｣</t>
  </si>
  <si>
    <t>ピコスルファートナトリウム内用液０．７５％「イワキ」</t>
  </si>
  <si>
    <t>ﾋﾟｺｽﾙﾌｧｰﾄﾅﾄﾘｳﾑｼﾞｮｳ2.5mg｢ｲﾜｷ｣</t>
  </si>
  <si>
    <t>ピコスルファートナトリウム錠２．５ｍｇ「イワキ」</t>
  </si>
  <si>
    <t>ﾋﾞｸﾄｰｻﾞﾋｶﾁｭｳ18mg</t>
  </si>
  <si>
    <t>ビクトーザ皮下注１８ｍｇ</t>
  </si>
  <si>
    <t>ﾋﾞｶﾙﾀﾐﾄﾞｼﾞﾖｳ80MGｵ-ﾊﾗ</t>
  </si>
  <si>
    <t>ビカルタミド錠８０ｍｇ「オーハラ」</t>
  </si>
  <si>
    <t>ﾋﾞｶﾙﾀﾐﾄﾞｼﾞｮｳ80mg｢VTRS｣</t>
  </si>
  <si>
    <t>ビカルタミド錠８０ｍｇ「ＶＴＲＳ」</t>
  </si>
  <si>
    <t>ﾋﾞｵﾌｪﾙﾐﾝｼﾞｮｳｻﾞｲ</t>
  </si>
  <si>
    <t>ﾋﾞｵﾌｪﾙﾐﾝﾊｲｺﾞｳｻﾝ</t>
  </si>
  <si>
    <t>ﾋﾟｵｸﾞﾘﾀｿﾞﾝODｼﾞﾖｳ15MGﾄ-ﾜ</t>
  </si>
  <si>
    <t>ピオグリタゾンＯＤ錠１５ｍｇ「トーワ」</t>
  </si>
  <si>
    <t>ﾋｱﾙﾛﾝｻﾝNaﾃﾝｶﾞﾝｴｷ0.1%｢ﾆｯﾄｰ｣</t>
  </si>
  <si>
    <t>ヒアルロン酸Ｎａ点眼液０．１％「ニットー」</t>
  </si>
  <si>
    <t>ﾊﾟﾝﾄｰﾙﾁｭｳｼｬｴｷ500mg</t>
  </si>
  <si>
    <t>パントール注射液５００ｍｇ</t>
  </si>
  <si>
    <t>ﾊﾟﾝﾄｼﾝｼﾞｮｳ200</t>
  </si>
  <si>
    <t>パントシン錠２００</t>
  </si>
  <si>
    <t>ﾊﾟﾝﾄｼﾝｻﾝ20%</t>
  </si>
  <si>
    <t>パントシン散２０％</t>
  </si>
  <si>
    <t>ﾊﾞﾝｺﾏｲｼﾝｴﾝｻﾝｴﾝﾃﾝﾃｷｼﾞｮｳﾁｭｳﾖｳ0.5g｢VTRS｣</t>
  </si>
  <si>
    <t>バンコマイシン塩酸塩点滴静注用０．５ｇ「ＶＴＲＳ」</t>
  </si>
  <si>
    <t>ﾊﾛﾏﾝｽﾁｭｳ100mg</t>
  </si>
  <si>
    <t>ハロマンス注１００ｍｇ</t>
  </si>
  <si>
    <t>ﾊﾛﾏﾝｽﾁｭｳ50mg</t>
  </si>
  <si>
    <t>ハロマンス注５０ｍｇ</t>
  </si>
  <si>
    <t>ﾊﾛﾍﾟﾘﾄﾞｰﾙｻｲﾘｭｳ1%｢ﾖｼﾄﾐ｣</t>
  </si>
  <si>
    <t>ハロペリドール細粒１％「ヨシトミ」</t>
  </si>
  <si>
    <t>ﾊﾛﾍﾟﾘﾄﾞｰﾙｻｲﾘｭｳ1%｢ｱﾒﾙ｣</t>
  </si>
  <si>
    <t>ハロペリドール細粒１％「アメル」</t>
  </si>
  <si>
    <t>ﾊﾛﾍﾟﾘﾄﾞｰﾙｼﾞｮｳ3mg｢ｱﾒﾙ｣</t>
  </si>
  <si>
    <t>ハロペリドール錠３ｍｇ「アメル」</t>
  </si>
  <si>
    <t>ﾊﾛﾍﾟﾘﾄﾞｰﾙｼﾞｮｳ1.5mg｢ｱﾒﾙ｣</t>
  </si>
  <si>
    <t>ハロペリドール錠１．５ｍｇ「アメル」</t>
  </si>
  <si>
    <t>ﾊﾛﾍﾟﾘﾄﾞｰﾙｼﾞｮｳ1mg｢ﾀｶﾀ｣</t>
  </si>
  <si>
    <t>ハロペリドール錠１ｍｇ「タカタ」</t>
  </si>
  <si>
    <t>ﾊﾛﾍﾟﾘﾄﾞｰﾙｼﾞｮｳ1mg｢ｱﾒﾙ｣</t>
  </si>
  <si>
    <t>ハロペリドール錠１ｍｇ「アメル」</t>
  </si>
  <si>
    <t>ﾊﾛﾍﾟﾘﾄﾞｰﾙｼﾞｮｳ0.75mg｢ｱﾒﾙ｣</t>
  </si>
  <si>
    <t>ハロペリドール錠０．７５ｍｇ「アメル」</t>
  </si>
  <si>
    <t>ﾊﾟﾛｷｾﾁﾝODｼﾞﾖｳ10MGﾄ-ﾜ</t>
  </si>
  <si>
    <t>パロキセチンＯＤ錠１０ｍｇ「トーワ」</t>
  </si>
  <si>
    <t>ﾊﾟﾚﾌﾟﾗｽﾕｴｷ</t>
  </si>
  <si>
    <t>ﾊﾟﾙﾓﾃﾞｲｱXRｼﾞﾖｳ0.2MG</t>
  </si>
  <si>
    <t>パルモディアＸＲ錠０．２ｍｇ</t>
  </si>
  <si>
    <t>ﾊﾞﾙﾌﾟﾛｻﾝﾅﾄﾘｳﾑｼﾛﾂﾌﾟ5%DSP</t>
  </si>
  <si>
    <t>ﾊﾞﾙﾌﾟﾛｻﾝNaｼﾞｮﾎｳｶﾘｭｳ40%｢ﾌｼﾞﾅｶﾞ｣</t>
  </si>
  <si>
    <t>バルプロ酸Ｎａ徐放顆粒４０％「フジナガ」</t>
  </si>
  <si>
    <t>ﾊﾞﾙﾌﾟﾛｻﾝﾅﾄﾘｳﾑｼﾞｮｳ200mg｢DSP｣</t>
  </si>
  <si>
    <t>バルプロ酸ナトリウム錠２００ｍｇ「ＤＳＰ」</t>
  </si>
  <si>
    <t>ﾊﾞﾗｼｸﾛﾋﾞﾙｼﾞﾖｳ500MGSPKK</t>
  </si>
  <si>
    <t>バラシクロビル錠５００ｍｇ「ＳＰＫＫ」</t>
  </si>
  <si>
    <t>ﾊﾞﾗｼｸﾛﾋﾞﾙｼﾞｮｳ500mg｢NP｣</t>
  </si>
  <si>
    <t>バラシクロビル錠５００ｍｇ「ＮＰ」</t>
  </si>
  <si>
    <t>ﾊﾞﾗｸﾙｰﾄﾞｼﾞｮｳ0.5mg</t>
  </si>
  <si>
    <t>バラクルード錠０．５ｍｇ</t>
  </si>
  <si>
    <t>ﾊﾍﾞｶｼﾝﾁｭｳｼｬｴｷ75mg</t>
  </si>
  <si>
    <t>ハベカシン注射液７５ｍｇ</t>
  </si>
  <si>
    <t>ﾊｰﾌｼﾞｺﾞｷｼﾝKYｼﾞｮｳ0.125</t>
  </si>
  <si>
    <t>ハーフジゴキシンＫＹ錠０．１２５</t>
  </si>
  <si>
    <t>ﾊﾞﾅﾝｼﾞｮｳ100mg</t>
  </si>
  <si>
    <t>バナン錠１００ｍｇ</t>
  </si>
  <si>
    <t>ﾊﾞｯｻﾐﾝﾊｲｺﾞｳｼﾞｮｳA81</t>
  </si>
  <si>
    <t>ﾊｸｼｮｸﾜｾﾘﾝ</t>
  </si>
  <si>
    <t>白色ワセリン</t>
  </si>
  <si>
    <t>ﾊﾟｷﾛﾋﾞﾂﾄﾞﾊﾟﾂｸ600</t>
  </si>
  <si>
    <t>パキロビッドパック６００</t>
  </si>
  <si>
    <t>ﾊﾟｷﾛﾋﾞﾂﾄﾞﾊﾟﾂｸ300</t>
  </si>
  <si>
    <t>パキロビッドパック３００</t>
  </si>
  <si>
    <t>ﾊﾟｷｼﾙCRｼﾞｮｳ12.5mg</t>
  </si>
  <si>
    <t>パキシルＣＲ錠１２．５ｍｇ</t>
  </si>
  <si>
    <t>ﾊﾟｷｼﾙｼﾞｮｳ10mg</t>
  </si>
  <si>
    <t>パキシル錠１０ｍｇ</t>
  </si>
  <si>
    <t>ﾊｲﾍﾟﾝｼﾞﾖｳ200MG</t>
  </si>
  <si>
    <t>ハイペン錠２００ｍｇ</t>
  </si>
  <si>
    <t>ﾊｲﾊﾟｼﾞｰﾙｺｰﾜﾃﾝｶﾞﾝｴｷ0.25%</t>
  </si>
  <si>
    <t>ハイパジールコーワ点眼液０．２５％</t>
  </si>
  <si>
    <t>ﾉﾙｱﾄﾞﾚﾅﾘﾝﾁｭｳｼｬｴｷ</t>
  </si>
  <si>
    <t>ノルアドレナリン注射液</t>
  </si>
  <si>
    <t>ﾉﾎﾞﾘﾝNﾁｭｳﾌﾚｯｸｽﾍﾟﾝ</t>
  </si>
  <si>
    <t>ノボリンＮ注フレックスペン</t>
  </si>
  <si>
    <t>ﾉﾎﾞﾗﾋﾟｯﾄﾞﾁｭｳ ﾌﾚｯｸｽﾍﾟﾝ</t>
  </si>
  <si>
    <t>ノボラピッド注 フレックスペン</t>
  </si>
  <si>
    <t>ﾉﾍﾞﾙｼﾞﾝｼﾞｮｳ25mg</t>
  </si>
  <si>
    <t>ノベルジン錠２５ｍｇ</t>
  </si>
  <si>
    <t>ﾉｳﾘｱｽﾄｼﾞﾖｳ20MG</t>
  </si>
  <si>
    <t>ノウリアスト錠２０ｍｇ</t>
  </si>
  <si>
    <t>ﾉｲﾛﾋﾞﾀﾝﾊｲｺﾞｳｼﾞﾖｳ</t>
  </si>
  <si>
    <t>ﾉｲﾛﾄﾛﾋﾟﾝｼﾞｮｳ4ﾀﾝｲ</t>
  </si>
  <si>
    <t>ノイロトロピン錠４単位</t>
  </si>
  <si>
    <t>ﾈﾘｿﾞﾅﾕﾆﾊﾞｰｻﾙｸﾘｰﾑ0.1%</t>
  </si>
  <si>
    <t>ネリゾナユニバーサルクリーム０．１％</t>
  </si>
  <si>
    <t>ﾈｽﾌﾟﾁｭｳｼｬｴｷ120μgﾌﾟﾗｼﾘﾝｼﾞ</t>
  </si>
  <si>
    <t>ネスプ注射液１２０μｇプラシリンジ</t>
  </si>
  <si>
    <t>ﾈｽﾌﾟﾁｭｳｼｬｴｷ40μgﾌﾟﾗｼﾘﾝｼﾞ</t>
  </si>
  <si>
    <t>ネスプ注射液４０μｇプラシリンジ</t>
  </si>
  <si>
    <t>ﾈｵｰﾗﾙ50mgｶﾌﾟｾﾙ</t>
  </si>
  <si>
    <t>ネオーラル５０ｍｇカプセル</t>
  </si>
  <si>
    <t>ﾈｵﾒﾄﾞﾛ-ﾙEEﾅﾝｺｳ</t>
  </si>
  <si>
    <t>ネオメドロールＥＥ軟膏</t>
  </si>
  <si>
    <t>ﾈｵﾌｧｰｹﾞﾝｼﾞｮｳﾁｭｳ20mL</t>
  </si>
  <si>
    <t>ネオファーゲン静注２０ｍＬ</t>
  </si>
  <si>
    <t>ﾈｵﾌｨﾘﾝﾁｭｳ250mg</t>
  </si>
  <si>
    <t>ネオフィリン注２５０ｍｇ</t>
  </si>
  <si>
    <t>ﾈｵﾄﾞﾊﾟｽﾄﾝﾊｲｺﾞｳｼﾞｮｳL100</t>
  </si>
  <si>
    <t>ﾈｲﾘﾝｶﾌﾟｾﾙ100mg</t>
  </si>
  <si>
    <t>ネイリンカプセル１００ｍｇ（用時購入）</t>
  </si>
  <si>
    <t>ﾆﾙﾊﾞｼﾞﾋﾟﾝ4MGｼﾞﾖｳ</t>
  </si>
  <si>
    <t>ニルバジピン４ｍｇ錠</t>
  </si>
  <si>
    <t>ﾆﾙﾊﾞｼﾞﾋﾟﾝｼﾞｮｳ2mg｢ｻﾜｲ｣</t>
  </si>
  <si>
    <t>ﾆｮｳｿｸﾘｰﾑ10%｢ﾆﾁｲｺｳ｣</t>
  </si>
  <si>
    <t>尿素クリーム１０％「日医工」</t>
  </si>
  <si>
    <t>ﾆｭｰﾚﾌﾟﾁﾙｼﾞｮｳ10mg</t>
  </si>
  <si>
    <t>ニューレプチル錠１０ｍｇ</t>
  </si>
  <si>
    <t>ﾆｭｰﾚﾌﾟﾁﾙｼﾞｮｳ5mg</t>
  </si>
  <si>
    <t>ニューレプチル錠５ｍｇ</t>
  </si>
  <si>
    <t>ﾆｭｰﾓﾊﾞｯｸｽNPｼﾘﾝｼﾞ</t>
  </si>
  <si>
    <t>ニューモバックスＮＰシリンジ（用時購入）</t>
  </si>
  <si>
    <t>ﾆﾕ-ﾌﾟﾛﾊﾟﾂﾁ4.5MG</t>
  </si>
  <si>
    <t>ニュープロパッチ４．５ｍｇ</t>
  </si>
  <si>
    <t>ﾆｭｰﾌﾟﾛﾊﾟｯﾁ9mg</t>
  </si>
  <si>
    <t>ニュープロパッチ９ｍｇ</t>
  </si>
  <si>
    <t>ﾆｭｳﾄｳｽｲﾜﾌﾞﾂ</t>
  </si>
  <si>
    <t>乳糖水和物</t>
  </si>
  <si>
    <t>ﾆﾌﾟﾗｼﾞﾛｰﾙPFﾃﾝｶﾞﾝｴｷ0.25%｢ﾆｯﾃﾝ｣</t>
  </si>
  <si>
    <t>ニプラジロールＰＦ点眼液０．２５％「日点」</t>
  </si>
  <si>
    <t>ﾆﾌｪｼﾞﾋﾟﾝｶﾌﾟｾﾙ10mg｢ｻﾜｲ｣</t>
  </si>
  <si>
    <t>ニフェジピンカプセル１０ｍｇ「サワイ」</t>
  </si>
  <si>
    <t>ﾆﾄﾛﾍﾟﾝｾﾞｯｶｼﾞｮｳ0.3mg</t>
  </si>
  <si>
    <t>ニトロペン舌下錠０．３ｍｇ</t>
  </si>
  <si>
    <t>ﾆﾄﾗｾﾞﾊﾟﾑｻｲﾘｭｳ1%｢TCK｣</t>
  </si>
  <si>
    <t>ニトラゼパム細粒１％「ＴＣＫ」</t>
  </si>
  <si>
    <t>ﾆｿﾞﾗｰﾙﾛｰｼｮﾝ2%</t>
  </si>
  <si>
    <t>ﾆｿﾞﾗｰﾙｸﾘｰﾑ2%</t>
  </si>
  <si>
    <t>ニゾラールクリーム２％</t>
  </si>
  <si>
    <t>ﾆｾﾙｺﾞﾘﾝｼﾞｮｳ5mg｢ﾄｰﾜ｣</t>
  </si>
  <si>
    <t>ニセルゴリン錠５ｍｇ「トーワ」</t>
  </si>
  <si>
    <t>ﾆｺﾗﾝｼﾞﾙｼﾞﾖｳ5MGｻﾜｲ</t>
  </si>
  <si>
    <t>ニコランジル錠５ｍｇ「サワイ」</t>
  </si>
  <si>
    <t>ﾆｺﾗﾝｼﾞﾙｼﾞｮｳ5mg｢ﾄｰﾜ｣</t>
  </si>
  <si>
    <t>ニコランジル錠５ｍｇ「トーワ」</t>
  </si>
  <si>
    <t>ﾆｺﾁﾝｻﾝｱﾐﾄﾞｻﾝ10%｢ｿﾞﾝﾈ｣</t>
  </si>
  <si>
    <t>ニコチン酸アミド散１０％「ゾンネ」</t>
  </si>
  <si>
    <t>ﾅﾌｧﾓｽﾀｯﾄﾒｼﾙｻﾝｴﾝ50mgﾁｭｳｼｬﾖｳ</t>
  </si>
  <si>
    <t>ナファモスタットメシル酸塩５０ｍｇ注射用</t>
  </si>
  <si>
    <t>ﾅﾄﾘｯｸｽｼﾞｮｳ1</t>
  </si>
  <si>
    <t>ﾅｳｾﾞﾘﾝｻﾞｻﾞｲ60</t>
  </si>
  <si>
    <t>ナウゼリン坐剤６０</t>
  </si>
  <si>
    <t>ﾅｲﾛｼﾞﾝﾁｭｳ</t>
  </si>
  <si>
    <t>ナイロジン注</t>
  </si>
  <si>
    <t>ﾄﾞﾝﾍﾟﾘﾄﾞﾝｼﾞﾖｳ10MGJG</t>
  </si>
  <si>
    <t>ドンペリドン錠１０ｍｇ「ＪＧ」</t>
  </si>
  <si>
    <t>ﾄﾞﾝﾍﾟﾘﾄﾞﾝｼﾞｮｳ10mg｢ﾄｰﾜ｣</t>
  </si>
  <si>
    <t>ドンペリドン錠１０ｍｇ「トーワ」</t>
  </si>
  <si>
    <t>ﾄｰﾜﾁｰﾑﾊｲｺﾞｳｶﾘｭｳ</t>
  </si>
  <si>
    <t>ﾄﾛﾝﾋﾞﾝｴｷﾓﾁﾀﾞ ｿﾌﾄﾎﾞﾄﾙ1ﾏﾝ</t>
  </si>
  <si>
    <t>トロンビン液モチダ ソフトボトル１万</t>
  </si>
  <si>
    <t>ﾄﾛﾍﾟﾛﾝﾁｭｳ4mg</t>
  </si>
  <si>
    <t>ﾄﾛﾍﾟﾛﾝｻｲﾘｭｳ1%</t>
  </si>
  <si>
    <t>トロペロン細粒１％</t>
  </si>
  <si>
    <t>ﾄﾛﾍﾟﾛﾝｼﾞｮｳ3mg</t>
  </si>
  <si>
    <t>トロペロン錠３ｍｇ</t>
  </si>
  <si>
    <t>ﾄﾛﾍﾟﾛﾝｼﾞｮｳ1mg</t>
  </si>
  <si>
    <t>トロペロン錠１ｍｇ</t>
  </si>
  <si>
    <t>ﾄﾞﾛｷｼﾄﾞﾊﾟｶﾌﾟｾﾙ100mg｢ｱﾒﾙ｣</t>
  </si>
  <si>
    <t>ドロキシドパカプセル１００ｍｇ「アメル」</t>
  </si>
  <si>
    <t>ﾄﾚﾘｰﾌODｼﾞｮｳ25mg</t>
  </si>
  <si>
    <t>トレリーフＯＤ錠２５ｍｇ</t>
  </si>
  <si>
    <t>ﾄﾚｰﾗﾝGｴｷ75g</t>
  </si>
  <si>
    <t>トレーランＧ液７５ｇ</t>
  </si>
  <si>
    <t>ﾄﾚﾄﾞﾐﾝｼﾞｮｳ25mg</t>
  </si>
  <si>
    <t>ﾄﾚﾄﾞﾐﾝｼﾞｮｳ15mg</t>
  </si>
  <si>
    <t>ﾄﾚｼｰﾊﾞﾁｭｳ ﾌﾚｯｸｽﾀｯﾁ</t>
  </si>
  <si>
    <t>トレシーバ注 フレックスタッチ</t>
  </si>
  <si>
    <t>ﾄﾙﾘｼﾃｨﾋｶﾁｭｳ0.75mgｱﾃｵｽ</t>
  </si>
  <si>
    <t>トルリシティ皮下注０．７５ｍｇアテオス</t>
  </si>
  <si>
    <t>ﾄﾞﾙﾐｶﾑﾁｭｳｼｬｴｷ10mg</t>
  </si>
  <si>
    <t>ドルミカム注射液１０ｍｇ</t>
  </si>
  <si>
    <t>ﾄﾙﾊﾞﾌﾟﾀﾝODｼﾞｮｳ7.5mg｢TE｣</t>
  </si>
  <si>
    <t>トルバプタンＯＤ錠７．５ｍｇ「ＴＥ」</t>
  </si>
  <si>
    <t>ﾄﾙｿﾌﾟﾄﾃﾝｶﾞﾝｴｷ1%</t>
  </si>
  <si>
    <t>トルソプト点眼液１％</t>
  </si>
  <si>
    <t>ﾄﾘﾝﾃﾘｯｸｽｼﾞｮｳ10mg</t>
  </si>
  <si>
    <t>トリンテリックス錠１０ｍｇ</t>
  </si>
  <si>
    <t>ﾄﾘﾒﾌﾞﾁﾝﾏﾚｲﾝｻﾝｴﾝｼﾞｮｳ100mg｢ﾄｰﾜ｣</t>
  </si>
  <si>
    <t>トリメブチンマレイン酸塩錠１００ｍｇ「トーワ」</t>
  </si>
  <si>
    <t>ﾄﾘﾍｷｼﾌｴﾆｼﾞﾙｴﾝｻﾝｴﾝｼﾞﾖｳ2MGNIG</t>
  </si>
  <si>
    <t>トリヘキシフェニジル塩酸塩錠２ｍｇ「ＮＩＧ」</t>
  </si>
  <si>
    <t>ﾄﾘﾍｷｼﾌｪﾆｼﾞﾙｴﾝｻﾝｴﾝｼﾞｮｳ2mg｢ﾀｶﾀ｣</t>
  </si>
  <si>
    <t>トリヘキシフェニジル塩酸塩錠２ｍｇ「タカタ」</t>
  </si>
  <si>
    <t>ﾄﾘﾌﾘｰﾄﾞﾕｴｷ</t>
  </si>
  <si>
    <t>ﾄﾘﾌﾟﾀﾉｰﾙｼﾞｮｳ25</t>
  </si>
  <si>
    <t>ﾄﾘｱｿﾞﾗﾑｼﾞﾖｳ0.25MGCH</t>
  </si>
  <si>
    <t>トリアゾラム錠０．２５ｍｇ「ＣＨ」</t>
  </si>
  <si>
    <t>ﾄﾘｱｿﾞﾗﾑｼﾞｮｳ0.25mg｢ﾃﾊﾞ｣</t>
  </si>
  <si>
    <t>トリアゾラム錠０．２５ｍｇ「テバ」</t>
  </si>
  <si>
    <t>ﾄﾘｱｿﾞﾗﾑｼﾞｮｳ0.25mg｢ﾆﾁｲｺｳ｣</t>
  </si>
  <si>
    <t>トリアゾラム錠０．２５ｍｇ「日医工」</t>
  </si>
  <si>
    <t>ﾄﾗﾝｻﾐﾝﾁｭｳ5%</t>
  </si>
  <si>
    <t>トランサミン注５％</t>
  </si>
  <si>
    <t>ﾄﾗﾝｻﾐﾝｶﾌﾟｾﾙ250mg</t>
  </si>
  <si>
    <t>トランサミンカプセル２５０ｍｇ</t>
  </si>
  <si>
    <t>ﾄﾗﾑｾｯﾄﾊｲｺﾞｳｼﾞｮｳ</t>
  </si>
  <si>
    <t>トラムセット配合錠</t>
  </si>
  <si>
    <t>ﾄﾗﾏ-ﾙODｼﾞﾖｳ25MG</t>
  </si>
  <si>
    <t>トラマールＯＤ錠２５ｍｇ</t>
  </si>
  <si>
    <t>ﾄﾗﾏｰﾙODｼﾞｮｳ50mg</t>
  </si>
  <si>
    <t>トラマールＯＤ錠５０ｍｇ</t>
  </si>
  <si>
    <t>ﾄﾗｿﾞﾄﾞﾝｴﾝｻﾝｴﾝｼﾞｮｳ25mg｢ｱﾒﾙ｣</t>
  </si>
  <si>
    <t>トラゾドン塩酸塩錠２５ｍｇ「アメル」</t>
  </si>
  <si>
    <t>ﾄﾗｾﾐﾄﾞｼﾞﾖｳ4MGKO</t>
  </si>
  <si>
    <t>トラセミド錠４ｍｇ「ＫＯ」</t>
  </si>
  <si>
    <t>ﾄﾗｾﾞﾝﾀｼﾞｮｳ5mg</t>
  </si>
  <si>
    <t>トラゼンタ錠５ｍｇ</t>
  </si>
  <si>
    <t>ﾄﾞﾎﾞﾈｯｸｽﾅﾝｺｳ50μg/g</t>
  </si>
  <si>
    <t>ドボネックス軟膏５０μｇ／ｇ</t>
  </si>
  <si>
    <t>ﾄﾌﾗﾆｰﾙｼﾞｮｳ10mg</t>
  </si>
  <si>
    <t>ﾄﾞﾌﾟｽODｼﾞｮｳ100mg</t>
  </si>
  <si>
    <t>ドプスＯＤ錠１００ｍｇ</t>
  </si>
  <si>
    <t>ﾄﾋﾟﾛﾘｯｸｼﾞｮｳ40mg</t>
  </si>
  <si>
    <t>トピロリック錠４０ｍｇ</t>
  </si>
  <si>
    <t>ﾄﾋﾟﾅｼﾞｮｳ50mg</t>
  </si>
  <si>
    <t>トピナ錠５０ｍｇ</t>
  </si>
  <si>
    <t>ﾄﾞﾊﾟﾐﾝｴﾝｻﾝｴﾝﾃﾝﾃｷｼﾞｮｳﾁｭｳ100mg｢NP｣</t>
  </si>
  <si>
    <t>ドパミン塩酸塩点滴静注１００ｍｇ「ＮＰ」</t>
  </si>
  <si>
    <t>ﾄﾞﾊﾟｽﾄﾝｼﾞｮｳﾁｭｳ50mg</t>
  </si>
  <si>
    <t>ドパストン静注５０ｍｇ</t>
  </si>
  <si>
    <t>ﾄﾞﾈﾍﾟｼﾞﾙｴﾝｻﾝｴﾝODｼﾞﾖｳ10MGﾄ-ﾜ</t>
  </si>
  <si>
    <t>ドネペジル塩酸塩ＯＤ錠１０ｍｇ「トーワ」</t>
  </si>
  <si>
    <t>ﾄﾞﾈﾍﾟｼﾞﾙｴﾝｻﾝｴﾝODｼﾞﾖｳ5MGﾄ-ﾜ</t>
  </si>
  <si>
    <t>ドネペジル塩酸塩ＯＤ錠５ｍｇ「トーワ」</t>
  </si>
  <si>
    <t>ﾄﾞﾈﾍﾟｼﾞﾙｴﾝｻﾝｴﾝODｼﾞﾖｳ3MGﾄ-ﾜ</t>
  </si>
  <si>
    <t>ドネペジル塩酸塩ＯＤ錠３ｍｇ「トーワ」</t>
  </si>
  <si>
    <t>ﾄﾞﾈﾍﾟｼﾞﾙｴﾝｻﾝｴﾝODｼﾞｮｳ10mg｢ｵｰﾊﾗ｣</t>
  </si>
  <si>
    <t>ドネペジル塩酸塩ＯＤ錠１０ｍｇ「オーハラ」</t>
  </si>
  <si>
    <t>ﾄﾞﾈﾍﾟｼﾞﾙｴﾝｻﾝｴﾝODｼﾞｮｳ10mg｢ﾒｲｼﾞ｣</t>
  </si>
  <si>
    <t>ドネペジル塩酸塩ＯＤ錠１０ｍｇ「明治」</t>
  </si>
  <si>
    <t>ﾄﾞﾈﾍﾟｼﾞﾙｴﾝｻﾝｴﾝｻｲﾘｭｳ0.5%｢ﾆﾁｲｺｳ｣</t>
  </si>
  <si>
    <t>ドネペジル塩酸塩細粒０．５％「日医工」</t>
  </si>
  <si>
    <t>ﾄﾞﾈﾍﾟｼﾞﾙｴﾝｻﾝｴﾝODｼﾞｮｳ5mg｢ｵｰﾊﾗ｣</t>
  </si>
  <si>
    <t>ドネペジル塩酸塩ＯＤ錠５ｍｇ「オーハラ」</t>
  </si>
  <si>
    <t>ﾄﾞﾈﾍﾟｼﾞﾙｴﾝｻﾝｴﾝODｼﾞｮｳ5mg｢ﾒｲｼﾞ｣</t>
  </si>
  <si>
    <t>ドネペジル塩酸塩ＯＤ錠５ｍｇ「明治」</t>
  </si>
  <si>
    <t>ﾄﾞﾈﾍﾟｼﾞﾙｴﾝｻﾝｴﾝODｼﾞｮｳ3mg｢ｵｰﾊﾗ｣</t>
  </si>
  <si>
    <t>ドネペジル塩酸塩ＯＤ錠３ｍｇ「オーハラ」</t>
  </si>
  <si>
    <t>ﾄﾞﾈﾍﾟｼﾞﾙｴﾝｻﾝｴﾝODｼﾞｮｳ3mg｢ﾒｲｼﾞ｣</t>
  </si>
  <si>
    <t>ドネペジル塩酸塩ＯＤ錠３ｍｇ「明治」</t>
  </si>
  <si>
    <t>ﾄｽｷｻｼﾝｼﾞﾖｳ150MG</t>
  </si>
  <si>
    <t>トスキサシン錠１５０ｍｇ</t>
  </si>
  <si>
    <t>ﾄﾞｸﾞﾏﾁｰﾙｻｲﾘｭｳ50%</t>
  </si>
  <si>
    <t>ドグマチール細粒５０％</t>
  </si>
  <si>
    <t>大塚糖液５％</t>
  </si>
  <si>
    <t>5%ﾄｳｴｷｷｯﾄH</t>
  </si>
  <si>
    <t>５％糖液キットＨ</t>
  </si>
  <si>
    <t>ﾄｱﾗｾﾂﾄﾊｲｺﾞｳｼﾞﾖｳｵ-ﾊﾗ</t>
  </si>
  <si>
    <t>ﾃﾞﾙﾓｿﾞｰﾙGｸﾘｰﾑ</t>
  </si>
  <si>
    <t>デルモゾールＧクリーム</t>
  </si>
  <si>
    <t>ﾃﾞﾙﾓｿﾞｰﾙGﾅﾝｺｳ</t>
  </si>
  <si>
    <t>デルモゾールＧ軟膏</t>
  </si>
  <si>
    <t>ﾃﾞﾙﾓﾍﾞｰﾄﾅﾝｺｳ0.05%</t>
  </si>
  <si>
    <t>デルモベート軟膏０．０５％</t>
  </si>
  <si>
    <t>ﾃﾙﾐｻﾙﾀﾝODｼﾞﾖｳ20MGﾄ-ﾜ</t>
  </si>
  <si>
    <t>テルミサルタンＯＤ錠２０ｍｇ「トーワ」</t>
  </si>
  <si>
    <t>ﾃﾙﾐｻﾙﾀﾝｼﾞｮｳ20mg｢ｷｮｳﾘﾝ｣</t>
  </si>
  <si>
    <t>テルミサルタン錠２０ｍｇ「杏林」</t>
  </si>
  <si>
    <t>ﾃﾙﾋﾞﾅﾌｲﾝｴﾝｻﾝｴﾝｶﾞｲﾖｳｴｷ1%ｻﾜｲ</t>
  </si>
  <si>
    <t>テルビナフィン塩酸塩外用液１％「サワイ」</t>
  </si>
  <si>
    <t>ﾃﾙﾋﾞﾅﾌｲﾝｴﾝｻﾝｴﾝｸﾘ-ﾑ1%ｻﾜｲ</t>
  </si>
  <si>
    <t>テルビナフィン塩酸塩クリーム１％「サワイ」</t>
  </si>
  <si>
    <t>ﾃﾙﾋﾞﾅﾌｲﾝｴﾝｻﾝｴﾝｶﾞｲﾖｳｴｷ1%F</t>
  </si>
  <si>
    <t>テルビナフィン塩酸塩外用液１％「Ｆ」</t>
  </si>
  <si>
    <t>ﾃﾙﾋﾞﾅﾌｨﾝｴﾝｻﾝｴﾝｶﾞｲﾖｳｴｷ1%｢ｲﾜｷ｣</t>
  </si>
  <si>
    <t>テルビナフィン塩酸塩外用液１％「イワキ」</t>
  </si>
  <si>
    <t>ﾃﾙﾋﾞﾅﾌｨﾝｴﾝｻﾝｴﾝｸﾘｰﾑ1%｢ｲﾜｷ｣</t>
  </si>
  <si>
    <t>テルビナフィン塩酸塩クリーム１％「イワキ」</t>
  </si>
  <si>
    <t>ﾃﾘﾎﾞﾝﾋｶﾁｭｳﾖｳ56.5μg</t>
  </si>
  <si>
    <t>テリボン皮下注用５６．５μｇ</t>
  </si>
  <si>
    <t>ﾃﾞｭﾛｷｾﾁﾝｶﾌﾟｾﾙ20mg｢DSEP｣</t>
  </si>
  <si>
    <t>デュロキセチンカプセル２０ｍｇ「ＤＳＥＰ」</t>
  </si>
  <si>
    <t>ﾃﾞｭﾀｽﾃﾘﾄﾞｶﾌﾟｾﾙ0.5mgAV｢ｻﾜｲ｣</t>
  </si>
  <si>
    <t>デュタステリドカプセル０．５ｍｇＡＶ「サワイ」</t>
  </si>
  <si>
    <t>ﾃﾞｭｵﾄﾗﾊﾞﾊｲｺﾞｳﾃﾝｶﾞﾝｴｷ</t>
  </si>
  <si>
    <t>デュオトラバ配合点眼液</t>
  </si>
  <si>
    <t>ﾃﾞﾌﾟﾛﾒ-ﾙｼﾞﾖｳ25</t>
  </si>
  <si>
    <t>デプロメール錠２５</t>
  </si>
  <si>
    <t>ﾃﾌﾟﾚﾉﾝｶﾌﾟｾﾙ50MGYD</t>
  </si>
  <si>
    <t>テプレノンカプセル５０ｍｇ「ＹＤ」</t>
  </si>
  <si>
    <t>ﾃﾌﾟﾚﾉﾝｻｲﾘｭｳ10%｢YD｣</t>
  </si>
  <si>
    <t>テプレノン細粒１０％「ＹＤ」</t>
  </si>
  <si>
    <t>ﾃﾌﾟﾚﾉﾝｶﾌﾟｾﾙ50mg｢ﾆﾁｲｺｳP｣</t>
  </si>
  <si>
    <t>テプレノンカプセル５０ｍｇ「日医工Ｐ」</t>
  </si>
  <si>
    <t>ﾃﾞﾊﾟｽｻｲﾘｭｳ1%</t>
  </si>
  <si>
    <t>デパス細粒１％</t>
  </si>
  <si>
    <t>ﾃﾞﾊﾟｽｼﾞｮｳ1mg</t>
  </si>
  <si>
    <t>デパス錠１ｍｇ</t>
  </si>
  <si>
    <t>ﾃﾞﾊﾟｽｼﾞｮｳ0.5mg</t>
  </si>
  <si>
    <t>デパス錠０．５ｍｇ</t>
  </si>
  <si>
    <t>ﾃﾞﾊﾟｹﾝRｼﾞﾖｳ200MG</t>
  </si>
  <si>
    <t>デパケンＲ錠２００ｍｇ</t>
  </si>
  <si>
    <t>ﾃﾞﾊﾟｹﾝｼﾛｯﾌﾟ5%</t>
  </si>
  <si>
    <t>デパケンシロップ５％</t>
  </si>
  <si>
    <t>ﾃﾞﾉﾀｽﾁｭｱﾌﾞﾙﾊｲｺﾞｳｼﾞｮｳ</t>
  </si>
  <si>
    <t>ﾃﾄﾗﾐﾄﾞｼﾞﾖｳ30MG</t>
  </si>
  <si>
    <t>テトラミド錠３０ｍｇ</t>
  </si>
  <si>
    <t>ﾃﾄﾗﾐﾄﾞｼﾞｮｳ10mg</t>
  </si>
  <si>
    <t>ﾃﾞﾀﾝﾄｰﾙ0.01%ﾃﾝｶﾞﾝｴｷ</t>
  </si>
  <si>
    <t>デタントール０．０１％点眼液</t>
  </si>
  <si>
    <t>ｱｲﾄﾛ-ﾙｼﾞﾖｳ10MG</t>
  </si>
  <si>
    <t>アイトロール錠１０ｍｇ</t>
  </si>
  <si>
    <t>ﾃｽﾄﾔｸﾋﾝ9999999999999999999</t>
  </si>
  <si>
    <t>ﾃｸｽﾒﾃﾝﾕﾆﾊﾞ-ｻﾙｸﾘ-ﾑ0.1%</t>
  </si>
  <si>
    <t>テクスメテン ユニバーサル クリーム０．１％</t>
  </si>
  <si>
    <t>ﾃﾞｷｽﾄﾛﾒﾄﾙﾌｱﾝｼﾕｳｶｽｲｿｻﾝｴﾝｼﾞﾖｳ15MGﾄ-ﾜ</t>
  </si>
  <si>
    <t>デキストロメトルファン臭化水素酸塩錠１５ｍｇ「トーワ」</t>
  </si>
  <si>
    <t>ﾃﾞｷｻﾒﾀｿﾞﾝｺｳｸｳﾖｳﾅﾝｺｳ0.1%｢ﾆﾁｲｺｳ｣</t>
  </si>
  <si>
    <t>デキサメタゾン口腔用軟膏０．１％「日医工」</t>
  </si>
  <si>
    <t>ﾃﾞｶﾄﾞﾛﾝﾁﾕｳｼﾔｴｷ3.3MG</t>
  </si>
  <si>
    <t>デカドロン注射液３．３ｍｇ</t>
  </si>
  <si>
    <t>ﾃｵﾌｨﾘﾝ徐放Uｼﾞｮｳ200mg｢ﾄｰﾜ｣</t>
  </si>
  <si>
    <t>テオフィリン徐放Ｕ錠２００ｍｇ「トーワ」</t>
  </si>
  <si>
    <t>ﾃﾞｴﾋﾞｺﾞｼﾞｮｳ5mg</t>
  </si>
  <si>
    <t>デエビゴ錠５ｍｇ</t>
  </si>
  <si>
    <t>ﾃﾞｴﾋﾞｺﾞｼﾞｮｳ2.5mg</t>
  </si>
  <si>
    <t>デエビゴ錠２．５ｍｇ</t>
  </si>
  <si>
    <t>d-ｸﾛﾙﾌｪﾆﾗﾐﾝﾏﾚｲﾝｻﾝｴﾝｼﾞｮﾎｳｼﾞｮｳ6mg｢武田ﾃﾊﾞ｣</t>
  </si>
  <si>
    <t>ｄ－クロルフェニラミンマレイン酸塩徐放錠６ｍｇ「武田テバ」</t>
  </si>
  <si>
    <t>ﾃｨｰｴｽﾜﾝﾊｲｺﾞｳｶﾌﾟｾﾙT20</t>
  </si>
  <si>
    <t>ティーエスワン配合カプセルＴ２０</t>
  </si>
  <si>
    <t>ﾂﾛﾌﾞﾃﾛｰﾙﾃｰﾌﾟ1mg｢ｻﾜｲ｣</t>
  </si>
  <si>
    <t>ツロブテロールテープ１ｍｇ「サワイ」</t>
  </si>
  <si>
    <t>ﾂﾑﾗﾀﾞｲｼﾞｮｳｷﾄｳｴｷｽｶﾘｭｳ(ｲﾘｮｳﾖｳ)</t>
  </si>
  <si>
    <t>ツムラ大承気湯エキス顆粒（医療用）</t>
  </si>
  <si>
    <t>ﾂﾑﾗﾁﾖﾚｲﾄｳｺﾞｳｼﾓﾂﾄｳｴｷｽｶﾘﾕｳｲﾘﾖｳﾖｳ</t>
  </si>
  <si>
    <t>ツムラ猪苓湯合四物湯エキス顆粒（医療用）</t>
  </si>
  <si>
    <t>ﾂﾑﾗﾆﾝｼﾞﾝﾖｳｴｲﾄｳｴｷｽｶﾘｭｳ(ｲﾘｮｳﾖｳ)</t>
  </si>
  <si>
    <t>ツムラ人参養栄湯エキス顆粒（医療用）</t>
  </si>
  <si>
    <t>ﾂﾑﾗｻﾝｿｳﾆﾝﾄｳｴｷｽｶﾘｭｳ(ｲﾘｮｳﾖｳ)</t>
  </si>
  <si>
    <t>ツムラ酸棗仁湯エキス顆粒（医療用）</t>
  </si>
  <si>
    <t>ﾂﾑﾗﾀﾞｲｹﾝﾁｭｳﾄｳｴｷｽｶﾘｭｳ(ｲﾘｮｳﾖｳ)</t>
  </si>
  <si>
    <t>ツムラ大建中湯エキス顆粒（医療用）</t>
  </si>
  <si>
    <t>ﾂﾑﾗﾖｸｶﾝｻﾝｶﾁﾝﾋﾟﾊﾝｹﾞｴｷｽｶﾘｭｳ(ｲﾘｮｳﾖｳ)</t>
  </si>
  <si>
    <t>ツムラ抑肝散加陳皮半夏エキス顆粒（医療用）</t>
  </si>
  <si>
    <t>ﾂﾑﾗｼｬｸﾔｸｶﾝｿﾞｳﾄｳｴｷｽｶﾘｭｳ(ｲﾘｮｳﾖｳ)</t>
  </si>
  <si>
    <t>ツムラ芍薬甘草湯エキス顆粒（医療用）</t>
  </si>
  <si>
    <t>ﾂﾑﾗﾎﾞｳﾌｳﾂｳｼｮｳｻﾝｴｷｽｶﾘｭｳ(ｲﾘｮｳﾖｳ)</t>
  </si>
  <si>
    <t>ツムラ防風通聖散エキス顆粒（医療用）</t>
  </si>
  <si>
    <t>ﾂﾑﾗﾖｸｶﾝｻﾝｴｷｽｶﾘｭｳ(ｲﾘｮｳﾖｳ)</t>
  </si>
  <si>
    <t>ツムラ抑肝散エキス顆粒（医療用）</t>
  </si>
  <si>
    <t>ﾂﾑﾗｼﾞｭﾝﾁｮｳﾄｳｴｷｽｶﾘｭｳ(ｲﾘｮｳﾖｳ)</t>
  </si>
  <si>
    <t>ツムラ潤腸湯エキス顆粒（医療用）</t>
  </si>
  <si>
    <t>ﾂﾑﾗｼﾞｭｳｾﾞﾝﾀｲﾎﾄｳｴｷｽｶﾘｭｳ(ｲﾘｮｳﾖｳ)</t>
  </si>
  <si>
    <t>ツムラ十全大補湯エキス顆粒（医療用）</t>
  </si>
  <si>
    <t>ﾂﾑﾗﾘｯｸﾝｼﾄｳｴｷｽｶﾘｭｳ(ｲﾘｮｳﾖｳ)</t>
  </si>
  <si>
    <t>ツムラ六君子湯エキス顆粒（医療用）</t>
  </si>
  <si>
    <t>ﾂﾑﾗﾄｳｷｼｬｸﾔｸｻﾝｴｷｽｶﾘｭｳ(ｲﾘｮｳﾖｳ)</t>
  </si>
  <si>
    <t>ツムラ当帰芍薬散エキス顆粒（医療用）</t>
  </si>
  <si>
    <t>ﾂﾑﾗﾎﾞｳｲｵｳｷﾞﾄｳｴｷｽｶﾘｭｳ(ｲﾘｮｳﾖｳ)</t>
  </si>
  <si>
    <t>ツムラ防已黄耆湯エキス顆粒（医療用）</t>
  </si>
  <si>
    <t>ﾂﾑﾗｼﾖｳｾｲﾘﾕｳﾄｳｴｷｽｶﾘﾕｳｲﾘﾖｳﾖｳ</t>
  </si>
  <si>
    <t>ツムラ小青竜湯エキス顆粒（医療用）</t>
  </si>
  <si>
    <t>ﾂﾑﾗｺﾞﾚｲｻﾝｴｷｽｶﾘｭｳ(ｲﾘｮｳﾖｳ)</t>
  </si>
  <si>
    <t>ツムラ五苓散エキス顆粒（医療用）</t>
  </si>
  <si>
    <t>ﾂﾑﾗﾊﾝｹﾞｺｳﾎﾞｸﾄｳｴｷｽｶﾘｭｳ(ｲﾘｮｳﾖｳ)</t>
  </si>
  <si>
    <t>ツムラ半夏厚朴湯エキス顆粒（医療用）</t>
  </si>
  <si>
    <t>ﾂﾑﾗﾊﾝｹﾞｼｬｼﾝﾄｳｴｷｽｶﾘｭｳ(ｲﾘｮｳﾖｳ)</t>
  </si>
  <si>
    <t>ツムラ半夏瀉心湯エキス顆粒（医療用）</t>
  </si>
  <si>
    <t>ﾂﾑﾗｻｲｺｶﾘｭｳｺﾂﾎﾞﾚｲﾄｳｴｷｽｶﾘｭｳ(ｲﾘｮｳﾖｳ)</t>
  </si>
  <si>
    <t>ツムラ柴胡加竜骨牡蛎湯エキス顆粒（医療用）</t>
  </si>
  <si>
    <t>ﾂﾑﾗﾊﾁﾐｼﾞｵｳｶﾞﾝｴｷｽｶﾘｭｳ(ｲﾘｮｳﾖｳ)</t>
  </si>
  <si>
    <t>ツムラ八味地黄丸エキス顆粒（医療用）</t>
  </si>
  <si>
    <t>ﾂｲﾐ-ｸﾞｼﾞﾖｳ500MG</t>
  </si>
  <si>
    <t>ツイミーグ錠５００ｍｇ</t>
  </si>
  <si>
    <t>ﾁﾗ-ﾁﾞﾝSｼﾞﾖｳﾁﾕｳｴｷ200ﾏｲｸﾛG</t>
  </si>
  <si>
    <t>チラーヂンＳ静注液２００μｇ</t>
  </si>
  <si>
    <t>ﾁﾗｰﾁﾞﾝSｼﾞｮｳ50μg</t>
  </si>
  <si>
    <t>チラーヂンＳ錠５０μｇ</t>
  </si>
  <si>
    <t>ﾁﾗｰﾁﾞﾝSｼﾞｮｳ25μg</t>
  </si>
  <si>
    <t>チラーヂンＳ錠２５μｇ</t>
  </si>
  <si>
    <t>腸ｻﾝ(院ﾅｲｾｲｻﾞｲ)</t>
  </si>
  <si>
    <t>腸散Ⅱ(院内製剤)</t>
  </si>
  <si>
    <t>ﾁｭｳｼｬﾖｳｽｲPL｢ﾌｿｰ｣</t>
  </si>
  <si>
    <t>注射用水ＰＬ「フソー」</t>
  </si>
  <si>
    <t>ﾁﾓﾛｰﾙﾃﾝｶﾞﾝｴｷ0.5%｢ﾆｯﾃﾝ｣</t>
  </si>
  <si>
    <t>チモロール点眼液０．５％「ニッテン」</t>
  </si>
  <si>
    <t>ﾁﾐﾍﾟﾛﾝｻｲﾘｭｳ1%｢ｱﾒﾙ｣</t>
  </si>
  <si>
    <t>チミペロン細粒１％「アメル」</t>
  </si>
  <si>
    <t>ﾁﾐﾍﾟﾛﾝｼﾞｮｳ3mg｢ｱﾒﾙ｣</t>
  </si>
  <si>
    <t>チミペロン錠３ｍｇ「アメル」</t>
  </si>
  <si>
    <t>ﾁﾐﾍﾟﾛﾝｼﾞｮｳ1mg｢ｱﾒﾙ｣</t>
  </si>
  <si>
    <t>チミペロン錠１ｍｇ「アメル」</t>
  </si>
  <si>
    <t>ﾁｻﾞﾆｼﾞﾝｼﾞｮｳ1mg｢ﾄｰﾜ｣</t>
  </si>
  <si>
    <t>チザニジン錠１ｍｇ「トーワ」</t>
  </si>
  <si>
    <t>ﾁｸﾛﾋﾟｼﾞﾝｴﾝｻﾝｴﾝｼﾞｮｳ100mg｢ﾆﾁｲｺｳ｣</t>
  </si>
  <si>
    <t>チクロピジン塩酸塩錠１００ｍｇ「日医工」</t>
  </si>
  <si>
    <t>ﾁｴﾅﾑﾃﾝﾃｷｼﾞｮｳﾁｭｳﾖｳ0.5g</t>
  </si>
  <si>
    <t>チエナム点滴静注用０．５ｇ</t>
  </si>
  <si>
    <t>ﾁｱﾌﾟﾘﾄﾞｻｲﾘｭｳ10%｢JG｣</t>
  </si>
  <si>
    <t>チアプリド細粒１０％「ＪＧ」</t>
  </si>
  <si>
    <t>ﾁｱﾌﾟﾘﾄﾞｼﾞｮｳ50mg｢JG｣</t>
  </si>
  <si>
    <t>チアプリド錠５０ｍｇ「ＪＧ」</t>
  </si>
  <si>
    <t>ﾁｱﾌﾟﾘﾄﾞｼﾞｮｳ25mg｢JG｣</t>
  </si>
  <si>
    <t>チアプリド錠２５ｍｇ「ＪＧ」</t>
  </si>
  <si>
    <t>ﾀﾝﾎﾞｺｰﾙｼﾞｮｳ50mg</t>
  </si>
  <si>
    <t>タンボコール錠５０ｍｇ</t>
  </si>
  <si>
    <t>ﾀﾝﾆﾝｻﾝｱﾙﾌﾞﾐﾝ｢VTRS｣ｹﾞﾝﾏﾂ</t>
  </si>
  <si>
    <t>タンニン酸アルブミン「ＶＴＲＳ」原末</t>
  </si>
  <si>
    <t>ﾀﾞﾝﾄﾘｳﾑｼﾞｮｳﾁｭｳﾖｳ20mg</t>
  </si>
  <si>
    <t>ダントリウム静注用２０ｍｇ</t>
  </si>
  <si>
    <t>ﾀﾞﾝﾄﾘｳﾑｶﾌﾟｾﾙ25mg</t>
  </si>
  <si>
    <t>ダントリウムカプセル２５ｍｇ</t>
  </si>
  <si>
    <t>ﾀﾝｼﾛｯﾌﾟ</t>
  </si>
  <si>
    <t>単シロップ</t>
  </si>
  <si>
    <t>ﾀﾝｻﾝﾘﾁｳﾑｼﾞﾖｳ100MGﾀｲｼﾖｳ</t>
  </si>
  <si>
    <t>炭酸リチウム錠１００ｍｇ「大正」</t>
  </si>
  <si>
    <t>ﾀﾝｻﾝﾘﾁｳﾑｼﾞﾖｳ200MGﾀｲｼﾖｳ</t>
  </si>
  <si>
    <t>炭酸リチウム錠２００ｍｇ「大正」</t>
  </si>
  <si>
    <t>ﾀﾝｻﾝｽｲｿﾅﾄﾘｳﾑ</t>
  </si>
  <si>
    <t>炭酸水素ナトリウム</t>
  </si>
  <si>
    <t>ﾀﾝｻﾝﾘﾁｳﾑｼﾞｮｳ200mg｢ｱﾒﾙ｣</t>
  </si>
  <si>
    <t>炭酸リチウム錠２００ｍｇ「アメル」</t>
  </si>
  <si>
    <t>ﾀﾝｻﾝﾘﾁｳﾑｼﾞｮｳ100mg｢ｱﾒﾙ｣</t>
  </si>
  <si>
    <t>炭酸リチウム錠１００ｍｇ「アメル」</t>
  </si>
  <si>
    <t>ﾀﾞﾙﾍﾞﾎﾟｴﾁﾝｱﾙﾌｱBSﾁﾕｳ60ﾏｲｸﾛGｼﾘﾝｼﾞｻﾝﾜ</t>
  </si>
  <si>
    <t>ダルベポエチン アルファＢＳ注６０μｇシリンジ「三和」</t>
  </si>
  <si>
    <t>ﾀﾞﾙﾍﾞﾎﾟｴﾁﾝ ｱﾙﾌｧBSﾁｭｳ30μgｼﾘﾝｼﾞ｢ｻﾝﾜ｣</t>
  </si>
  <si>
    <t>ダルベポエチン アルファＢＳ注３０μｇシリンジ「三和」</t>
  </si>
  <si>
    <t>ﾀﾞﾙﾍﾞﾎﾟｴﾁﾝｱﾙﾌｱBSﾁﾕｳ120ﾏｲｸﾛGｼﾘﾝｼﾞｻﾝﾜ</t>
  </si>
  <si>
    <t>ダルベポエチン アルファＢＳ注１２０μｇシリンジ「三和」</t>
  </si>
  <si>
    <t>ﾀﾘﾋﾞｯﾄﾞｼﾞｶﾖｳｴｷ0.3%</t>
  </si>
  <si>
    <t>タリビッド耳科用液０．３％</t>
  </si>
  <si>
    <t>ﾀﾘﾋﾞｯﾄﾞｶﾞﾝﾅﾝｺｳ0.3%</t>
  </si>
  <si>
    <t>タリビッド眼軟膏０．３％</t>
  </si>
  <si>
    <t>ﾀﾘ-ｼﾞｴｼﾞﾖｳ5MG</t>
  </si>
  <si>
    <t>タリージェ錠５ｍｇ</t>
  </si>
  <si>
    <t>ﾀﾞﾗｼﾝｶﾌﾟｾﾙ150MG</t>
  </si>
  <si>
    <t>ダラシンカプセル１５０ｍｇ</t>
  </si>
  <si>
    <t>ﾀﾓｷｼﾌｪﾝｼﾞｮｳ20mg｢ｻﾜｲ｣</t>
  </si>
  <si>
    <t>タモキシフェン錠２０ｍｇ「サワイ」</t>
  </si>
  <si>
    <t>ﾀﾑｽﾛｼﾝｴﾝｻﾝｴﾝODｼﾞｮｳ0.2mg｢ｻﾜｲ｣</t>
  </si>
  <si>
    <t>タムスロシン塩酸塩ＯＤ錠０．２ｍｇ「サワイ」</t>
  </si>
  <si>
    <t>ﾀﾞﾐｰﾔｸ品(ｼﾞｮｳｻﾞｲ)</t>
  </si>
  <si>
    <t>ダミー薬品(錠剤)</t>
  </si>
  <si>
    <t>ﾀﾞﾐｰﾔｸ品(ｻﾝﾔｸ)</t>
  </si>
  <si>
    <t>ダミー薬品(散薬)</t>
  </si>
  <si>
    <t>ﾀﾞ-ﾌﾞﾛﾂｸｼﾞﾖｳ2MG</t>
  </si>
  <si>
    <t>ダーブロック錠２ｍｇ</t>
  </si>
  <si>
    <t>ﾀﾌﾟﾛｽﾃﾝｶﾞﾝｴｷ0.0015%</t>
  </si>
  <si>
    <t>タプロス点眼液０．００１５％</t>
  </si>
  <si>
    <t>ﾀﾌﾏﾂｸEﾊｲｺﾞｳｶﾘﾕｳ</t>
  </si>
  <si>
    <t>タフマックＥ配合顆粒</t>
  </si>
  <si>
    <t>ﾀﾌﾏｯｸEﾊｲｺﾞｳｶﾌﾟｾﾙ</t>
  </si>
  <si>
    <t>タフマックＥ配合カプセル</t>
  </si>
  <si>
    <t>ﾀﾞﾌﾟﾄﾏｲｼﾝｼﾞﾖｳﾁﾕｳﾖｳ350MGｻﾜｲ</t>
  </si>
  <si>
    <t>ダプトマイシン静注用３５０ｍｇ「サワイ」</t>
  </si>
  <si>
    <t>ﾀﾁｵﾝｼﾞｮｳ50mg</t>
  </si>
  <si>
    <t>タチオン錠５０ｍｇ</t>
  </si>
  <si>
    <t>ﾀｹﾌﾟﾛﾝｼﾞｮｳﾁｭｳﾖｳ30mg</t>
  </si>
  <si>
    <t>タケプロン静注用３０ｍｇ</t>
  </si>
  <si>
    <t>ﾀｹｷﾔﾌﾞODｼﾞﾖｳ20MG</t>
  </si>
  <si>
    <t>タケキャブＯＤ錠２０ｍｇ</t>
  </si>
  <si>
    <t>ﾀｹｷﾔﾌﾞODｼﾞﾖｳ10MG</t>
  </si>
  <si>
    <t>タケキャブＯＤ錠１０ｍｇ</t>
  </si>
  <si>
    <t>ﾀｹｷｬﾌﾞｼﾞｮｳ20mg</t>
  </si>
  <si>
    <t>タケキャブ錠２０ｍｇ</t>
  </si>
  <si>
    <t>ﾀｹｷｬﾌﾞｼﾞｮｳ10mg</t>
  </si>
  <si>
    <t>タケキャブ錠１０ｍｇ</t>
  </si>
  <si>
    <t>ﾀｸﾛﾘﾑｽｶﾌﾟｾﾙ1MGﾆﾌﾟﾛ</t>
  </si>
  <si>
    <t>タクロリムスカプセル１ｍｇ「ニプロ」</t>
  </si>
  <si>
    <t>ﾀﾞｲﾌｪﾝﾊｲｺﾞｳｼﾞｮｳ</t>
  </si>
  <si>
    <t>ﾀﾞｲﾋﾞﾀﾐﾂｸｽﾁﾕｳ</t>
  </si>
  <si>
    <t>ﾀﾞｲｱﾓｯｸｽｼﾞｮｳ250mg</t>
  </si>
  <si>
    <t>ダイアモックス錠２５０ｍｇ</t>
  </si>
  <si>
    <t>ﾀﾞｲｱｯﾌﾟｻﾞｻﾞｲ4</t>
  </si>
  <si>
    <t>ｿﾙ･ﾒﾄﾞﾛｰﾙｼﾞｮｳﾁｭｳﾖｳ500mg</t>
  </si>
  <si>
    <t>ソル・メドロール静注用５００ｍｇ</t>
  </si>
  <si>
    <t>ｿﾙﾃﾞﾑ1ﾕｴｷ</t>
  </si>
  <si>
    <t>ソルデム１輸液</t>
  </si>
  <si>
    <t>ｿﾙﾀﾞｸﾄﾝｼﾞﾖｳﾁﾕｳﾖｳ100MG</t>
  </si>
  <si>
    <t>ソルダクトン静注用１００ｍｇ</t>
  </si>
  <si>
    <t>ｿﾘﾌｴﾅｼﾝｺﾊｸｻﾝｴﾝODｼﾞﾖｳ5MGﾄ-ﾜ</t>
  </si>
  <si>
    <t>ソリフェナシンコハク酸塩ＯＤ錠５ｍｇ「トーワ」</t>
  </si>
  <si>
    <t>ｿﾗﾅｯｸｽ0.8mgｼﾞｮｳ</t>
  </si>
  <si>
    <t>ソラナックス０．８ｍｇ錠</t>
  </si>
  <si>
    <t>ｿﾗﾅｯｸｽ0.4mgｼﾞｮｳ</t>
  </si>
  <si>
    <t>ソラナックス０．４ｍｇ錠</t>
  </si>
  <si>
    <t>ｿﾞﾌﾙｰｻﾞｼﾞｮｳ20mg</t>
  </si>
  <si>
    <t>ゾフルーザ錠２０ｍｇ</t>
  </si>
  <si>
    <t>ｿﾌﾗﾁｭｰﾙﾁｮｳﾌｻﾞｲ10cm</t>
  </si>
  <si>
    <t>ソフラチュール貼付剤１０ｃｍ</t>
  </si>
  <si>
    <t>ｿﾞﾋﾟｸﾛﾝｼﾞｮｳ7.5mg｢ﾄｰﾜ｣</t>
  </si>
  <si>
    <t>ｿﾞﾆｻﾐﾄﾞODｼﾞﾖｳ25MGTREDSEP</t>
  </si>
  <si>
    <t>ゾニサミドＯＤ錠２５ｍｇＴＲＥ「ＤＳＥＰ」</t>
  </si>
  <si>
    <t>ｿﾞﾆｻﾐﾄﾞｼﾞｮｳ100mg｢ｱﾒﾙ｣</t>
  </si>
  <si>
    <t>ゾニサミド錠１００ｍｇ「アメル」</t>
  </si>
  <si>
    <t>ｿﾞﾃﾋﾟﾝｻｲﾘｭｳ50%｢ﾖｼﾄﾐ｣</t>
  </si>
  <si>
    <t>ゾテピン細粒５０％「ヨシトミ」</t>
  </si>
  <si>
    <t>ｿﾞﾃﾋﾟﾝｼﾞｮｳ50mg｢ﾖｼﾄﾐ｣</t>
  </si>
  <si>
    <t>ゾテピン錠５０ｍｇ「ヨシトミ」</t>
  </si>
  <si>
    <t>ｿﾞﾃﾋﾟﾝｼﾞｮｳ25mg｢ﾖｼﾄﾐ｣</t>
  </si>
  <si>
    <t>ゾテピン錠２５ｍｇ「ヨシトミ」</t>
  </si>
  <si>
    <t>ｿﾀﾛ-ﾙｴﾝｻﾝｴﾝｼﾞﾖｳ80MGTE</t>
  </si>
  <si>
    <t>ソタロール塩酸塩錠８０ｍｇ「ＴＥ」</t>
  </si>
  <si>
    <t>ｿﾀｺｰﾙｼﾞｮｳ80mg</t>
  </si>
  <si>
    <t>ソタコール錠８０ｍｇ</t>
  </si>
  <si>
    <t>ｿﾞｼﾝｼﾞｮｳﾁｭｳﾖｳ4.5</t>
  </si>
  <si>
    <t>ゾシン静注用４．５</t>
  </si>
  <si>
    <t>ｾﾝﾌﾞﾘ･ｼﾞｭｳｿｳｻﾝ｢ﾖｼﾀﾞ｣</t>
  </si>
  <si>
    <t>センブリ・重曹散「ヨシダ」</t>
  </si>
  <si>
    <t>ｾﾝﾉｼﾄﾞｼﾞﾖｳ12MGｸﾆﾋﾛ</t>
  </si>
  <si>
    <t>センノシド錠１２ｍｇ「クニヒロ」</t>
  </si>
  <si>
    <t>ｾﾝﾉｼﾄﾞｶﾘｭｳ8%｢ﾆﾁｲｺｳ｣</t>
  </si>
  <si>
    <t>センノシド顆粒８％「日医工」</t>
  </si>
  <si>
    <t>ｾﾝﾉｼﾄﾞｼﾞｮｳ12mg｢ﾄｰﾜ｣</t>
  </si>
  <si>
    <t>センノシド錠１２ｍｇ「トーワ」</t>
  </si>
  <si>
    <t>ｾﾚﾈｰｽｴｷ</t>
  </si>
  <si>
    <t>セレネース液</t>
  </si>
  <si>
    <t>ｾﾚﾈｰｽﾁｭｳ5mg</t>
  </si>
  <si>
    <t>ｾﾚﾆｶRｶﾘﾕｳ40%</t>
  </si>
  <si>
    <t>セレニカＲ顆粒４０％</t>
  </si>
  <si>
    <t>ｾﾚｽﾀﾐﾝﾊｲｺﾞｳｼﾞｮｳ</t>
  </si>
  <si>
    <t>セレスタミン配合錠</t>
  </si>
  <si>
    <t>ｾﾚｼﾞｽﾄODｼﾞｮｳ5mg</t>
  </si>
  <si>
    <t>セレジストＯＤ錠５ｍｇ</t>
  </si>
  <si>
    <t>ｾﾚｺｷｼﾌﾞｼﾞｮｳ100mg｢DSEP｣</t>
  </si>
  <si>
    <t>セレコキシブ錠１００ｍｇ「ＤＳＥＰ」</t>
  </si>
  <si>
    <t>ｾﾙﾄﾗﾘﾝｼﾞﾖｳ25MGﾒｲｼﾞ</t>
  </si>
  <si>
    <t>セルトラリン錠２５ｍｇ「明治」</t>
  </si>
  <si>
    <t>ｾﾙｼﾝﾁｭｳｼｬｴｷ10mg</t>
  </si>
  <si>
    <t>セルシン注射液１０ｍｇ</t>
  </si>
  <si>
    <t>5mgｾﾙｼﾝｼﾞｮｳ</t>
  </si>
  <si>
    <t>2mgｾﾙｼﾝｼﾞｮｳ</t>
  </si>
  <si>
    <t>２ｍｇセルシン錠</t>
  </si>
  <si>
    <t>ｾﾘﾝｸﾛｼﾞｮｳ10mg</t>
  </si>
  <si>
    <t>セリンクロ錠１０ｍｇ</t>
  </si>
  <si>
    <t>ｾﾗﾗｼﾞｮｳ50mg</t>
  </si>
  <si>
    <t>セララ錠５０ｍｇ</t>
  </si>
  <si>
    <t>ｾﾞﾌﾟﾘｵﾝｽｲ懸ｷﾝﾁｭｳ150mgｼﾘﾝｼﾞ</t>
  </si>
  <si>
    <t>ゼプリオン水懸筋注１５０ｍｇシリンジ</t>
  </si>
  <si>
    <t>ｾﾞﾌﾟﾘｵﾝｽｲ懸ｷﾝﾁｭｳ100mgｼﾘﾝｼﾞ</t>
  </si>
  <si>
    <t>ゼプリオン水懸筋注１００ｍｇシリンジ</t>
  </si>
  <si>
    <t>ｾﾞﾌﾟﾘｵﾝｽｲ懸ｷﾝﾁｭｳ75mgｼﾘﾝｼﾞ</t>
  </si>
  <si>
    <t>ゼプリオン水懸筋注７５ｍｇシリンジ</t>
  </si>
  <si>
    <t>ｾﾞﾌﾟﾘｵﾝｽｲ懸ｷﾝﾁｭｳ50mgｼﾘﾝｼﾞ</t>
  </si>
  <si>
    <t>ゼプリオン水懸筋注５０ｍｇシリンジ</t>
  </si>
  <si>
    <t>ｾﾞﾌﾟﾘｵﾝｽｲ懸ｷﾝﾁｭｳ25mgｼﾘﾝｼﾞ</t>
  </si>
  <si>
    <t>ゼプリオン水懸筋注２５ｍｇシリンジ</t>
  </si>
  <si>
    <t>ｾﾌﾄﾘｱｷｿﾝﾅﾄﾘｳﾑｼﾞｮｳﾁｭｳﾖｳ1g｢ﾆﾁｲｺｳ｣</t>
  </si>
  <si>
    <t>セフトリアキソンナトリウム静注用１ｇ「日医工」</t>
  </si>
  <si>
    <t>ｾﾌﾀｼﾞｼﾞﾑｼﾞﾖｳﾁﾕｳﾖｳ1GVTRS</t>
  </si>
  <si>
    <t>セフタジジム静注用１ｇ「ＶＴＲＳ」</t>
  </si>
  <si>
    <t>ｾﾌﾀｼﾞｼﾞﾑｼﾞｮｳﾁｭｳﾖｳ1g｢ﾆﾁｲｺｳ｣</t>
  </si>
  <si>
    <t>セフタジジム静注用１ｇ「日医工」</t>
  </si>
  <si>
    <t>ｾﾌｪﾋﾟﾑｴﾝｻﾝｴﾝｼﾞｮｳﾁｭｳﾖｳ1g｢ｻﾝﾄﾞ｣</t>
  </si>
  <si>
    <t>セフェピム塩酸塩静注用１ｇ「サンド」</t>
  </si>
  <si>
    <t>ｾﾌｧｿﾞﾘﾝﾅﾄﾘｳﾑﾁｭｳｼｬﾖｳ1g｢ﾆﾁｲｺｳ｣</t>
  </si>
  <si>
    <t>セファゾリンナトリウム注射用１ｇ「日医工」</t>
  </si>
  <si>
    <t>ｾﾞﾋﾞｭﾃﾞｨﾃﾝﾃｷｼﾞｮｳﾁｭｳｴｷ500mg</t>
  </si>
  <si>
    <t>ゼビュディ点滴静注液５００ｍｇ</t>
  </si>
  <si>
    <t>ｾﾊﾟﾐﾂﾄｻｲﾘﾕｳ1%</t>
  </si>
  <si>
    <t>セパミット細粒１％</t>
  </si>
  <si>
    <t>ｾﾊﾟｿﾞﾝｼﾞｮｳ2</t>
  </si>
  <si>
    <t>ｾﾊﾟｿﾞﾝｼﾞｮｳ1</t>
  </si>
  <si>
    <t>ｾﾃﾞｨｰﾙｼﾞｮｳ10mg</t>
  </si>
  <si>
    <t>ｾﾞﾁｰｱｼﾞｮｳ10mg</t>
  </si>
  <si>
    <t>ゼチーア錠１０ｍｇ</t>
  </si>
  <si>
    <t>ｾｲﾘｼﾖｸｴﾝｴｷVTRS</t>
  </si>
  <si>
    <t>生理食塩液「ＶＴＲＳ」</t>
  </si>
  <si>
    <t>ｾｲﾘｼｮｸｴﾝｴｷ｢VTRS｣</t>
  </si>
  <si>
    <t>ｾｲｼﾖｸﾁﾕｳｼﾘﾝｼﾞNP</t>
  </si>
  <si>
    <t>生食注シリンジ「ＮＰ」</t>
  </si>
  <si>
    <t>ｾｲｼｮｸﾁｭｳｼﾘﾝｼﾞ｢ｵｰﾂｶ｣10mL</t>
  </si>
  <si>
    <t>生食注シリンジ「オーツカ」１０ｍＬ</t>
  </si>
  <si>
    <t>ｾｲｼｮｸﾖｳｶｲｴｷｷｯﾄH</t>
  </si>
  <si>
    <t>生食溶解液キットＨ</t>
  </si>
  <si>
    <t>ｵｵﾂｶｾｲｼｮｸﾁｭｳ</t>
  </si>
  <si>
    <t>大塚生食注</t>
  </si>
  <si>
    <t>ｽﾙﾋﾟﾘﾄﾞｻｲﾘｭｳ50%｢ｱﾒﾙ｣</t>
  </si>
  <si>
    <t>スルピリド細粒５０％「アメル」</t>
  </si>
  <si>
    <t>ｽﾙﾋﾟﾘﾄﾞｼﾞｮｳ50mg｢ｱﾒﾙ｣</t>
  </si>
  <si>
    <t>スルピリド錠５０ｍｇ「アメル」</t>
  </si>
  <si>
    <t>ｽﾙﾋﾟﾘﾄﾞｼﾞｮｳ200mg｢ｱﾒﾙ｣</t>
  </si>
  <si>
    <t>スルピリド錠２００ｍｇ「アメル」</t>
  </si>
  <si>
    <t>ｽﾙﾋﾟﾘﾄﾞｼﾞｮｳ100mg｢ｱﾒﾙ｣</t>
  </si>
  <si>
    <t>スルピリド錠１００ｍｇ「アメル」</t>
  </si>
  <si>
    <t>ｽﾙﾊﾞｼﾘﾝｼﾞｮｳﾁｭｳﾖｳ1.5g</t>
  </si>
  <si>
    <t>スルバシリン静注用１．５ｇ</t>
  </si>
  <si>
    <t>ｽﾐｽﾘﾝﾛ-ｼﾖﾝ5%</t>
  </si>
  <si>
    <t>スミスリンローション５％</t>
  </si>
  <si>
    <t>ｽﾋﾟﾛﾍﾟﾝﾄｼﾞｮｳ10μg</t>
  </si>
  <si>
    <t>スピロペント錠１０μｇ</t>
  </si>
  <si>
    <t>ｽﾋﾟﾛﾉﾗｸﾄﾝｼﾞｮｳ25mg｢ﾄｰﾜ｣</t>
  </si>
  <si>
    <t>スピロノラクトン錠２５ｍｇ「トーワ」</t>
  </si>
  <si>
    <t>ｽﾋﾟｰﾙｺｳM</t>
  </si>
  <si>
    <t>スピール膏Ｍ</t>
  </si>
  <si>
    <t>ｽﾋﾟﾘｰﾊﾞ2.5μgﾚｽﾋﾟﾏｯﾄ60ｷｭｳﾆｭｳ</t>
  </si>
  <si>
    <t>ｽﾄﾛﾒｸﾄｰﾙｼﾞｮｳ3mg</t>
  </si>
  <si>
    <t>ストロメクトール錠３ｍｇ</t>
  </si>
  <si>
    <t>ｽﾀﾃﾞﾙﾑｸﾘｰﾑ5%</t>
  </si>
  <si>
    <t>スタデルムクリーム５％</t>
  </si>
  <si>
    <t>ｽｸﾛｰﾄﾞﾊﾟｽﾀ</t>
  </si>
  <si>
    <t>ｽｲﾖｳｾｲﾊｲﾄﾞﾛｺｰﾄﾝﾁｭｳｼｬｴｷ</t>
  </si>
  <si>
    <t>水溶性ハイドロコートン注射液</t>
  </si>
  <si>
    <t>ｼﾝﾚｼｶﾙﾎﾞﾝｻﾞｻﾞｲ</t>
  </si>
  <si>
    <t>ｼﾝｸﾞﾚｱｼﾞｮｳ10mg</t>
  </si>
  <si>
    <t>ｼﾛﾄﾞｼﾝODｼﾞﾖｳ4MGKMP</t>
  </si>
  <si>
    <t>シロドシンＯＤ錠４ｍｇ「ＫＭＰ」</t>
  </si>
  <si>
    <t>ｼﾛｽﾀｿﾞ-ﾙODｼﾞﾖｳ100MGﾀｶﾀ</t>
  </si>
  <si>
    <t>シロスタゾールＯＤ錠１００ｍｇ「タカタ」</t>
  </si>
  <si>
    <t>ｼﾛｽﾀｿﾞ-ﾙODｼﾞﾖｳ100MGﾄ-ﾜ</t>
  </si>
  <si>
    <t>シロスタゾールＯＤ錠１００ｍｇ「トーワ」</t>
  </si>
  <si>
    <t>ｼﾛｽﾀｿﾞｰﾙｼﾞｮｳ100mg｢ﾄｰﾜ｣</t>
  </si>
  <si>
    <t>シロスタゾール錠１００ｍｇ「トーワ」</t>
  </si>
  <si>
    <t>ｼﾞﾙﾁｱｾﾞﾑｴﾝｻﾝｴﾝｼﾞｮｳﾁｭｳﾖｳ50mg｢ﾆﾁｲｺｳ｣</t>
  </si>
  <si>
    <t>ジルチアゼム塩酸塩静注用５０ｍｇ「日医工」</t>
  </si>
  <si>
    <t>ｼｮｳｼｬｾｯｹｯｷｭｳｴｷ-LR｢ﾆｯｾｷ｣</t>
  </si>
  <si>
    <t>照射赤血球液－ＬＲ「日赤」</t>
  </si>
  <si>
    <t>ｼｮｳｻﾝｲｿｿﾙﾋﾞﾄﾞｼﾞｮﾎｳｶﾌﾟｾﾙ20mg｢St｣</t>
  </si>
  <si>
    <t>硝酸イソソルビド徐放カプセル２０ｍｇ「Ｓｔ」</t>
  </si>
  <si>
    <t>ｼﾞﾒﾁｺﾝｼﾞｮｳ40mg｢YD｣</t>
  </si>
  <si>
    <t>ジメチコン錠４０ｍｇ「ＹＤ」</t>
  </si>
  <si>
    <t>ｼﾍﾞﾝｿﾞﾘﾝｺﾊｸｻﾝｴﾝｼﾞﾖｳ100MGｻﾜｲ</t>
  </si>
  <si>
    <t>シベンゾリンコハク酸塩錠１００ｍｇ「サワイ」</t>
  </si>
  <si>
    <t>ｼﾌﾟﾛﾌﾛｷｻｼﾝﾃﾝﾃｷｼﾞｮｳﾁｭｳ200mg/100mL｢ﾒｲｼﾞ｣</t>
  </si>
  <si>
    <t>シプロフロキサシン点滴静注２００ｍｇ／１００ｍＬ「明治」</t>
  </si>
  <si>
    <t>ｼﾞﾌﾟﾚｷｻｷﾝﾁｭｳﾖｳ10mg</t>
  </si>
  <si>
    <t>ジプレキサ筋注用１０ｍｇ</t>
  </si>
  <si>
    <t>ｼﾞﾌﾟﾚｷｻｻﾞｲﾃﾞｨｽｼﾞｮｳ10mg</t>
  </si>
  <si>
    <t>ジプレキサザイディス錠１０ｍｇ</t>
  </si>
  <si>
    <t>ｼﾞﾌﾟﾚｷｻｻﾞｲﾃﾞｨｽｼﾞｮｳ5mg</t>
  </si>
  <si>
    <t>ジプレキサザイディス錠５ｍｇ</t>
  </si>
  <si>
    <t>ｼﾞﾌﾟﾚｷｻｻﾞｲﾃﾞｨｽｼﾞｮｳ2.5mg</t>
  </si>
  <si>
    <t>ジプレキサザイディス錠２．５ｍｇ</t>
  </si>
  <si>
    <t>ｼﾞﾌﾙｶﾝｼﾞｮｳﾁｭｳｴｷ100mg</t>
  </si>
  <si>
    <t>ジフルカン静注液１００ｍｇ</t>
  </si>
  <si>
    <t>ｼﾞﾌﾙｶﾝｼﾞｮｳﾁｭｳｴｷ50mg</t>
  </si>
  <si>
    <t>ジフルカン静注液５０ｍｇ</t>
  </si>
  <si>
    <t>ｼﾞﾌｪﾆﾄﾞｰﾙｴﾝｻﾝｴﾝｼﾞｮｳ25mg｢NIG｣</t>
  </si>
  <si>
    <t>ジフェニドール塩酸塩錠２５ｍｇ「ＮＩＧ」</t>
  </si>
  <si>
    <t>ｼｰﾋﾟｰﾊｲｺﾞｳｶﾘｭｳ</t>
  </si>
  <si>
    <t>ｼﾞｽﾊﾞﾙｶﾌﾟｾﾙ40MG</t>
  </si>
  <si>
    <t>ジスバルカプセル４０ｍｇ</t>
  </si>
  <si>
    <t>ｼﾞｽﾁｸﾞﾐﾝｼｭｳｶﾌﾞﾂｼﾞｮｳ5mg｢NIG｣</t>
  </si>
  <si>
    <t>ジスチグミン臭化物錠５ｍｇ「ＮＩＧ」</t>
  </si>
  <si>
    <t>ｼｸﾛｽﾎﾟﾘﾝｶﾌﾟｾﾙ50mg｢ﾄｰﾜ｣</t>
  </si>
  <si>
    <t>シクロスポリンカプセル５０ｍｇ「トーワ」</t>
  </si>
  <si>
    <t>ｼﾞｸﾛﾌｪﾅｸﾅﾄﾘｳﾑｻﾞｻﾞｲ25mg｢JG｣</t>
  </si>
  <si>
    <t>ジクロフェナクナトリウム坐剤２５ｍｇ「ＪＧ」</t>
  </si>
  <si>
    <t>ｼｸﾚｽﾄｾﾞｯｶｼﾞｮｳ10mg</t>
  </si>
  <si>
    <t>シクレスト舌下錠１０ｍｇ</t>
  </si>
  <si>
    <t>ｼｸﾚｽﾄｾﾞｯｶｼﾞｮｳ5mg</t>
  </si>
  <si>
    <t>シクレスト舌下錠５ｍｇ</t>
  </si>
  <si>
    <t>ｼﾞｸｱｽﾃﾝｶﾞﾝｴｷ3%</t>
  </si>
  <si>
    <t>ジクアス点眼液３％</t>
  </si>
  <si>
    <t>ｼﾞｷﾞﾗﾉｹﾞﾝﾁｭｳ0.4mg</t>
  </si>
  <si>
    <t>ジギラノゲン注０．４ｍｇ</t>
  </si>
  <si>
    <t>ｼﾞｴﾆﾅﾂｸｼﾞﾖｳ200MG</t>
  </si>
  <si>
    <t>ジェニナック錠２００ｍｇ</t>
  </si>
  <si>
    <t>ｼﾞｪｲｿﾞﾛﾌﾄｼﾞｮｳ25mg</t>
  </si>
  <si>
    <t>ｼｱﾉｺﾊﾞﾗﾐﾝﾃﾝｶﾞﾝｴｷ0.02%｢ﾆｯﾃﾝ｣</t>
  </si>
  <si>
    <t>シアノコバラミン点眼液０．０２％「日点」</t>
  </si>
  <si>
    <t>ｼｱﾅﾏｲﾄﾞﾅｲﾖｳｴｷ1%｢ﾀﾅﾍﾞ｣</t>
  </si>
  <si>
    <t>シアナマイド内用液１％「タナベ」</t>
  </si>
  <si>
    <t>ｼﾞｱｾﾞﾊﾟﾑﾁﾕｳｼﾔｴｷ5MGNIG</t>
  </si>
  <si>
    <t>ジアゼパム注射液５ｍｇ「ＮＩＧ」</t>
  </si>
  <si>
    <t>ｼﾞｱｾﾞﾊﾟﾑｼﾞｮｳ5mg｢ｱﾒﾙ｣</t>
  </si>
  <si>
    <t>ｼﾞｱｾﾞﾊﾟﾑｼﾞｮｳ2mg｢ｱﾒﾙ｣</t>
  </si>
  <si>
    <t>ｻﾝﾘｽﾞﾑｶﾌﾟｾﾙ25mg</t>
  </si>
  <si>
    <t>サンリズムカプセル２５ｍｇ</t>
  </si>
  <si>
    <t>ｻﾝｶﾏｸﾞﾈｼｳﾑ</t>
  </si>
  <si>
    <t>酸化マグネシウム</t>
  </si>
  <si>
    <t>ｻﾜｼﾘﾝｼﾞｮｳ250</t>
  </si>
  <si>
    <t>ｻﾘﾍﾞ-ﾄｴｱｿﾞ-ﾙ</t>
  </si>
  <si>
    <t>5%ｻﾘﾁﾙｻﾝﾜｾﾘﾝﾅﾝｺｳﾄｳﾎｳ</t>
  </si>
  <si>
    <t>５％サリチル酸ワセリン軟膏東豊</t>
  </si>
  <si>
    <t>ｻﾉﾚｯｸｽｼﾞｮｳ0.5mg</t>
  </si>
  <si>
    <t>サノレックス錠０．５ｍｇ</t>
  </si>
  <si>
    <t>ｻｱﾐｵﾝｼﾞｮｳ5mg</t>
  </si>
  <si>
    <t>サアミオン錠５ｍｇ</t>
  </si>
  <si>
    <t>ｺﾝﾄﾐﾝﾄｳｲｼﾞｮｳ100mg</t>
  </si>
  <si>
    <t>ｺﾝﾄﾐﾝﾄｳｲｼﾞｮｳ50mg</t>
  </si>
  <si>
    <t>ｺﾝﾄﾐﾝﾄｳｲｼﾞｮｳ25mg</t>
  </si>
  <si>
    <t>ｺﾝｻｰﾀｼﾞｮｳ18mg</t>
  </si>
  <si>
    <t>コンサータ錠１８ｍｇ</t>
  </si>
  <si>
    <t>点鼻薬</t>
  </si>
  <si>
    <t>ｺｰﾙﾀｲｼﾞﾝﾃﾝﾋﾞｴｷ</t>
  </si>
  <si>
    <t>コールタイジン点鼻液</t>
  </si>
  <si>
    <t>ｺﾑﾀﾝｼﾞｮｳ100mg</t>
  </si>
  <si>
    <t>コムタン錠１００ｍｇ</t>
  </si>
  <si>
    <t>ｺﾞﾅｯｸｽﾋｶﾁｭｳﾖｳ80mg</t>
  </si>
  <si>
    <t>ゴナックス皮下注用８０ｍｇ</t>
  </si>
  <si>
    <t>ｺﾃﾞｲﾝﾘﾝｻﾝｴﾝｻﾝ1%｢ﾌｿｰ｣</t>
  </si>
  <si>
    <t>コデインリン酸塩散１％「フソー」</t>
  </si>
  <si>
    <t>ｺﾀﾛｰｼｮｳﾌｳｻﾝｴｷｽｻｲﾘｭｳ</t>
  </si>
  <si>
    <t>コタロー消風散エキス細粒</t>
  </si>
  <si>
    <t>ｺｿﾌﾟﾄﾊｲｺﾞｳﾃﾝｶﾞﾝｴｷ</t>
  </si>
  <si>
    <t>ｺ-ﾄﾘﾙｼﾞﾖｳ10MG</t>
  </si>
  <si>
    <t>コートリル錠１０ｍｇ</t>
  </si>
  <si>
    <t>ｴﾝｶﾘｿﾞﾁ-ﾑ10MGｼﾞﾖｳ</t>
  </si>
  <si>
    <t>塩化リゾチーム１０ｍｇ錠</t>
  </si>
  <si>
    <t>ｹﾞﾝﾀﾏｲｼﾝﾘｭｳｻﾝｴﾝﾅﾝｺｳ0.1%｢ｲﾜｷ｣</t>
  </si>
  <si>
    <t>ゲンタマイシン硫酸塩軟膏０．１％「イワキ」</t>
  </si>
  <si>
    <t>ｹﾙﾛﾝｸﾞｼﾞｮｳ10mg</t>
  </si>
  <si>
    <t>ｹﾞ-ﾍﾞﾝｸﾘ-ﾑ1%</t>
  </si>
  <si>
    <t>ゲーベンクリーム１％</t>
  </si>
  <si>
    <t>ｹﾌﾚﾂｸｽｶﾌﾟｾﾙ250MG</t>
  </si>
  <si>
    <t>ケフレックスカプセル２５０ｍｇ</t>
  </si>
  <si>
    <t>ｹﾌﾗｰﾙｶﾌﾟｾﾙ250mg</t>
  </si>
  <si>
    <t>ケフラールカプセル２５０ｍｇ</t>
  </si>
  <si>
    <t>ｹﾄﾌﾟﾛﾌｪﾝﾊﾟｯﾌﾟ30mg｢ｻﾝﾜ｣</t>
  </si>
  <si>
    <t>ケトプロフェンパップ３０ｍｇ「三和」</t>
  </si>
  <si>
    <t>ｹﾄﾁﾌｪﾝﾃﾝﾋﾞｴｷ0.05%｢ｻﾜｲ｣</t>
  </si>
  <si>
    <t>ケトチフェン点鼻液０．０５％「サワイ」</t>
  </si>
  <si>
    <t>ｹｲﾂｰNｼﾞｮｳﾁｭｳ10mg</t>
  </si>
  <si>
    <t>ケイツーＮ静注１０ｍｇ</t>
  </si>
  <si>
    <t>Dｸﾛﾙﾌｴﾆﾗﾐﾝﾏﾚｲﾝｻﾝｴﾝｼﾞﾖﾎｳｼﾞﾖｳ6MGﾀｹﾀﾞﾃﾊﾞ</t>
  </si>
  <si>
    <t>ｸﾛﾓｸﾞﾘｸｻﾝNAﾃﾝｶﾞﾝｴｷ2%ﾆﾂﾄ-</t>
  </si>
  <si>
    <t>クロモグリク酸Ｎａ点眼液２％「ニットー」</t>
  </si>
  <si>
    <t>ｸﾛﾓｸﾞﾘｸｻﾝNaﾃﾝﾋﾞｴｷ2%｢ﾄｰﾜ｣</t>
  </si>
  <si>
    <t>クロモグリク酸Ｎａ点鼻液２％「トーワ」</t>
  </si>
  <si>
    <t>ｸﾛﾓｸﾞﾘｸｻﾝNaﾃﾝｶﾞﾝｴｷ2%｢ﾆｯﾃﾝ｣</t>
  </si>
  <si>
    <t>クロモグリク酸Ｎａ点眼液２％「ニッテン」</t>
  </si>
  <si>
    <t>ｸﾛﾓｸﾞﾘｸｻﾝNaﾃﾝｶﾞﾝｴｷ2%｢ﾄｰﾜ｣</t>
  </si>
  <si>
    <t>クロモグリク酸Ｎａ点眼液２％「トーワ」</t>
  </si>
  <si>
    <t>ｸﾛﾏｲﾁﾂｼﾞｮｳ100mg</t>
  </si>
  <si>
    <t>クロマイ腟錠１００ｍｇ</t>
  </si>
  <si>
    <t>ｸﾛﾍﾞﾀｿﾞ-ﾙﾌﾟﾛﾋﾟｵﾝｻﾝｴｽﾃﾙﾅﾝｺｳ0.05%ｲﾜｷ</t>
  </si>
  <si>
    <t>クロベタゾールプロピオン酸エステル軟膏０．０５％「イワキ」</t>
  </si>
  <si>
    <t>ｸﾛﾌｪｸﾄﾝｼﾞｮｳ25mg</t>
  </si>
  <si>
    <t>クロフェクトン錠２５ｍｇ</t>
  </si>
  <si>
    <t>ｸﾛﾋﾟﾄﾞｸﾞﾚﾙｼﾞﾖｳ75MGJG</t>
  </si>
  <si>
    <t>クロピドグレル錠７５ｍｇ「ＪＧ」</t>
  </si>
  <si>
    <t>ｸﾛﾋﾟﾄﾞｸﾞﾚﾙｼﾞﾖｳ25MGJG</t>
  </si>
  <si>
    <t>クロピドグレル錠２５ｍｇ「ＪＧ」</t>
  </si>
  <si>
    <t>ｸﾛﾋﾟﾄﾞｸﾞﾚﾙｼﾞｮｳ75mg｢ﾄｰﾜ｣</t>
  </si>
  <si>
    <t>クロピドグレル錠７５ｍｇ「トーワ」</t>
  </si>
  <si>
    <t>ｸﾛﾋﾟﾄﾞｸﾞﾚﾙｼﾞｮｳ25mg｢ﾄｰﾜ｣</t>
  </si>
  <si>
    <t>クロピドグレル錠２５ｍｇ「トーワ」</t>
  </si>
  <si>
    <t>ｸﾚﾒｼﾞﾝｻｲﾘｭｳﾌﾞﾝﾎﾟｳ2g</t>
  </si>
  <si>
    <t>クレメジン細粒分包２ｇ</t>
  </si>
  <si>
    <t>ｸﾚﾐﾝｼﾞｮｳ25mg</t>
  </si>
  <si>
    <t>クレミン錠２５ｍｇ</t>
  </si>
  <si>
    <t>ｸﾚﾅﾌｨﾝ爪ｶﾞｲﾖｳｴｷ10%</t>
  </si>
  <si>
    <t>クレナフィン爪外用液１０％</t>
  </si>
  <si>
    <t>ｸﾘﾝﾀﾞﾏｲｼﾝﾘﾝｻﾝｴｽﾃﾙﾁﾕｳｼﾔｴｷ600MGｻﾜｲ</t>
  </si>
  <si>
    <t>クリンダマイシンリン酸エステル注射液６００ｍｇ「サワイ」</t>
  </si>
  <si>
    <t>ｸﾘﾝﾀﾞﾏｲｼﾝﾘﾝｻﾝｴｽﾃﾙ600MGﾁﾕｳｼﾔｴｷ</t>
  </si>
  <si>
    <t>クリンダマイシンリン酸エステル６００ｍｇ注射液</t>
  </si>
  <si>
    <t>ｸﾘﾝﾀﾞﾏｲｼﾝﾘﾝｻﾝｴｽﾃﾙﾁﾕｳ300MGﾄ-ﾜ</t>
  </si>
  <si>
    <t>クリンダマイシンリン酸エステル注３００ｍｇ「トーワ」</t>
  </si>
  <si>
    <t>ｸﾞﾘﾒﾋﾟﾘﾄﾞODｼﾞﾖｳ1MGﾄ-ﾜ</t>
  </si>
  <si>
    <t>グリメピリドＯＤ錠１ｍｇ「トーワ」</t>
  </si>
  <si>
    <t>ｸﾞﾘﾒﾋﾟﾘﾄﾞｼﾞｮｳ1mg｢ﾄｰﾜ｣</t>
  </si>
  <si>
    <t>グリメピリド錠１ｍｇ「トーワ」</t>
  </si>
  <si>
    <t>ｸﾞﾘﾌｧｰｹﾞﾝｼﾞｮｳﾁｭｳ20mL</t>
  </si>
  <si>
    <t>グリファーゲン静注２０ｍＬ</t>
  </si>
  <si>
    <t>ｸﾞﾘﾁﾛﾝﾊｲｺﾞｳｼﾞｮｳ</t>
  </si>
  <si>
    <t>浣腸</t>
  </si>
  <si>
    <t>ｸﾞﾘｾﾘﾝｶﾝﾁｮｳｴｷ50%｢ﾑﾈ｣60mL</t>
  </si>
  <si>
    <t>グリセリン浣腸液５０％「ムネ」６０ｍＬ</t>
  </si>
  <si>
    <t>ｸﾞﾘｾｵｰﾙﾁｭｳ</t>
  </si>
  <si>
    <t>ｸﾞﾗﾝﾀﾞｷｼﾝｼﾞｮｳ50</t>
  </si>
  <si>
    <t>グランダキシン錠５０</t>
  </si>
  <si>
    <t>ｸﾗﾘｼｯﾄﾞｼﾞｮｳ200mg</t>
  </si>
  <si>
    <t>クラリシッド錠２００ｍｇ</t>
  </si>
  <si>
    <t>ｸﾗﾘﾁﾝｼﾞｮｳ10mg</t>
  </si>
  <si>
    <t>クラリチン錠１０ｍｇ</t>
  </si>
  <si>
    <t>ｸﾞﾗﾏﾘｰﾙｻｲﾘｭｳ10%</t>
  </si>
  <si>
    <t>グラマリール細粒１０％</t>
  </si>
  <si>
    <t>ｸﾞﾗﾏﾘｰﾙｼﾞｮｳ50mg</t>
  </si>
  <si>
    <t>グラマリール錠５０ｍｇ</t>
  </si>
  <si>
    <t>ｸﾞﾗﾏﾘｰﾙｼﾞｮｳ25mg</t>
  </si>
  <si>
    <t>グラマリール錠２５ｍｇ</t>
  </si>
  <si>
    <t>ｸﾞﾗﾅﾃｯｸﾃﾝｶﾞﾝｴｷ0.4%</t>
  </si>
  <si>
    <t>グラナテック点眼液０．４％</t>
  </si>
  <si>
    <t>ｸﾗｼｴｻｲﾚｲﾄｳｴｷｽｻｲﾘｭｳ</t>
  </si>
  <si>
    <t>クラシエ柴苓湯エキス細粒</t>
  </si>
  <si>
    <t>ｸﾗｼｴﾆﾝｼﾞﾝﾖｳｴｲﾄｳｴｷｽｻｲﾘﾕｳ</t>
  </si>
  <si>
    <t>クラシエ人参養栄湯エキス細粒</t>
  </si>
  <si>
    <t>ｸﾗｼｴｶﾐｷﾋﾄｳｴｷｽｻｲﾘｭｳ</t>
  </si>
  <si>
    <t>クラシエ加味帰脾湯エキス細粒</t>
  </si>
  <si>
    <t>ｸﾗｼｴﾎﾁｭｳｴｯｷﾄｳｴｷｽｻｲﾘｭｳ</t>
  </si>
  <si>
    <t>クラシエ補中益気湯エキス細粒</t>
  </si>
  <si>
    <t>ｸﾗｼｴﾁｮﾚｲﾄｳｴｷｽｻｲﾘｭｳ</t>
  </si>
  <si>
    <t>クラシエ猪苓湯エキス細粒</t>
  </si>
  <si>
    <t>ｸﾗｼｴｶﾐｼｮｳﾖｳｻﾝﾘｮｳｴｷｽｻｲﾘｭｳ</t>
  </si>
  <si>
    <t>クラシエ加味逍遙散料エキス細粒</t>
  </si>
  <si>
    <t>ｸﾗｼｴｼｮｳｾｲﾘｭｳﾄｳｴｷｽｻｲﾘｭｳ</t>
  </si>
  <si>
    <t>クラシエ小青竜湯エキス細粒</t>
  </si>
  <si>
    <t>ｸﾗｼｴｵｳﾚﾝｹﾞﾄﾞｸﾄｳｴｷｽｻｲﾘｭｳ</t>
  </si>
  <si>
    <t>クラシエ黄連解毒湯エキス細粒</t>
  </si>
  <si>
    <t>ｸﾗｼｴｶｯｺﾝﾄｳｴｷｽｻｲﾘｭｳ</t>
  </si>
  <si>
    <t>クラシエ葛根湯エキス細粒</t>
  </si>
  <si>
    <t>ｸﾞﾗｸﾃｨﾌﾞｼﾞｮｳ50mg</t>
  </si>
  <si>
    <t>グラクティブ錠５０ｍｇ</t>
  </si>
  <si>
    <t>ｸﾞﾗｱﾙﾌｱﾊｲｺﾞｳﾃﾝｶﾞﾝｴｷ</t>
  </si>
  <si>
    <t>ｸﾞｰﾌｨｽｼﾞｮｳ5mg</t>
  </si>
  <si>
    <t>グーフィス錠５ｍｇ</t>
  </si>
  <si>
    <t>ｸ-ﾋﾞﾋﾞﾂｸｼﾞﾖｳ25MG</t>
  </si>
  <si>
    <t>クービビック錠２５ｍｇ</t>
  </si>
  <si>
    <t>ｸ-ﾋﾞﾋﾞﾂｸｼﾞﾖｳ50MG</t>
  </si>
  <si>
    <t>クービビック錠５０ｍｇ</t>
  </si>
  <si>
    <t>ｸｴﾁｱﾋﾟﾝｻｲﾘｭｳ50%｢ｱﾒﾙ｣</t>
  </si>
  <si>
    <t>クエチアピン細粒５０％「アメル」</t>
  </si>
  <si>
    <t>ｸｴﾁｱﾋﾟﾝｼﾞｮｳ200mg｢ｱﾒﾙ｣</t>
  </si>
  <si>
    <t>クエチアピン錠２００ｍｇ「アメル」</t>
  </si>
  <si>
    <t>ｸｴﾁｱﾋﾟﾝｼﾞｮｳ100mg｢ｱﾒﾙ｣</t>
  </si>
  <si>
    <t>クエチアピン錠１００ｍｇ「アメル」</t>
  </si>
  <si>
    <t>ｸｴﾁｱﾋﾟﾝｼﾞｮｳ25mg｢ｱﾒﾙ｣</t>
  </si>
  <si>
    <t>クエチアピン錠２５ｍｇ「アメル」</t>
  </si>
  <si>
    <t>ｸｴﾁｱﾋﾟﾝｼﾞｮｳ12.5mg｢ｱﾒﾙ｣</t>
  </si>
  <si>
    <t>クエチアピン錠１２．５ｍｇ「アメル」</t>
  </si>
  <si>
    <t>空ﾎｳ</t>
  </si>
  <si>
    <t>空包</t>
  </si>
  <si>
    <t>ｸｱｾﾞﾊﾟﾑｼﾞｮｳ15mg｢ｱﾒﾙ｣</t>
  </si>
  <si>
    <t>クアゼパム錠１５ｍｇ「アメル」</t>
  </si>
  <si>
    <t>ｷｭﾊﾞｰﾙ100ｴｱｿﾞｰﾙ</t>
  </si>
  <si>
    <t>キュバール１００エアゾール</t>
  </si>
  <si>
    <t>ｷｭｳｹｲｷｭｳﾁｬｸﾀﾝｻｲﾘｭｳ｢ﾏｲﾗﾝ｣</t>
  </si>
  <si>
    <t>球形吸着炭細粒「マイラン」</t>
  </si>
  <si>
    <t>ｷｼﾛｶｲﾝﾎﾟﾝﾌﾟｽﾌﾟﾚｰ8%</t>
  </si>
  <si>
    <t>キシロカインポンプスプレー８％</t>
  </si>
  <si>
    <t>ｼﾞｮｳﾁｭｳﾖｳｷｼﾛｶｲﾝ2%</t>
  </si>
  <si>
    <t>静注用キシロカイン２％</t>
  </si>
  <si>
    <t>ｷｼﾛｶｲﾝﾁｭｳｼﾘﾝｼﾞ0.5%</t>
  </si>
  <si>
    <t>キシロカイン注シリンジ０．５％</t>
  </si>
  <si>
    <t>ｷｼﾛｶｲﾝﾋﾞｽｶｽ2%</t>
  </si>
  <si>
    <t>キシロカインビスカス２％</t>
  </si>
  <si>
    <t>ｶﾛﾅｰﾙｻﾞｻﾞｲ200</t>
  </si>
  <si>
    <t>ｶﾛﾅｰﾙｼﾞｮｳ200</t>
  </si>
  <si>
    <t>カロナール錠２００</t>
  </si>
  <si>
    <t>ｶﾛﾅｰﾙｻｲﾘｭｳ20%</t>
  </si>
  <si>
    <t>カロナール細粒２０％</t>
  </si>
  <si>
    <t>ｶﾙﾎﾞｼｽﾃｲﾝｼﾞｮｳ250mg｢ﾄｰﾜ｣</t>
  </si>
  <si>
    <t>カルボシステイン錠２５０ｍｇ「トーワ」</t>
  </si>
  <si>
    <t>ｶﾙﾍﾞｼﾞﾛ-ﾙｼﾞﾖｳ10MGDSEP</t>
  </si>
  <si>
    <t>カルベジロール錠１０ｍｇ「ＤＳＥＰ」</t>
  </si>
  <si>
    <t>ｶﾙﾍﾞｼﾞﾛｰﾙｼﾞｮｳ10mg｢ｻﾜｲ｣</t>
  </si>
  <si>
    <t>カルベジロール錠１０ｍｇ「サワイ」</t>
  </si>
  <si>
    <t>ｶﾙﾋﾞｽｹﾝｼﾞｮｳ5mg</t>
  </si>
  <si>
    <t>カルビスケン錠５ｍｇ</t>
  </si>
  <si>
    <t>ｶﾙﾊﾞﾏｾﾞﾋﾟﾝｻｲﾘｭｳ50%｢ｱﾒﾙ｣</t>
  </si>
  <si>
    <t>ｶﾙﾊﾞﾏｾﾞﾋﾟﾝｼﾞｮｳ200mg｢ｱﾒﾙ｣</t>
  </si>
  <si>
    <t>カルバマゼピン錠２００ｍｇ「アメル」</t>
  </si>
  <si>
    <t>ｶﾙﾊﾞﾏｾﾞﾋﾟﾝｼﾞｮｳ100mg｢ｱﾒﾙ｣</t>
  </si>
  <si>
    <t>カルバマゼピン錠１００ｍｇ「アメル」</t>
  </si>
  <si>
    <t>ｶﾘﾒ-ﾄﾄﾞﾗｲｼﾛﾂﾌﾟ92.59%</t>
  </si>
  <si>
    <t>カリメートドライシロップ９２．５９％</t>
  </si>
  <si>
    <t>ｶﾞﾗﾝﾀﾐﾝODｼﾞｮｳ12mg｢ﾆﾁｲｺｳ｣</t>
  </si>
  <si>
    <t>ガランタミンＯＤ錠１２ｍｇ「日医工」</t>
  </si>
  <si>
    <t>ｶﾞﾗﾝﾀﾐﾝODｼﾞｮｳ12mg｢ｱﾒﾙ｣</t>
  </si>
  <si>
    <t>ガランタミンＯＤ錠１２ｍｇ「アメル」</t>
  </si>
  <si>
    <t>ｶﾞﾗﾝﾀﾐﾝODｼﾞｮｳ4mg｢ｱﾒﾙ｣</t>
  </si>
  <si>
    <t>ガランタミンＯＤ錠４ｍｇ「アメル」</t>
  </si>
  <si>
    <t>ｶﾞﾗﾝﾀﾐﾝODｼﾞｮｳ4mg｢ﾆﾁｲｺｳ｣</t>
  </si>
  <si>
    <t>ガランタミンＯＤ錠４ｍｇ「日医工」</t>
  </si>
  <si>
    <t>ｶﾓｽﾀｯﾄﾒｼﾙｻﾝｴﾝｼﾞｮｳ100mg｢ｻﾜｲ｣</t>
  </si>
  <si>
    <t>カモスタットメシル酸塩錠１００ｍｇ「サワイ」</t>
  </si>
  <si>
    <t>ｶﾞﾊﾞﾍﾟﾝｼﾞｮｳ200mg</t>
  </si>
  <si>
    <t>ガバペン錠２００ｍｇ</t>
  </si>
  <si>
    <t>ｶﾀﾌﾟﾚｽｼﾞｮｳ75μg</t>
  </si>
  <si>
    <t>ﾌｳ邪Ⅱ(院ﾅｲｾｲｻﾞｲ)</t>
  </si>
  <si>
    <t>風邪Ⅱ(院内製剤)</t>
  </si>
  <si>
    <t>ﾌｳ邪Ⅲ(院ﾅｲｾｲｻﾞｲ)</t>
  </si>
  <si>
    <t>風邪Ⅲ(院内製剤)</t>
  </si>
  <si>
    <t>ｶﾞｽﾓﾁﾝｻﾝ1%</t>
  </si>
  <si>
    <t>ガスモチン散１％</t>
  </si>
  <si>
    <t>ｶﾞｽｺﾝｼﾞﾖｳ40MG</t>
  </si>
  <si>
    <t>ガスコン錠４０ｍｇ</t>
  </si>
  <si>
    <t>ｵﾝｼﾞｪﾝﾃｨｽｼﾞｮｳ25mg</t>
  </si>
  <si>
    <t>オンジェンティス錠２５ｍｇ</t>
  </si>
  <si>
    <t>ｵﾛﾊﾟﾀｼﾞﾝｴﾝｻﾝｴﾝODｼﾞﾖｳ5MGﾄ-ﾜ</t>
  </si>
  <si>
    <t>オロパタジン塩酸塩ＯＤ錠５ｍｇ「トーワ」</t>
  </si>
  <si>
    <t>ｵﾛﾊﾟﾀｼﾞﾝｴﾝｻﾝｴﾝｼﾞｮｳ5mg｢ﾄｰﾜ｣</t>
  </si>
  <si>
    <t>オロパタジン塩酸塩錠５ｍｇ「トーワ」</t>
  </si>
  <si>
    <t>ｵﾙﾒﾃｯｸODｼﾞｮｳ10mg</t>
  </si>
  <si>
    <t>オルメテックＯＤ錠１０ｍｇ</t>
  </si>
  <si>
    <t>ｵﾙｾﾉﾝﾅﾝｺｳ0.25%</t>
  </si>
  <si>
    <t>オルセノン軟膏０．２５％</t>
  </si>
  <si>
    <t>ｵﾗﾝｻﾞﾋﾟﾝｼﾞﾖｳ2.5MGﾆﾌﾟﾛ</t>
  </si>
  <si>
    <t>オランザピン錠２．５ｍｇ「ニプロ」</t>
  </si>
  <si>
    <t>ｵﾗﾝｻﾞﾋﾟﾝｻｲﾘﾕｳ1%ﾆﾌﾟﾛ</t>
  </si>
  <si>
    <t>オランザピン細粒１％「ニプロ」</t>
  </si>
  <si>
    <t>ｵﾗﾝｻﾞﾋﾟﾝODｼﾞﾖｳ10MGﾆﾌﾟﾛ</t>
  </si>
  <si>
    <t>オランザピンＯＤ錠１０ｍｇ「ニプロ」</t>
  </si>
  <si>
    <t>ｵﾗﾝｻﾞﾋﾟﾝODｼﾞﾖｳ5MGﾆﾌﾟﾛ</t>
  </si>
  <si>
    <t>オランザピンＯＤ錠５ｍｇ「ニプロ」</t>
  </si>
  <si>
    <t>ｵﾗﾝｻﾞﾋﾟﾝODｼﾞﾖｳ2.5MGﾆﾌﾟﾛ</t>
  </si>
  <si>
    <t>オランザピンＯＤ錠２．５ｍｇ「ニプロ」</t>
  </si>
  <si>
    <t>ｵﾗﾝｻﾞﾋﾟﾝｻｲﾘﾕｳ1%NP</t>
  </si>
  <si>
    <t>オランザピン細粒１％「ＮＰ」</t>
  </si>
  <si>
    <t>ｵﾗﾝｻﾞﾋﾟﾝｼﾞﾖｳ2.5MGNP</t>
  </si>
  <si>
    <t>オランザピン錠２．５ｍｇ「ＮＰ」</t>
  </si>
  <si>
    <t>ｵﾗﾝｻﾞﾋﾟﾝODｼﾞﾖｳ5MGNP</t>
  </si>
  <si>
    <t>オランザピンＯＤ錠５ｍｇ「ＮＰ」</t>
  </si>
  <si>
    <t>ｵﾗﾝｻﾞﾋﾟﾝODｼﾞﾖｳ10MGNP</t>
  </si>
  <si>
    <t>オランザピンＯＤ錠１０ｍｇ「ＮＰ」</t>
  </si>
  <si>
    <t>ｵﾗﾝｻﾞﾋﾟﾝｻｲﾘｭｳ1%｢ﾖｼﾄﾐ｣</t>
  </si>
  <si>
    <t>オランザピン細粒１％「ヨシトミ」</t>
  </si>
  <si>
    <t>ｵﾗﾝｻﾞﾋﾟﾝODｼﾞｮｳ10mg｢ﾖｼﾄﾐ｣</t>
  </si>
  <si>
    <t>オランザピンＯＤ錠１０ｍｇ「ヨシトミ」</t>
  </si>
  <si>
    <t>ｵﾗﾝｻﾞﾋﾟﾝODｼﾞｮｳ5mg｢ﾖｼﾄﾐ｣</t>
  </si>
  <si>
    <t>オランザピンＯＤ錠５ｍｇ「ヨシトミ」</t>
  </si>
  <si>
    <t>ｵﾗﾝｻﾞﾋﾟﾝｼﾞｮｳ2.5mg｢ﾖｼﾄﾐ｣</t>
  </si>
  <si>
    <t>オランザピン錠２．５ｍｇ「ヨシトミ」</t>
  </si>
  <si>
    <t>ｵﾌﾛｷｻｼﾝﾃﾝｶﾞﾝｴｷ0.3%｢JG｣</t>
  </si>
  <si>
    <t>オフロキサシン点眼液０．３％「ＪＧ」</t>
  </si>
  <si>
    <t>ｵﾃｽﾞﾗｼﾞｮｳｽﾀｰﾀｰﾊﾟｯｸ</t>
  </si>
  <si>
    <t>オテズラ錠ｽﾀｰﾀｰﾊﾟｯｸ</t>
  </si>
  <si>
    <t>ｵﾃｽﾞﾗｼﾞｮｳ30mg</t>
  </si>
  <si>
    <t>オテズラ錠３０ｍｇ</t>
  </si>
  <si>
    <t>ｵﾃｽﾞﾗｼﾞｮｳ20mg</t>
  </si>
  <si>
    <t>オテズラ錠２０ｍｇ</t>
  </si>
  <si>
    <t>ｵﾃｽﾞﾗｼﾞｮｳ10mg</t>
  </si>
  <si>
    <t>オテズラ錠１０ｍｇ</t>
  </si>
  <si>
    <t>ｵｾﾙﾀﾐﾋﾞﾙｶﾌﾟｾﾙ75mg｢ｻﾜｲ｣</t>
  </si>
  <si>
    <t>オセルタミビルカプセル７５ｍｇ「サワイ」</t>
  </si>
  <si>
    <t>ｵｾﾞｯｸｽｼﾞｮｳ150</t>
  </si>
  <si>
    <t>オゼックス錠１５０</t>
  </si>
  <si>
    <t>ｵｰｸﾞﾒﾝﾁﾝﾊｲｺﾞｳｼﾞｮｳ250RS</t>
  </si>
  <si>
    <t>オーグメンチン配合錠２５０ＲＳ</t>
  </si>
  <si>
    <t>ｵｷｻﾛｰﾙﾅﾝｺｳ25μg/g</t>
  </si>
  <si>
    <t>オキサロール軟膏２５μｇ／ｇ</t>
  </si>
  <si>
    <t>ｵｲﾗｯｸｽｸﾘｰﾑ10%</t>
  </si>
  <si>
    <t>オイラックスクリーム１０％</t>
  </si>
  <si>
    <t>ｴﾝﾚｽﾄｼﾞｮｳ100mg</t>
  </si>
  <si>
    <t>エンレスト錠１００ｍｇ</t>
  </si>
  <si>
    <t>ｴﾝﾃｶﾋﾞﾙODｼﾞﾖｳ0.5MGｻﾜｲ</t>
  </si>
  <si>
    <t>エンテカビルＯＤ錠０．５ｍｇ「サワイ」</t>
  </si>
  <si>
    <t>ｴﾝｻﾝﾒﾄｸﾛﾌﾟﾗﾐﾄﾞﾁｭｳｼｬｴｷ10mg｢ﾀｶﾀ｣</t>
  </si>
  <si>
    <t>塩酸メトクロプラミド注射液１０ｍｇ「タカタ」</t>
  </si>
  <si>
    <t>10%ｴﾝｶﾅﾄﾘｳﾑﾁｭｳｼｬｴｷ</t>
  </si>
  <si>
    <t>１０％塩化ナトリウム注射液</t>
  </si>
  <si>
    <t>ｴﾝｶﾅﾄﾘｳﾑ</t>
  </si>
  <si>
    <t>ｴﾝｶｶﾘｳﾑ</t>
  </si>
  <si>
    <t>ｴﾙｶﾙﾁﾝFFｼﾞｮｳ250mg</t>
  </si>
  <si>
    <t>エルカルチンＦＦ錠２５０ｍｇ</t>
  </si>
  <si>
    <t>ｴﾘｽﾛｼﾝｼﾞﾖｳ200MG</t>
  </si>
  <si>
    <t>エリスロシン錠２００ｍｇ</t>
  </si>
  <si>
    <t>ｴﾘｽﾛｼﾝﾄﾞﾗｲｼﾛﾂﾌﾟW20%</t>
  </si>
  <si>
    <t>エリスロシンドライシロップＷ２０％</t>
  </si>
  <si>
    <t>ｴﾘｷｭｰｽｼﾞｮｳ2.5mg</t>
  </si>
  <si>
    <t>エリキュース錠２．５ｍｇ</t>
  </si>
  <si>
    <t>ｴﾎﾁｰﾙﾁｭｳ10mg</t>
  </si>
  <si>
    <t>ｴﾎﾟｼﾞﾝﾁｭｳｼﾘﾝｼﾞ3000</t>
  </si>
  <si>
    <t>エポジン注シリンジ３０００</t>
  </si>
  <si>
    <t>ｴﾍﾟﾘｿﾞﾝｴﾝｻﾝｴﾝｼﾞｮｳ50mg｢ﾆﾁｲｺｳ｣</t>
  </si>
  <si>
    <t>エペリゾン塩酸塩錠５０ｍｇ「日医工」</t>
  </si>
  <si>
    <t>ｴﾌﾞﾗﾝﾁﾙｶﾌﾟｾﾙ15mg</t>
  </si>
  <si>
    <t>エブランチルカプセル１５ｍｇ</t>
  </si>
  <si>
    <t>ｴﾌｲﾅｺﾅｿﾞ-ﾙﾂﾒｶﾞｲﾖｳｴｷ10%ｻﾜｲ</t>
  </si>
  <si>
    <t>エフィナコナゾール爪外用液１０％「サワイ」</t>
  </si>
  <si>
    <t>ｴﾌｨｴﾝﾄｼﾞｮｳ2.5mg</t>
  </si>
  <si>
    <t>エフィエント錠２．５ｍｇ</t>
  </si>
  <si>
    <t>エビリファイ内用液0.1％　6ml</t>
  </si>
  <si>
    <t>ｴﾋﾞﾘﾌｱｲﾅｲﾖｳｴｷ0.1%</t>
  </si>
  <si>
    <t>エビリファイ内用液0.1％　3ml</t>
  </si>
  <si>
    <t>ｴﾋﾞﾘﾌｧｲ持続ｾｲｽｲ懸ｷﾝﾁｭｳﾖｳ400mgｼﾘﾝｼﾞ</t>
  </si>
  <si>
    <t>エビリファイ持続性水懸筋注用４００ｍｇシリンジ外来用</t>
  </si>
  <si>
    <t>ｴﾋﾞﾘﾌｧｲ持続ｾｲｽｲ懸ｷﾝﾁｭｳﾖｳ300mgｼﾘﾝｼﾞ</t>
  </si>
  <si>
    <t>エビリファイ持続性水懸筋注用３００ｍｇシリンジ</t>
  </si>
  <si>
    <t>ｴﾋﾞﾘﾌｧｲｼﾞｮｳ12mg</t>
  </si>
  <si>
    <t>エビリファイ錠１２ｍｇ</t>
  </si>
  <si>
    <t>ｴﾋﾞﾘﾌｧｲｻﾝ1%</t>
  </si>
  <si>
    <t>エビリファイ散１％</t>
  </si>
  <si>
    <t>ｴﾋﾞﾘﾌｧｲｼﾞｮｳ6mg</t>
  </si>
  <si>
    <t>エビリファイ錠６ｍｇ</t>
  </si>
  <si>
    <t>ｴﾋﾞﾘﾌｧｲｼﾞｮｳ3mg</t>
  </si>
  <si>
    <t>エビリファイ錠３ｍｇ</t>
  </si>
  <si>
    <t>ｴﾋﾞﾘﾌｧｲｼﾞｮｳ1mg</t>
  </si>
  <si>
    <t>エビリファイ錠１ｍｇ</t>
  </si>
  <si>
    <t>ｴﾋﾞﾌﾟﾛｽﾀｯﾄﾊｲｺﾞｳｼﾞｮｳDB</t>
  </si>
  <si>
    <t>エビプロスタット配合錠ＤＢ</t>
  </si>
  <si>
    <t>ｴﾋﾟﾅｽﾁﾝｴﾝｻﾝｴﾝｼﾞｮｳ20mg｢ﾄｰﾜ｣</t>
  </si>
  <si>
    <t>エピナスチン塩酸塩錠２０ｍｇ「トーワ」</t>
  </si>
  <si>
    <t>ｴﾋﾟﾅｽﾁﾝｴﾝｻﾝｴﾝｼﾞｮｳ20mg｢JG｣</t>
  </si>
  <si>
    <t>エピナスチン塩酸塩錠２０ｍｇ「ＪＧ」</t>
  </si>
  <si>
    <t>ｴﾋﾞｽﾀｼﾞｮｳ60mg</t>
  </si>
  <si>
    <t>エビスタ錠６０ｍｇ</t>
  </si>
  <si>
    <t>ｴﾊﾞｽﾁﾝODｼﾞﾖｳ5MGｻﾜｲ</t>
  </si>
  <si>
    <t>エバスチンＯＤ錠５ｍｇ「サワイ」</t>
  </si>
  <si>
    <t>ｴﾊﾞｽﾁﾝODｼﾞﾖｳ5MGｷﾖｳﾘﾝ</t>
  </si>
  <si>
    <t>エバスチンＯＤ錠５ｍｇ「杏林」</t>
  </si>
  <si>
    <t>ｴﾊﾞｽﾃﾙｼﾞｮｳ5mg</t>
  </si>
  <si>
    <t>ｴﾈﾌﾘｰﾄﾞﾕｴｷ</t>
  </si>
  <si>
    <t>エネフリード輸液</t>
  </si>
  <si>
    <t>ｴﾅﾗﾌﾟﾘﾙﾏﾚｲﾝｻﾝｴﾝｼﾞﾖｳ5MGｻﾜｲ</t>
  </si>
  <si>
    <t>エナラプリルマレイン酸塩錠５ｍｇ「サワイ」</t>
  </si>
  <si>
    <t>ｴﾅﾗﾌﾟﾘﾙﾏﾚｲﾝｻﾝｴﾝｼﾞｮｳ5mg｢ﾆｯｼﾝ｣</t>
  </si>
  <si>
    <t>ｴﾄﾄﾞﾗｸｼﾞｮｳ200mg｢ﾀｲﾖｰ｣</t>
  </si>
  <si>
    <t>エトドラク錠２００ｍｇ「タイヨー」</t>
  </si>
  <si>
    <t>ｴﾁｿﾞﾗﾑｻｲﾘｭｳ1%｢JG｣</t>
  </si>
  <si>
    <t>エチゾラム細粒１％「ＪＧ」</t>
  </si>
  <si>
    <t>ｴﾁｿﾞﾗﾑｼﾞｮｳ1mg｢ｱﾒﾙ｣</t>
  </si>
  <si>
    <t>エチゾラム錠１ｍｇ「アメル」</t>
  </si>
  <si>
    <t>ｴﾁｿﾞﾗﾑｼﾞｮｳ0.5mg｢ｱﾒﾙ｣</t>
  </si>
  <si>
    <t>エチゾラム錠０．５ｍｇ「アメル」</t>
  </si>
  <si>
    <t>ｴｿﾒﾌﾟﾗｿﾞ-ﾙｶﾌﾟｾﾙ20MGﾆﾌﾟﾛ</t>
  </si>
  <si>
    <t>エソメプラゾールカプセル２０ｍｇ「ニプロ」</t>
  </si>
  <si>
    <t>ｴｾﾞﾁﾐﾌﾞODｼﾞﾖｳ10MGﾄ-ﾜ</t>
  </si>
  <si>
    <t>エゼチミブＯＤ錠１０ｍｇ「トーワ」</t>
  </si>
  <si>
    <t>トローチ</t>
  </si>
  <si>
    <t>SPﾄﾛｰﾁ0.25mg｢ﾒｲｼﾞ｣</t>
  </si>
  <si>
    <t>ＳＰトローチ０．２５ｍｇ「明治」</t>
  </si>
  <si>
    <t>ｴｽｿﾞﾋﾟｸﾛﾝｼﾞｮｳ1mg｢ﾄｰﾜ｣</t>
  </si>
  <si>
    <t>エスゾピクロン錠１ｍｇ「トーワ」</t>
  </si>
  <si>
    <t>ｴｽｼﾀﾛﾌﾟﾗﾑODｼﾞｮｳ10mg｢ﾄｰﾜ｣</t>
  </si>
  <si>
    <t>エスシタロプラムＯＤ錠１０ｍｇ「トーワ」</t>
  </si>
  <si>
    <t>ｴｻﾝﾌﾞﾄｰﾙｼﾞｮｳ250mg</t>
  </si>
  <si>
    <t>エサンブトール錠２５０ｍｇ</t>
  </si>
  <si>
    <t>ｴｲｿﾞﾌﾟﾄｹﾝﾀﾞｸｾｲﾃﾝｶﾞﾝｴｷ1%</t>
  </si>
  <si>
    <t>エイゾプト懸濁性点眼液１％</t>
  </si>
  <si>
    <t>ｳﾚﾊﾟ-ﾙｸﾘ-ﾑ10%</t>
  </si>
  <si>
    <t>ウレパールクリーム１０％</t>
  </si>
  <si>
    <t>ｳﾙｿﾃﾞｵｷｼｺｰﾙｻﾝｼﾞｮｳ100mg｢ｻﾜｲ｣</t>
  </si>
  <si>
    <t>ウルソデオキシコール酸錠１００ｍｇ「サワイ」</t>
  </si>
  <si>
    <t>ｳｲﾝﾀﾐﾝｻｲﾘｭｳ(10%)</t>
  </si>
  <si>
    <t>ウインタミン細粒（１０％）</t>
  </si>
  <si>
    <t>ｲﾝﾄﾗﾘﾎﾟｽﾕｴｷ20%</t>
  </si>
  <si>
    <t>イントラリポス輸液２０％</t>
  </si>
  <si>
    <t>ｲﾝﾃﾊﾞﾝｸﾘ-ﾑ1%</t>
  </si>
  <si>
    <t>インテバンクリーム１％</t>
  </si>
  <si>
    <t>ｲﾝﾃﾞﾗﾙｼﾞﾖｳ10MG</t>
  </si>
  <si>
    <t>インデラル錠１０ｍｇ</t>
  </si>
  <si>
    <t>ｲﾝﾃﾊﾞﾝｶﾞｲﾖｳｴｷ1%</t>
  </si>
  <si>
    <t>インテバン外用液１％</t>
  </si>
  <si>
    <t>ｲﾝﾃﾊﾞﾝﾅﾝｺｳ1%</t>
  </si>
  <si>
    <t>インテバン軟膏１％</t>
  </si>
  <si>
    <t>ｲﾝﾁｭﾆﾌﾞｼﾞｮｳ3mg</t>
  </si>
  <si>
    <t>インチュニブ錠３ｍｇ</t>
  </si>
  <si>
    <t>ｲﾝﾁｭﾆﾌﾞｼﾞｮｳ1mg</t>
  </si>
  <si>
    <t>インチュニブ錠１ｍｇ</t>
  </si>
  <si>
    <t>ｲﾝｳﾞｪｶﾞｼﾞｮｳ6mg</t>
  </si>
  <si>
    <t>ｲﾝｳﾞｪｶﾞｼﾞｮｳ3mg</t>
  </si>
  <si>
    <t>ｲﾙﾍﾞｻﾙﾀﾝｼﾞｮｳ50mg｢ｻﾜｲ｣</t>
  </si>
  <si>
    <t>イルベサルタン錠５０ｍｇ「サワイ」</t>
  </si>
  <si>
    <t>ｲﾙﾍﾞｻﾙﾀﾝｼﾞｮｳ50mg｢ﾆﾌﾟﾛ｣</t>
  </si>
  <si>
    <t>イルベサルタン錠５０ｍｇ「ニプロ」</t>
  </si>
  <si>
    <t>ｲﾘﾎﾞｰｼﾞｮｳ5μg</t>
  </si>
  <si>
    <t>ｲﾍﾞﾆﾃｨﾋｶﾁｭｳ105mgｼﾘﾝｼﾞ</t>
  </si>
  <si>
    <t>イベニティ皮下注１０５ｍｇシリンジ</t>
  </si>
  <si>
    <t>ｲﾌｪｸｻｰSRｶﾌﾟｾﾙ75mg</t>
  </si>
  <si>
    <t>イフェクサーＳＲカプセル７５ｍｇ</t>
  </si>
  <si>
    <t>ｲﾌｪｸｻｰSRｶﾌﾟｾﾙ37.5mg</t>
  </si>
  <si>
    <t>イフェクサーＳＲカプセル３７．５ｍｇ</t>
  </si>
  <si>
    <t>EPLｶﾌﾟｾﾙ250mg</t>
  </si>
  <si>
    <t>ＥＰＬカプセル２５０ｍｇ</t>
  </si>
  <si>
    <t>ｲﾊﾞﾝﾄﾞﾛﾝｻﾝｼﾞｮｳﾁｭｳ1mgｼﾘﾝｼﾞ｢ﾄｰﾜ｣</t>
  </si>
  <si>
    <t>イバンドロン酸静注１ｍｇシリンジ「トーワ」</t>
  </si>
  <si>
    <t>ｲﾉﾗｽﾊｲｺﾞｳｹｲﾁﾖｳﾖｳｴｷ</t>
  </si>
  <si>
    <t>イノラス配合経腸用液</t>
  </si>
  <si>
    <t>ｲﾉｿﾘﾂﾄﾞﾊｲｺﾞｳｹｲﾁﾖｳﾖｳﾊﾝｺｹｲｻﾞｲ</t>
  </si>
  <si>
    <t>イノソリッド配合経腸用半固形剤</t>
  </si>
  <si>
    <t>ｲｽｺﾁﾝﾁｭｳ100mg</t>
  </si>
  <si>
    <t>イスコチン注１００ｍｇ</t>
  </si>
  <si>
    <t>ｲｽｺﾁﾝｼﾞｮｳ100mg</t>
  </si>
  <si>
    <t>イスコチン錠１００ｍｇ</t>
  </si>
  <si>
    <t>ｲｻﾝ(院ﾅｲｾｲｻﾞｲ)</t>
  </si>
  <si>
    <t>胃散(院内製剤)</t>
  </si>
  <si>
    <t>ｲｺｻﾍﾟﾝﾄｻﾝｴﾁﾙｶﾌﾟｾﾙ300mg｢ﾆﾁｲｺｳ｣</t>
  </si>
  <si>
    <t>イコサペント酸エチルカプセル３００ｍｇ「日医工」</t>
  </si>
  <si>
    <t>ｲｰｹﾌﾟﾗﾃﾝﾃｷｼﾞｮｳﾁｭｳ500mg</t>
  </si>
  <si>
    <t>イーケプラ点滴静注５００ｍｇ</t>
  </si>
  <si>
    <t>ｲｰｹﾌﾟﾗﾄﾞﾗｲｼﾛｯﾌﾟ50%</t>
  </si>
  <si>
    <t>イーケプラドライシロップ５０％</t>
  </si>
  <si>
    <t>ｲｰｹﾌﾟﾗｼﾞｮｳ250mg</t>
  </si>
  <si>
    <t>イーケプラ錠２５０ｍｇ</t>
  </si>
  <si>
    <t>ｲｸﾞｻﾞﾚﾙﾄODｼﾞﾖｳ10MG</t>
  </si>
  <si>
    <t>イグザレルトＯＤ錠１０ｍｇ</t>
  </si>
  <si>
    <t>ｲｸﾞｻﾞﾚﾙﾄｼﾞｮｳ10mg</t>
  </si>
  <si>
    <t>イグザレルト錠１０ｍｇ</t>
  </si>
  <si>
    <t>ｱﾝﾋﾊﾞｻﾞｻﾞｲｼｮｳﾆﾖｳ200mg</t>
  </si>
  <si>
    <t>アンヒバ坐剤小児用２００ｍｇ</t>
  </si>
  <si>
    <t>ｱﾝﾃﾍﾞｰﾄﾅﾝｺｳ0.05%</t>
  </si>
  <si>
    <t>アンテベート軟膏０．０５％</t>
  </si>
  <si>
    <t>ｱﾛﾌﾟﾘﾉｰﾙｼﾞｮｳ100mg｢ｻﾜｲ｣</t>
  </si>
  <si>
    <t>アロプリノール錠１００ｍｇ「サワイ」</t>
  </si>
  <si>
    <t>ｱﾚﾝﾄﾞﾛﾝｻﾝﾃﾝﾃｷｼﾞｮｳﾁｭｳﾊﾞｯｸﾞ900μg｢HK｣</t>
  </si>
  <si>
    <t>アレンドロン酸点滴静注バッグ９００μｇ「ＨＫ」</t>
  </si>
  <si>
    <t>ｱﾚﾋﾞｱﾁﾝﾁｭｳｼｬｴｷ</t>
  </si>
  <si>
    <t>アレビアチン注射液</t>
  </si>
  <si>
    <t>ｱﾚﾋﾞｱﾁﾝｻﾝ10%</t>
  </si>
  <si>
    <t>ｱﾚｷﾞｻｰﾙﾃﾝｶﾞﾝｴｷ0.1%</t>
  </si>
  <si>
    <t>アレギサール点眼液０．１％</t>
  </si>
  <si>
    <t>ｱﾙﾒﾀﾅﾝｺｳ</t>
  </si>
  <si>
    <t>ｱﾙﾌｱｶﾙｼﾄﾞ-ﾙｶﾌﾟｾﾙ0.5ﾏｲｸﾛGﾌｿ-</t>
  </si>
  <si>
    <t>アルファカルシドールカプセル０．５μｇ「フソー」</t>
  </si>
  <si>
    <t>ｱﾙﾌﾞﾐﾅｰ25%ｼﾞｮｳﾁｭｳ12.5g/50mL</t>
  </si>
  <si>
    <t>アルブミナー２５％静注１２．５ｇ／５０ｍＬ</t>
  </si>
  <si>
    <t>ｱﾙﾌｧｶﾙｼﾄﾞｰﾙｶﾌﾟｾﾙ0.5μg｢ｻﾜｲ｣</t>
  </si>
  <si>
    <t>アルファカルシドールカプセル０．５μｇ「サワイ」</t>
  </si>
  <si>
    <t>ｱﾙﾀﾞｸﾄﾝAｼﾞｮｳ25mg</t>
  </si>
  <si>
    <t>アルダクトンＡ錠２５ｍｇ</t>
  </si>
  <si>
    <t>ｱﾙｻﾙﾐﾝｴｷ</t>
  </si>
  <si>
    <t>アルサルミン液</t>
  </si>
  <si>
    <t>ｱﾘﾋﾟﾌﾟﾗｿﾞ-ﾙｼﾞﾖｳ1MGｻﾜｲ</t>
  </si>
  <si>
    <t>アリピプラゾール錠１ｍｇ「サワイ」</t>
  </si>
  <si>
    <t>ｱﾘﾋﾟﾌﾟﾗｿﾞ-ﾙｻﾝ1%ﾆﾌﾟﾛ</t>
  </si>
  <si>
    <t>アリピプラゾール散１％「ニプロ」</t>
  </si>
  <si>
    <t>ｱﾘﾋﾟﾌﾟﾗｿﾞ-ﾙODｼﾞﾖｳ6MGﾆﾌﾟﾛ</t>
  </si>
  <si>
    <t>アリピプラゾールＯＤ錠６ｍｇ「ニプロ」</t>
  </si>
  <si>
    <t>ｱﾘﾋﾟﾌﾟﾗｿﾞ-ﾙODｼﾞﾖｳ12MGﾆﾌﾟﾛ</t>
  </si>
  <si>
    <t>アリピプラゾールＯＤ錠１２ｍｇ「ニプロ」</t>
  </si>
  <si>
    <t>ｱﾘﾋﾟﾌﾟﾗｿﾞ-ﾙODｼﾞﾖｳ3MGﾆﾌﾟﾛ</t>
  </si>
  <si>
    <t>アリピプラゾールＯＤ錠３ｍｇ「ニプロ」</t>
  </si>
  <si>
    <t>ｱﾘﾋﾟﾌﾟﾗｿﾞｰﾙODｼﾞｮｳ12mg｢ﾖｼﾄﾐ｣</t>
  </si>
  <si>
    <t>アリピプラゾールＯＤ錠１２ｍｇ「ヨシトミ」</t>
  </si>
  <si>
    <t>ｱﾘﾋﾟﾌﾟﾗｿﾞｰﾙｻﾝ1%｢ﾖｼﾄﾐ｣</t>
  </si>
  <si>
    <t>アリピプラゾール散１％「ヨシトミ」</t>
  </si>
  <si>
    <t>ｱﾘﾋﾟﾌﾟﾗｿﾞｰﾙODｼﾞｮｳ6mg｢ﾖｼﾄﾐ｣</t>
  </si>
  <si>
    <t>アリピプラゾールＯＤ錠６ｍｇ「ヨシトミ」</t>
  </si>
  <si>
    <t>ｱﾘﾋﾟﾌﾟﾗｿﾞｰﾙﾅｲﾖｳｴｷﾌﾞﾝﾎﾟｳ6mg｢ﾆﾌﾟﾛ｣</t>
  </si>
  <si>
    <t>アリピプラゾール内用液分包６ｍｇ「ニプロ」</t>
  </si>
  <si>
    <t>ｱﾘﾋﾟﾌﾟﾗｿﾞｰﾙﾅｲﾖｳｴｷﾌﾞﾝﾎﾟｳ3mg｢ﾆﾌﾟﾛ｣</t>
  </si>
  <si>
    <t>アリピプラゾール内用液分包３ｍｇ「ニプロ」</t>
  </si>
  <si>
    <t>ｱﾘﾋﾟﾌﾟﾗｿﾞｰﾙODｼﾞｮｳ3mg｢ﾖｼﾄﾐ｣</t>
  </si>
  <si>
    <t>アリピプラゾールＯＤ錠３ｍｇ「ヨシトミ」</t>
  </si>
  <si>
    <t>25mgｱﾘﾅﾐﾝFﾄｳｲｼﾞｮｳ</t>
  </si>
  <si>
    <t>２５ｍｇアリナミンＦ糖衣錠</t>
  </si>
  <si>
    <t>ｱﾘﾄﾞﾈﾊﾟﾂﾁ55MG</t>
  </si>
  <si>
    <t>アリドネパッチ５５ｍｇ</t>
  </si>
  <si>
    <t>ｱﾘﾄﾞﾈﾊﾟﾂﾁ27.5MG</t>
  </si>
  <si>
    <t>アリドネパッチ２７．５ｍｇ</t>
  </si>
  <si>
    <t>ｱﾘｾﾌﾟﾄDｼﾞｮｳ5mg</t>
  </si>
  <si>
    <t>アリセプトＤ錠５ｍｇ</t>
  </si>
  <si>
    <t>ｱﾗﾐｽﾄﾃﾝﾋﾞｴｷ27.5μg56ﾌﾝﾑﾖｳ</t>
  </si>
  <si>
    <t>アラミスト点鼻液２７．５μｇ５６噴霧用</t>
  </si>
  <si>
    <t>ｱﾑﾛｼﾞﾋﾟﾝODｼﾞﾖｳ2.5MGﾒｲｼﾞ</t>
  </si>
  <si>
    <t>アムロジピンＯＤ錠２．５ｍｇ「明治」</t>
  </si>
  <si>
    <t>ｱﾑﾛｼﾞﾋﾟﾝODｼﾞｮｳ2.5mg｢ｱｽｶ｣</t>
  </si>
  <si>
    <t>アムロジピンＯＤ錠２．５ｍｇ「あすか」</t>
  </si>
  <si>
    <t>ｱﾐﾉﾚﾊﾞﾝﾃﾝﾃｷｼﾞﾖｳﾁﾕｳ</t>
  </si>
  <si>
    <t>アミノレバン点滴静注（用時購入）</t>
  </si>
  <si>
    <t>ｱﾐﾉﾚﾊﾞﾝENﾊｲｺﾞｳｻﾝ</t>
  </si>
  <si>
    <t>アミノレバンＥＮ配合散</t>
  </si>
  <si>
    <t>ｱﾐﾃｨｰｻﾞｶﾌﾟｾﾙ24μg</t>
  </si>
  <si>
    <t>アミティーザカプセル２４μｇ</t>
  </si>
  <si>
    <t>ｱﾐｵﾀﾞﾛﾝｴﾝｻﾝｴﾝｿｸﾎｳｼﾞｮｳ50mg｢TE｣</t>
  </si>
  <si>
    <t>アミオダロン塩酸塩速崩錠５０ｍｇ「ＴＥ」</t>
  </si>
  <si>
    <t>ｱﾏﾝﾀｼﾞﾝｴﾝｻﾝｴﾝｼﾞｮｳ50mg｢ｷｮｳﾘﾝ｣</t>
  </si>
  <si>
    <t>アマンタジン塩酸塩錠５０ｍｇ「杏林」</t>
  </si>
  <si>
    <t>ｱﾌﾀｯﾁｺｳｸｳﾖｳﾁｮｳﾌｻﾞｲ25μg</t>
  </si>
  <si>
    <t>アフタッチ口腔用貼付剤２５μｇ</t>
  </si>
  <si>
    <t>ｱﾉ-ﾛｴﾘﾌﾟﾀ30ｷﾕｳﾆﾕｳﾖｳ</t>
  </si>
  <si>
    <t>アノーロエリプタ３０吸入用</t>
  </si>
  <si>
    <t>ｱﾈｷｾｰﾄﾁｭｳｼｬｴｷ0.5mg</t>
  </si>
  <si>
    <t>アネキセート注射液０．５ｍｇ</t>
  </si>
  <si>
    <t>ｱﾅﾌﾗﾆｰﾙﾃﾝﾃｷｼﾞｮｳﾁｭｳｴｷ25mg</t>
  </si>
  <si>
    <t>アナフラニール点滴静注液２５ｍｇ</t>
  </si>
  <si>
    <t>ｱﾅﾌﾗﾆｰﾙｼﾞｮｳ25mg</t>
  </si>
  <si>
    <t>アナフラニール錠２５ｍｇ</t>
  </si>
  <si>
    <t>ｱﾅｽﾄﾛｿﾞ-ﾙｼﾞﾖｳ1MGｻﾜｲ</t>
  </si>
  <si>
    <t>アナストロゾール錠１ｍｇ「サワイ」</t>
  </si>
  <si>
    <t>ｱﾅｽﾄﾛｿﾞｰﾙｼﾞｮｳ1mg｢NK｣</t>
  </si>
  <si>
    <t>アナストロゾール錠１ｍｇ「ＮＫ」</t>
  </si>
  <si>
    <t>ｱﾄﾛﾋﾟﾝﾘｭｳｻﾝｴﾝﾁｭｳ0.5mg｢ﾀﾅﾍﾞ｣</t>
  </si>
  <si>
    <t>アトロピン硫酸塩注０．５ｍｇ「タナベ」</t>
  </si>
  <si>
    <t>ｱﾄﾙﾊﾞｽﾀﾁﾝODｼﾞﾖｳ10MGﾄ-ﾜ</t>
  </si>
  <si>
    <t>アトルバスタチンＯＤ錠１０ｍｇ「トーワ」</t>
  </si>
  <si>
    <t>ｱﾄﾙﾊﾞｽﾀﾁﾝｼﾞｮｳ10mg｢Me｣</t>
  </si>
  <si>
    <t>アトルバスタチン錠１０ｍｇ「Ｍｅ」</t>
  </si>
  <si>
    <t>ｱﾄﾓｷｾﾁﾝｶﾌﾟｾﾙ40MGVTRS</t>
  </si>
  <si>
    <t>アトモキセチンカプセル４０ｍｇ「ＶＴＲＳ」</t>
  </si>
  <si>
    <t>ｱﾄﾓｷｾﾁﾝｶﾌﾟｾﾙ40mg｢ｱﾒﾙ｣</t>
  </si>
  <si>
    <t>アトモキセチンカプセル４０ｍｇ「アメル」</t>
  </si>
  <si>
    <t>ｱﾄﾓｷｾﾁﾝｶﾌﾟｾﾙ40mg｢ｻﾜｲ｣</t>
  </si>
  <si>
    <t>アトモキセチンカプセル４０ｍｇ「サワイ」</t>
  </si>
  <si>
    <t>ｱﾄﾓｷｾﾁﾝｶﾌﾟｾﾙ10mg｢ｱﾒﾙ｣</t>
  </si>
  <si>
    <t>アトモキセチンカプセル１０ｍｇ「アメル」</t>
  </si>
  <si>
    <t>ｱﾄﾓｷｾﾁﾝｶﾌﾟｾﾙ10mg｢ｻﾜｲ｣</t>
  </si>
  <si>
    <t>アトモキセチンカプセル１０ｍｇ「サワイ」</t>
  </si>
  <si>
    <t>ｱﾄﾞﾌｲ-ﾄﾞﾊﾟﾂﾌﾟ40MG</t>
  </si>
  <si>
    <t>アドフィードパップ４０ｍｇ</t>
  </si>
  <si>
    <t>ｱﾄﾞﾅｻﾝ10%</t>
  </si>
  <si>
    <t>アドナ散１０％</t>
  </si>
  <si>
    <t>ｱﾄﾞﾅﾁｭｳ(ｼﾞｮｳﾐｬｸﾖｳ)50mg</t>
  </si>
  <si>
    <t>ｱﾄﾞﾅｼﾞｮｳ30mg</t>
  </si>
  <si>
    <t>アドナ錠３０ｍｇ</t>
  </si>
  <si>
    <t>ｱﾄﾞｴｱ500ﾃﾞｨｽｶｽ60ｷｭｳﾆｭｳﾖｳ</t>
  </si>
  <si>
    <t>アドエア５００ディスカス６０吸入用</t>
  </si>
  <si>
    <t>ｱｰﾁｽﾄｼﾞｮｳ1.25mg</t>
  </si>
  <si>
    <t>アーチスト錠１．２５ｍｇ</t>
  </si>
  <si>
    <t>ｱﾀﾞﾗｰﾄCRｼﾞｮｳ20mg</t>
  </si>
  <si>
    <t>アダラートＣＲ錠２０ｍｇ</t>
  </si>
  <si>
    <t>ｱﾀﾗｯｸｽｼﾞｮｳ25mg</t>
  </si>
  <si>
    <t>アタラックス錠２５ｍｇ</t>
  </si>
  <si>
    <t>ｱｿﾞｾﾐﾄﾞｼﾞｮｳ60mg｢DSEP｣</t>
  </si>
  <si>
    <t>アゾセミド錠６０ｍｇ「ＤＳＥＰ」</t>
  </si>
  <si>
    <t>ｱｿﾞｾﾐﾄﾞｼﾞｮｳ30mg｢DSEP｣</t>
  </si>
  <si>
    <t>アゾセミド錠３０ｍｇ「ＤＳＥＰ」</t>
  </si>
  <si>
    <t>ｱｿﾞｾﾐﾄﾞｼﾞｮｳ30mg｢JG｣</t>
  </si>
  <si>
    <t>アゾセミド錠３０ｍｇ「ＪＧ」</t>
  </si>
  <si>
    <t>ｱｾﾚﾝﾄﾞﾁｭｳ100μg</t>
  </si>
  <si>
    <t>アセレンド注１００μｇ</t>
  </si>
  <si>
    <t>ｱｾﾘｵｼﾞｮｳﾁｭｳｴｷ1000mgﾊﾞｯｸﾞ</t>
  </si>
  <si>
    <t>アセリオ静注液１０００ｍｇバッグ</t>
  </si>
  <si>
    <t>ｱｽﾞﾚﾝﾃﾝｶﾞﾝｴｷﾜｶﾓﾄ</t>
  </si>
  <si>
    <t>アズレン点眼液わかもと</t>
  </si>
  <si>
    <t>ｱｽﾞﾚﾝﾃﾝｶﾞﾝｴｷ0.02%｢ﾆｯﾄｰ｣</t>
  </si>
  <si>
    <t>アズレン点眼液０．０２％「ニットー」</t>
  </si>
  <si>
    <t>ｱｽﾊﾟﾗｷﾞﾝｻﾝｶﾘｳﾑﾁｭｳ10mEqｷｯﾄ｢ﾃﾙﾓ｣</t>
  </si>
  <si>
    <t>アスパラギン酸カリウム注１０ｍＥｑキット「テルモ」</t>
  </si>
  <si>
    <t>ｱｽﾊﾟﾗｶﾘｳﾑｻﾝ50%</t>
  </si>
  <si>
    <t>アスパラカリウム散５０％</t>
  </si>
  <si>
    <t>ｱｽﾊﾟﾗｶﾘｳﾑｼﾞｮｳ300mg</t>
  </si>
  <si>
    <t>アスパラカリウム錠３００ｍｇ</t>
  </si>
  <si>
    <t>ｱｽﾊﾟﾗ-CAｼﾞｮｳ200</t>
  </si>
  <si>
    <t>アスパラ－ＣＡ錠２００</t>
  </si>
  <si>
    <t>ｱｽﾞﾉ-ﾙｼﾞﾖｳ2MG</t>
  </si>
  <si>
    <t>アズノール錠２ｍｇ</t>
  </si>
  <si>
    <t>ｱｽﾞﾉｰﾙﾅﾝｺｳ0.033%</t>
  </si>
  <si>
    <t>アズノール軟膏０．０３３％</t>
  </si>
  <si>
    <t>ｱｽﾞﾉｰﾙSTｼﾞｮｳｺｳｸｳﾖｳ5mg</t>
  </si>
  <si>
    <t>アズノールＳＴ錠口腔用５ｍｇ</t>
  </si>
  <si>
    <t>ｱｽｺﾙﾋﾞﾝｻﾝﾁﾕｳ500MGｲｾｲ</t>
  </si>
  <si>
    <t>アスコルビン酸注５００ｍｇ「イセイ」</t>
  </si>
  <si>
    <t>ｱｽｺﾙﾋﾞﾝｻﾝﾁﾕｳｼﾔｴｷ500MGﾄ-ﾜ</t>
  </si>
  <si>
    <t>アスコルビン酸注射液５００ｍｇ「トーワ」</t>
  </si>
  <si>
    <t>ｱｽｺﾙﾋﾞﾝｻﾝﾁｭｳｼｬｴｷ500mg｢ﾆﾁｲｺｳ｣</t>
  </si>
  <si>
    <t>アスコルビン酸注射液５００ｍｇ「日医工」</t>
  </si>
  <si>
    <t>ｱｼﾞﾙｻﾙﾀﾝODｼﾞﾖｳ20MGｻﾜｲ</t>
  </si>
  <si>
    <t>アジルサルタンＯＤ錠２０ｍｇ「サワイ」</t>
  </si>
  <si>
    <t>ｱｼﾞﾙﾊﾞｼﾞｮｳ20mg</t>
  </si>
  <si>
    <t>アジルバ錠２０ｍｇ</t>
  </si>
  <si>
    <t>ｱｼﾞﾙﾊﾞｼﾞｮｳ10mg</t>
  </si>
  <si>
    <t>アジルバ錠１０ｍｇ</t>
  </si>
  <si>
    <t>ｱｼﾞｽﾛﾏｲｼﾝｼﾞｮｳ250mg｢ﾄｰﾜ｣</t>
  </si>
  <si>
    <t>アジスロマイシン錠２５０ｍｇ「トーワ」</t>
  </si>
  <si>
    <t>ｱｼｸﾛﾋﾞﾙﾃﾝﾃｷｼﾞｮｳﾁｭｳﾖｳ250mg｢ｻﾜｲ｣</t>
  </si>
  <si>
    <t>アシクロビル点滴静注用２５０ｍｇ「サワイ」</t>
  </si>
  <si>
    <t>ｱｻﾞﾙﾌｨｼﾞﾝENｼﾞｮｳ500mg</t>
  </si>
  <si>
    <t>アザルフィジンＥＮ錠５００ｍｇ</t>
  </si>
  <si>
    <t>ｱｸﾄｼﾝﾅﾝｺｳ3%</t>
  </si>
  <si>
    <t>アクトシン軟膏３％</t>
  </si>
  <si>
    <t>ｱｸﾁﾂﾄﾕｴｷ</t>
  </si>
  <si>
    <t>ｱｸｱﾁﾑｸﾘｰﾑ1%</t>
  </si>
  <si>
    <t>アクアチムクリーム１％</t>
  </si>
  <si>
    <t>ｱｷﾈﾄﾝﾁｭｳｼｬｴｷ5mg</t>
  </si>
  <si>
    <t>ｱｷﾈﾄﾝｻｲﾘｭｳ1%</t>
  </si>
  <si>
    <t>アキネトン細粒１％</t>
  </si>
  <si>
    <t>ｱｴﾝｶﾅﾝｺｳ｢ﾆｯｺｰ｣</t>
  </si>
  <si>
    <t>亜鉛華軟膏「ニッコー」</t>
  </si>
  <si>
    <t>ｱｳｲｸﾘﾁﾕｳﾌﾚﾂｸｽﾀﾂﾁｿｳﾘﾖｳ300ﾀﾝｲ</t>
  </si>
  <si>
    <t>アウィクリ注 フレックスタッチ 総量３００単位</t>
  </si>
  <si>
    <t>ｱｲﾌｧｶﾞﾝﾃﾝｶﾞﾝｴｷ0.1%</t>
  </si>
  <si>
    <t>アイファガン点眼液０．１％</t>
  </si>
  <si>
    <t>剤形</t>
  </si>
  <si>
    <t>剤形(区分値)</t>
  </si>
  <si>
    <t>カナ名称</t>
  </si>
  <si>
    <t>名称</t>
  </si>
  <si>
    <t>５ｍｇセルシン錠</t>
    <phoneticPr fontId="2"/>
  </si>
  <si>
    <t>No</t>
    <phoneticPr fontId="2"/>
  </si>
  <si>
    <t>名称照合</t>
    <rPh sb="0" eb="2">
      <t>メイショウ</t>
    </rPh>
    <rPh sb="2" eb="4">
      <t>ショウゴウ</t>
    </rPh>
    <phoneticPr fontId="2"/>
  </si>
  <si>
    <t>A行番号</t>
  </si>
  <si>
    <t>A薬品名</t>
  </si>
  <si>
    <t>B候補</t>
  </si>
  <si>
    <t>B行番号</t>
  </si>
  <si>
    <t>類似度(0-100)</t>
  </si>
  <si>
    <t>アイファガン点眼０．１％</t>
  </si>
  <si>
    <t>アクアチム　クリ－ム１％　１０ｇ／本</t>
  </si>
  <si>
    <t>アクトシン軟膏（３０ｇ）</t>
  </si>
  <si>
    <t>アザルフィジンＥＮ（５００）</t>
  </si>
  <si>
    <t>アシクロビル点滴２５０ｍｇ</t>
  </si>
  <si>
    <t>アジスロマイシン錠２５０ｍｇ</t>
  </si>
  <si>
    <t>アジルバ（１０）</t>
  </si>
  <si>
    <t>フラジール錠２５０ｍｇ</t>
  </si>
  <si>
    <t>アジルサルタンＯＤ２０ｍｇ</t>
  </si>
  <si>
    <t>アズノール軟膏　２０ｇ／本</t>
  </si>
  <si>
    <t>アナフラニール錠２５ｍｇ　</t>
  </si>
  <si>
    <t>アスパラＣＡ錠２００ｍｇ</t>
  </si>
  <si>
    <t>アスパラギンサンカリウム注１０ＭＥＱキット「テル</t>
  </si>
  <si>
    <t>アズレン点眼液</t>
  </si>
  <si>
    <t>アセリオ靜注液１０００ｍｇバッグ</t>
  </si>
  <si>
    <t>アセレンド注</t>
  </si>
  <si>
    <t>アゾセミド錠６０ｍｇ</t>
  </si>
  <si>
    <t>アタラックス錠２５ＭＧ</t>
  </si>
  <si>
    <t>ア－チスト錠１．２５ｍｇ</t>
  </si>
  <si>
    <t>アドエア５００ディスカス６０吸入用　６０ブリスターＸ１</t>
  </si>
  <si>
    <t>アドナ散</t>
  </si>
  <si>
    <t>アドフィードパップ（７枚／袋）</t>
  </si>
  <si>
    <t>アトルバスタチンＯＤ錠１０ｍｇ</t>
  </si>
  <si>
    <t>アトロピン硫酸塩注０．５ｍｇ</t>
  </si>
  <si>
    <t>アナストロゾール（１）</t>
  </si>
  <si>
    <t>アネキセート注射液０．５ＭＧ</t>
  </si>
  <si>
    <t>アフタッチ口腔用貼付剤２５μｇ　ＰＴＰ　１００錠</t>
  </si>
  <si>
    <t>アマンタジン塩酸塩錠　５０</t>
  </si>
  <si>
    <t>アミオダロン塩酸塩速崩錠５０ｍｇ</t>
  </si>
  <si>
    <t>アミティーザカプセル</t>
  </si>
  <si>
    <t>アミノレバンＥＮ配合散　５０ｇ／包</t>
  </si>
  <si>
    <t>アムロジピンＯＤ錠２．５ＭＧ　「あすか」</t>
  </si>
  <si>
    <t>アリドネパッチ（２７．５）</t>
  </si>
  <si>
    <t>２５ＭＧ　アリナミン　Ｆ糖衣錠</t>
  </si>
  <si>
    <t>アルファカルシドール０．５「フソー」</t>
  </si>
  <si>
    <t>アルブミナ－　２５％静注１２．５Ｇ／５０ＭＬ</t>
  </si>
  <si>
    <t>アレギサール点眼液０．１％　５ｍｌ／本</t>
  </si>
  <si>
    <t>アレビアチン散１０％　</t>
  </si>
  <si>
    <t>アロプリノール錠１００ｍｇ</t>
  </si>
  <si>
    <t>イコサペント酸エチルカプセル　３００</t>
  </si>
  <si>
    <t>バナン錠１００ｍｇ　</t>
  </si>
  <si>
    <t>トリメブチン錠１００ｍｇ</t>
  </si>
  <si>
    <t>イバンドロン酸１㎖シリンジ</t>
  </si>
  <si>
    <t>ＥＰＬカプセル２５０ｍｇ　バラ　４００Ｐ</t>
  </si>
  <si>
    <t>マイスリー錠５ｍｇ　</t>
  </si>
  <si>
    <t>チザニジン錠１ｍｇ</t>
  </si>
  <si>
    <t>インテバン軟膏１％　２５ｇ／本</t>
  </si>
  <si>
    <t>インテバン外用液１％　５０ｇ／本</t>
  </si>
  <si>
    <t>イントラリポス輸液２０％１００ｍｌ</t>
  </si>
  <si>
    <t>ウインタミン細粒（１０％）　</t>
  </si>
  <si>
    <t>ウルソデオキシコール酸錠１００ｍｇ　</t>
  </si>
  <si>
    <t>エイゾプト懸濁性点眼液１％　５ｍＬＸ１０</t>
  </si>
  <si>
    <t>エスシタロプラムＯＤ錠「トーワ」　</t>
  </si>
  <si>
    <t>エゼチミブＯＤ１０ｍｇ「トーワ」</t>
  </si>
  <si>
    <t>エソメプラゾールカプセル（２０）</t>
  </si>
  <si>
    <t>エナラプリルマレイン酸塩酸錠５</t>
  </si>
  <si>
    <t>トリフリ－ド輸液</t>
  </si>
  <si>
    <t>エバスチンＯＤ錠５ｍｇ</t>
  </si>
  <si>
    <t>エピナスチン錠２０ｍｇ「トーワ」</t>
  </si>
  <si>
    <t>エビリファイ内用液分包３ｍｇ</t>
  </si>
  <si>
    <t>エビリファイ内用液分包６ｍｇ</t>
  </si>
  <si>
    <t>エビリファイ水懸筋注用３００</t>
  </si>
  <si>
    <t>エビリファイ水懸筋注用４００</t>
  </si>
  <si>
    <t>レボカルニチンＦＦ錠２５０ｍｇ</t>
  </si>
  <si>
    <t>塩酸メトクロプラミド注射注１０ｍｇ</t>
  </si>
  <si>
    <t>オイラックスクリーム１０％　１０ｇＸ１０</t>
  </si>
  <si>
    <t>オキサロール軟膏　１０ｇ／本</t>
  </si>
  <si>
    <t>オーグメンチン配合錠２５０ｍｇ</t>
  </si>
  <si>
    <t>オセルタミビルカプセル７５ｍｇ</t>
  </si>
  <si>
    <t>オフロキサシン点眼液０．３％「タナベ」　５ｍｌ／本</t>
  </si>
  <si>
    <t>オランザピン錠２．５ｍｇ</t>
  </si>
  <si>
    <t>オランザピンＯＤ錠５ｍｇ</t>
  </si>
  <si>
    <t>オランザピンＯＤ錠１０ｍｇ</t>
  </si>
  <si>
    <t>オロパタジンＯＤ錠５ｍｇ</t>
  </si>
  <si>
    <t>ジメチコン錠４０ｍｇ</t>
  </si>
  <si>
    <t>ファモチジン散１０％　　　　　　　　　　　</t>
  </si>
  <si>
    <t>カリメートドライシロップ</t>
  </si>
  <si>
    <t>カルバマゼピン細粒５０％</t>
  </si>
  <si>
    <t>カルボシステイン錠２５０ｍｇ</t>
  </si>
  <si>
    <t>カロナール錠２００ｍｇ</t>
  </si>
  <si>
    <t>キシロカイン　ビスカス２％</t>
  </si>
  <si>
    <t>キシロカイン注ポリアンプ０．５％</t>
  </si>
  <si>
    <t>キシロカイン　ポンプスプレ－８％</t>
  </si>
  <si>
    <t>キュバール１００エアゾール（大日本）　８．７ｇ</t>
  </si>
  <si>
    <t>クエチアピン錠１２．５ｍｇ</t>
  </si>
  <si>
    <t>クエチアピン錠２５ｍｇ</t>
  </si>
  <si>
    <t>クエチアピン錠１００ｍｇ</t>
  </si>
  <si>
    <t>クエチアピン錠２００ｍｇ</t>
  </si>
  <si>
    <t>クエチアピン細粒５０％</t>
  </si>
  <si>
    <t>ク―ビビック錠５０ｍｇ</t>
  </si>
  <si>
    <t>グラアルファ配合点眼液　５ｍｌ／本</t>
  </si>
  <si>
    <t>グラナテック点眼０．４％</t>
  </si>
  <si>
    <t>クラリシッド錠２００ＭＧ</t>
  </si>
  <si>
    <t>グランダキシン錠５０ｍｇ</t>
  </si>
  <si>
    <t>グリセリン浣腸液５０％「ムネ」６０ｍｌ</t>
  </si>
  <si>
    <t>グリメピリドＯＤ錠１ｍｇ</t>
  </si>
  <si>
    <t>クリンダマイシンリン酸エステル注射液３００</t>
  </si>
  <si>
    <t>クレナフィン爪液</t>
  </si>
  <si>
    <t>クレメジン細粒２ｇ</t>
  </si>
  <si>
    <t>クロピトグレル錠２５ｍｇ</t>
  </si>
  <si>
    <t>クロピトグレル錠７５ｍｇ</t>
  </si>
  <si>
    <t>クロマイ膣錠１００ｍｇ　ＳＰ　１００錠</t>
  </si>
  <si>
    <t>クロモグリク酸Ｎａ点眼液２％　５ｍＬＸ１０</t>
  </si>
  <si>
    <t>ケイツーＮ静注１０ｍｇ　２ｍＬＸ１０管</t>
  </si>
  <si>
    <t>ケトチフェン点鼻液</t>
  </si>
  <si>
    <t>ケトプロフェンパップ３０（７枚入）</t>
  </si>
  <si>
    <t>ゲーベンクリーム１％　１００ｇ／個</t>
  </si>
  <si>
    <t>ゲンタマイシン軟膏０．１％　１０ｇ／本</t>
  </si>
  <si>
    <t>コソプト配合点眼</t>
  </si>
  <si>
    <t>コールタイジン点鼻液　１５ｍＬＸ１０</t>
  </si>
  <si>
    <t>コントミン糖衣錠２５ｍｇ　</t>
  </si>
  <si>
    <t>コントミン糖衣錠５０ｍｇ　</t>
  </si>
  <si>
    <t>コントミン糖衣錠１００ｍｇ　</t>
  </si>
  <si>
    <t>ヒルナミン錠５ｍｇ</t>
  </si>
  <si>
    <t>５％　サリチル酸ワセリン　軟膏　５００ｇ</t>
  </si>
  <si>
    <t>ジアゼパム錠５ｍｇ「アメル」　</t>
  </si>
  <si>
    <t>ジアゼパム注射液「ＮＩＧ」</t>
  </si>
  <si>
    <t>シアナマイド内用液１％「タナベ」　１００ｍＬ</t>
  </si>
  <si>
    <t>シアノコバラミン点眼液０．０２％　５ｍＬＸ１０</t>
  </si>
  <si>
    <t>ジェニナック錠２００ＭＧ</t>
  </si>
  <si>
    <t>ジクアス点眼液３％　５ｍｌ／本</t>
  </si>
  <si>
    <t>シクレスト（５）</t>
  </si>
  <si>
    <t>ジクロフェナクナトリウム坐剤２５</t>
  </si>
  <si>
    <t>シクロスポリンカプセル５０ｍｇ</t>
  </si>
  <si>
    <t>ニフェジピンカプセル１０ｍｇ</t>
  </si>
  <si>
    <t>シーピー配合顆粒　１ｇＸ１００８包</t>
  </si>
  <si>
    <t>ジフェニドール塩酸塩錠２５㎎「タイヨ</t>
  </si>
  <si>
    <t>ドルミカム注１０ｍｇ</t>
  </si>
  <si>
    <t>ジプレキサ　ザイディス錠２．５ｍｇ</t>
  </si>
  <si>
    <t>ジプレキサ　ザイディス錠５ｍｇ</t>
  </si>
  <si>
    <t>ジプレキサ　ザイディス錠１０ｍｇ</t>
  </si>
  <si>
    <t>硝酸イソソルビド徐放カプセル</t>
  </si>
  <si>
    <t>シロスタゾールＯＤ錠１００</t>
  </si>
  <si>
    <t>シロドシンＯＤ錠４ｍｇ</t>
  </si>
  <si>
    <t>水溶性ハイドロコートン注射１００ｍｇ　２ｍＬＸ１０瓶</t>
  </si>
  <si>
    <t>スクロ－ドパスタ　１００ｇ／個</t>
  </si>
  <si>
    <t>ストロメクトール</t>
  </si>
  <si>
    <t>スミスリンローション</t>
  </si>
  <si>
    <t>スルバシリン注</t>
  </si>
  <si>
    <t>スルピリド錠１００ｍｇ「アメル」　</t>
  </si>
  <si>
    <t>スルピリド錠２００ｍｇ「アメル」　</t>
  </si>
  <si>
    <t>スルピリド錠５０ｍｇ「アメル」　</t>
  </si>
  <si>
    <t>大塚生食注　細口開栓</t>
  </si>
  <si>
    <t>生食溶解キットＨ１００ｍｌ</t>
  </si>
  <si>
    <t>セパゾン錠１　</t>
  </si>
  <si>
    <t>セパゾン錠２　</t>
  </si>
  <si>
    <t>セフタジジム静注用１ｇ　　　　　　　　　　　　　１０Ｖ</t>
  </si>
  <si>
    <t>セフトリアキソン静注用１Ｇ</t>
  </si>
  <si>
    <t>ゼプリオン水懸筋注５０ｍｇ</t>
  </si>
  <si>
    <t>ゼプリオン水懸筋注７５ｍｇ</t>
  </si>
  <si>
    <t>ゼプリオン水懸筋注１００ｍｇ</t>
  </si>
  <si>
    <t>ゼプリオン水懸筋注１５０ｍｇ</t>
  </si>
  <si>
    <t>セララ（５０）</t>
  </si>
  <si>
    <t>５ｍｇセルシン錠</t>
  </si>
  <si>
    <t>セルシン注射液１０ＭＧ</t>
  </si>
  <si>
    <t>セルトラリン錠２５㎎</t>
  </si>
  <si>
    <t>セレコキシブ錠１００ｍｇ</t>
  </si>
  <si>
    <t>セレネース注５ｍｇ　１ｍＬＸ５０管</t>
  </si>
  <si>
    <t>セレネース内服液０．２％　　　　　</t>
  </si>
  <si>
    <t>センノシド錠　１２ｍｇ「トーワ」</t>
  </si>
  <si>
    <t>ゾシン注</t>
  </si>
  <si>
    <t>ゾニサミドＯＤ錠２５ｍｇＴＲＥ</t>
  </si>
  <si>
    <t>ソフラチュール貼付剤</t>
  </si>
  <si>
    <t>ソラナックス０．４ｍｇ錠　</t>
  </si>
  <si>
    <t>ソラナックス０．８ｍｇ錠　</t>
  </si>
  <si>
    <t>ソリフェナシンコハク酸塩ＯＤ錠５ｍｇ</t>
  </si>
  <si>
    <t>ソルダクトン注</t>
  </si>
  <si>
    <t>ソルデム　１輸液２００</t>
  </si>
  <si>
    <t>ダイアップ坐薬４</t>
  </si>
  <si>
    <t>タクロリムスカプセル（１）</t>
  </si>
  <si>
    <t>タケキャブ錠ＯＤ２０ｍｇ</t>
  </si>
  <si>
    <t>タケプロン注</t>
  </si>
  <si>
    <t>タチオン（５０）</t>
  </si>
  <si>
    <t>ラタノプロスト点眼液０．００５％「ニットー」２．５ｍｌ／本</t>
  </si>
  <si>
    <t>タムスロシン塩酸塩ＯＤ錠０．２ｍｇ</t>
  </si>
  <si>
    <t>タリージェ錠５㎎</t>
  </si>
  <si>
    <t>タリビッド眼軟膏０．３％　３．５ｇ／本</t>
  </si>
  <si>
    <t>タリビッド耳科用液０．３％　５ｍＬＸ５</t>
  </si>
  <si>
    <t>炭酸リチウム錠１００　</t>
  </si>
  <si>
    <t>炭酸リチウム錠　２００</t>
  </si>
  <si>
    <t>ダントリウム静注用２０ＭＧ</t>
  </si>
  <si>
    <t>タンニン酸アルブミン「ＶＴＲＳ］</t>
  </si>
  <si>
    <t>チエナム点滴静注０．５ｇ</t>
  </si>
  <si>
    <t>チモロール点眼液０．５％　５ｍｌ／本</t>
  </si>
  <si>
    <t>注射用水ＰＬ「フソー」２０ｍｌ</t>
  </si>
  <si>
    <t>チラ－ヂン　Ｓ錠２５μＧ</t>
  </si>
  <si>
    <t>チラ－ヂン　Ｓ錠５０μＧ</t>
  </si>
  <si>
    <t>ツロブテロールテープ１ｍｇ「サワイ」　７０枚</t>
  </si>
  <si>
    <t>テオフィリン徐放Ｕ錠２００ｍｇ</t>
  </si>
  <si>
    <t>デキサメタゾン口腔用軟膏</t>
  </si>
  <si>
    <t>デタントール点眼０．０１％</t>
  </si>
  <si>
    <t>テトラミド錠１０ｍｇ　</t>
  </si>
  <si>
    <t>テトラミド錠３０ｍｇ　</t>
  </si>
  <si>
    <t>デノタスチュアブル配合</t>
  </si>
  <si>
    <t>デパケンＲ錠２００</t>
  </si>
  <si>
    <t>テプレノンカプセル５０ｍｇ　</t>
  </si>
  <si>
    <t>テプレノン細粒１０％　</t>
  </si>
  <si>
    <t>デプロメール錠２５　</t>
  </si>
  <si>
    <t>デュタステリドカプセル（０．５）</t>
  </si>
  <si>
    <t>デュロキセチンカプセル</t>
  </si>
  <si>
    <t>テリボン皮下注</t>
  </si>
  <si>
    <t>テルビナフィンクリ－ム１％　１０ｇ／本</t>
  </si>
  <si>
    <t>テルミサルタンＯＤ錠２０ｍｇ　</t>
  </si>
  <si>
    <t>デルモベ－ト軟膏０．０５％　５ｇ／本</t>
  </si>
  <si>
    <t>デルモゾ－ルＧ軟膏　５ｇ／本</t>
  </si>
  <si>
    <t>大塚糖液　５％５００ｍｌ</t>
  </si>
  <si>
    <t>ドグマチール細粒</t>
  </si>
  <si>
    <t>ドネペジル塩酸塩錠ＯＤ３ｍｇ</t>
  </si>
  <si>
    <t>ドネペジル塩酸塩錠ＯＤ５ｍｇ</t>
  </si>
  <si>
    <t>ドネペジル塩酸塩錠ＯＤ１０ｍｇ</t>
  </si>
  <si>
    <t>ドパストン静注（５０）</t>
  </si>
  <si>
    <t>ドパミン塩酸塩点滴静注　１００ｍｇ「ＫＮ」　５Ｘ１０管</t>
  </si>
  <si>
    <t>ロドピン錠５０ｍｇ　</t>
  </si>
  <si>
    <t>トピロリック</t>
  </si>
  <si>
    <t>ドプスＯＤ１００ｍｇ</t>
  </si>
  <si>
    <t>トラゾドン錠２５ｍｇ</t>
  </si>
  <si>
    <t>トラマールＯＤ錠２５</t>
  </si>
  <si>
    <t>トリアゾラム錠０．２５ｍｇ</t>
  </si>
  <si>
    <t>トリプタノール錠２５　</t>
  </si>
  <si>
    <t>トリヘキシフェニジル塩酸塩錠２ｍｇ</t>
  </si>
  <si>
    <t>トルソプト点眼１％</t>
  </si>
  <si>
    <t>トーワチーム配合顆粒（分包品１ｇ）</t>
  </si>
  <si>
    <t>ニコランジル錠　５ｍｇ</t>
  </si>
  <si>
    <t>ニセルゴリン錠５ｍｇ　</t>
  </si>
  <si>
    <t>ニゾラールクリーム２％　１０ｇ／本</t>
  </si>
  <si>
    <t>ニゾラールローション２％　１０ｇ／本</t>
  </si>
  <si>
    <t>乳糖水和物「ヨシダ」</t>
  </si>
  <si>
    <t>ニュープロパッチ（４．５）</t>
  </si>
  <si>
    <t>ニュ－レプチル錠５ｍｇ</t>
  </si>
  <si>
    <t>ニュ－レプチル錠１０ｍｇ</t>
  </si>
  <si>
    <t>尿素クリーム</t>
  </si>
  <si>
    <t>ニルバジピン錠２ｍｇ</t>
  </si>
  <si>
    <t>ネオドパストン配合錠Ｌ</t>
  </si>
  <si>
    <t>ネオファーゲン</t>
  </si>
  <si>
    <t>テクスメテンユニバーサルクリーム０．１％</t>
  </si>
  <si>
    <t>ノルアドレナリン注１ｍｇ</t>
  </si>
  <si>
    <t>ハイパジール点眼０．２５％</t>
  </si>
  <si>
    <t>パキロビットパック３００</t>
  </si>
  <si>
    <t>パキロビットパック６００</t>
  </si>
  <si>
    <t>ハーフジゴキシンＫＹ（０．１２５）</t>
  </si>
  <si>
    <t>ハベカシン注射液７５ＭＧ</t>
  </si>
  <si>
    <t>バラシクロビル錠５００ｍｇ</t>
  </si>
  <si>
    <t>バルプロ酸ナトリウム錠２００ｍｇ　</t>
  </si>
  <si>
    <t>バルプロ酸Ｎａ徐放顆粒４０％</t>
  </si>
  <si>
    <t>バルプロ酸ナトリウムシロップ５％　１２０ｍＬ</t>
  </si>
  <si>
    <t>パロキセチンＯＤ錠１０ｍｇ</t>
  </si>
  <si>
    <t>ハロペリドール錠　０．７５ｍｇ</t>
  </si>
  <si>
    <t>ハロペリドール錠　１ｍｇ　</t>
  </si>
  <si>
    <t>ハロペリドール錠　１．５ｍｇ</t>
  </si>
  <si>
    <t>ハロペリドール錠　３ｍｇ</t>
  </si>
  <si>
    <t>ブロムペリドール細粒１％</t>
  </si>
  <si>
    <t>ハロマンス注５０</t>
  </si>
  <si>
    <t>ハロマンス注１００</t>
  </si>
  <si>
    <t>バンコマイシン塩酸塩点滴静注０．５ｇ</t>
  </si>
  <si>
    <t>パントシン散（２０％）　</t>
  </si>
  <si>
    <t>パントシン錠２００ｍｇ</t>
  </si>
  <si>
    <t>パント－ル注射液５００ＭＧ</t>
  </si>
  <si>
    <t>ヒアルロン酸Ｎａ点眼液０．１％　５ｍｌ／本</t>
  </si>
  <si>
    <t>ピオグリタゾンＯＤ錠１５ｍｇ</t>
  </si>
  <si>
    <t>ピコスルファートナトリウム錠２．５</t>
  </si>
  <si>
    <t>ピコスルファートナトリウム内用液</t>
  </si>
  <si>
    <t>ピーゼットシー錠</t>
  </si>
  <si>
    <t>ビソプロロールフマル酸（０．６２５）「トーワ」</t>
  </si>
  <si>
    <t>ビソプロロールフマル酸（２．５）「トーワ」</t>
  </si>
  <si>
    <t>ブロムヘキシン吸入液０．２％</t>
  </si>
  <si>
    <t>ビダラビン軟膏３％「ＭＥＥＫ」　５ｇ／本</t>
  </si>
  <si>
    <t>ビプレッソ徐放５０ｍｇ</t>
  </si>
  <si>
    <t>ビプレッソ徐放１５０ｍｇ</t>
  </si>
  <si>
    <t>ビムパット１００ｍｇ</t>
  </si>
  <si>
    <t>ヒューマリンＲ注Ｕ１００単位／ｍｌ　１０ｍｌ</t>
  </si>
  <si>
    <t>ヒューマログミックス２５注ミリオペン３００単位</t>
  </si>
  <si>
    <t>ヒューマログミックス５０注ミリオペン３００単位</t>
  </si>
  <si>
    <t>ビラノアＯＤ錠</t>
  </si>
  <si>
    <t>ヒルナミン錠２５ｍｇ</t>
  </si>
  <si>
    <t>ヒルナミン錠５０ｍｇ</t>
  </si>
  <si>
    <t>ピレノキシン懸濁点滴０．００５％</t>
  </si>
  <si>
    <t>ファモチジンＤ錠２０㎎</t>
  </si>
  <si>
    <t>ファモチジン注射用２０㎎　　　　　　　　　　　１０Ａ</t>
  </si>
  <si>
    <t>ファロム錠２００ＭＧ</t>
  </si>
  <si>
    <t>フィコンパ錠</t>
  </si>
  <si>
    <t>フェノバルビタール散１０％「ホエイ」　</t>
  </si>
  <si>
    <t>フェノーバール錠</t>
  </si>
  <si>
    <t>フェノバール注射液１００ｍｇ　１ｍＬＸ１０管</t>
  </si>
  <si>
    <t>フェブキソスタット錠１０ｍｇ</t>
  </si>
  <si>
    <t>フェロジピン錠（５）</t>
  </si>
  <si>
    <t>フェロミア顆粒８．３％　</t>
  </si>
  <si>
    <t>フォリアミン錠（ニチヤク）</t>
  </si>
  <si>
    <t>フサン注５０</t>
  </si>
  <si>
    <t>ブドウ糖注５％ＰＬ「フソー」２０ｍｌ</t>
  </si>
  <si>
    <t>ブドウ糖注５０％ＰＬ「フソー」２０ｍｌ</t>
  </si>
  <si>
    <t>プラリア皮下注６０ｍｇシリンジ</t>
  </si>
  <si>
    <t>プリモボラン錠５㎎</t>
  </si>
  <si>
    <t>エピペン注射液０．３ｍｇ</t>
  </si>
  <si>
    <t>フルイトラン（２）</t>
  </si>
  <si>
    <t>フルオロメトロン０．１％点眼液Ｔ　５ｍＬＸ５</t>
  </si>
  <si>
    <t>フルデカシン筋注２５ｍｇ　１ｍＬＸ５瓶</t>
  </si>
  <si>
    <t>フルルバンパップ４０ｍｇ　６００枚</t>
  </si>
  <si>
    <t>プレガバリンＯＤ（２５）</t>
  </si>
  <si>
    <t>プレガバリンＯＤ（７５）</t>
  </si>
  <si>
    <t>プレドニゾロン錠５「ＶＴＲＳ」</t>
  </si>
  <si>
    <t>プロスタンディン軟膏　３０ｇ／本</t>
  </si>
  <si>
    <t>フロセミド錠２０「ＮＩＧ」</t>
  </si>
  <si>
    <t>フロセミド注２０㎎「トーワ」</t>
  </si>
  <si>
    <t>ブロチゾラム錠０．２５ｍｇ</t>
  </si>
  <si>
    <t>ブロナンセリン散２％「ＤＳＰＢ］</t>
  </si>
  <si>
    <t>ブロナンセリン錠４ｍｇ</t>
  </si>
  <si>
    <t>ブロナンセリン錠８ｍｇ</t>
  </si>
  <si>
    <t>ブロナック点眼０．１％</t>
  </si>
  <si>
    <t>プロピベリン錠（１０）</t>
  </si>
  <si>
    <t>プロマックＤ錠７５　</t>
  </si>
  <si>
    <t>ブロムペリドール錠３ＭＧ</t>
  </si>
  <si>
    <t>ブロムヘキシン塩酸塩注射液４ｍｇ</t>
  </si>
  <si>
    <t>ブロモクリプチン錠２．５ｍｇ</t>
  </si>
  <si>
    <t>ベタナミン（１０）</t>
  </si>
  <si>
    <t>ベタメタゾン吉草酸ローション</t>
  </si>
  <si>
    <t>ヘパリンＮａ注５０００単位「モチダ」</t>
  </si>
  <si>
    <t>ヘパリンＮａロック用１０単位</t>
  </si>
  <si>
    <t>ヘパリン類似外用泡スプレー</t>
  </si>
  <si>
    <t>ヘパリン類似外用スプレー</t>
  </si>
  <si>
    <t>ヘパリン類似油性クリーム０．３％</t>
  </si>
  <si>
    <t>ヘブスブリンＩＨ静注１０００単位　５ｍＬＸ１瓶</t>
  </si>
  <si>
    <t>ベプリコール錠</t>
  </si>
  <si>
    <t>ヘモレックス軟膏　２ｇ／本</t>
  </si>
  <si>
    <t>ベラプロスト錠２０μｇ</t>
  </si>
  <si>
    <t>ボルタレン錠２５ｍｇ　</t>
  </si>
  <si>
    <t>ペルジピン注</t>
  </si>
  <si>
    <t>ヘルベッサー注</t>
  </si>
  <si>
    <t>ベンザリン錠</t>
  </si>
  <si>
    <t>ベンザリン細粒</t>
  </si>
  <si>
    <t>ボアラ軟膏</t>
  </si>
  <si>
    <t>ホスホマイシンナトリウム静注用２ｇ</t>
  </si>
  <si>
    <t>ボスミン注</t>
  </si>
  <si>
    <t>ポピドンヨードガーグル７％　３０ｍｌ</t>
  </si>
  <si>
    <t>ポビドンヨード外用液　１０％　２５０ｍｌ</t>
  </si>
  <si>
    <t>ポララミン注５㎎</t>
  </si>
  <si>
    <t>ポリスチレンスルホン酸ゼリー</t>
  </si>
  <si>
    <t>ホーリンＶ膣用錠１ｍｇ</t>
  </si>
  <si>
    <t>マイザー軟膏</t>
  </si>
  <si>
    <t>マプロチリン錠２５ＭＧ</t>
  </si>
  <si>
    <t>ミルタザピン錠１５ｍｇ「サワイ」</t>
  </si>
  <si>
    <t>ミチグリニドＯＤ１０ｍｇ</t>
  </si>
  <si>
    <t>ミドドリン塩酸塩錠２ｍｇ</t>
  </si>
  <si>
    <t>ミノサイクリン塩酸塩点滴静注用１００ＭＧ</t>
  </si>
  <si>
    <t>ムコスタ点眼液</t>
  </si>
  <si>
    <t>メイラックス１ｍｇ</t>
  </si>
  <si>
    <t>メキシチール塩酸塩カプセル５０</t>
  </si>
  <si>
    <t>メトトレキサート（２）</t>
  </si>
  <si>
    <t>メトホルミン錠２５０ｍｇ</t>
  </si>
  <si>
    <t>メプチンエア－１０μｇ吸入１００回</t>
  </si>
  <si>
    <t>メマンチン塩酸塩ＯＤ５ｍｇ　</t>
  </si>
  <si>
    <t>メマンチン塩酸塩ＯＤ２０ｍｇ　</t>
  </si>
  <si>
    <t>リルゾール錠５０ｍｇ</t>
  </si>
  <si>
    <t>メロペネム点滴０．５ｇ</t>
  </si>
  <si>
    <t>リスペリドン錠１ｍｇ</t>
  </si>
  <si>
    <t>ユ－ロジン　２ＭＧ錠</t>
  </si>
  <si>
    <t>ラクツロースシロップ</t>
  </si>
  <si>
    <t>ラメルテオン錠</t>
  </si>
  <si>
    <t>ラモトリギン錠２５ｍｇ</t>
  </si>
  <si>
    <t>ラモトリギン錠１００ｍｇ</t>
  </si>
  <si>
    <t>ランソプラゾール　ＯＤ錠１５</t>
  </si>
  <si>
    <t>ランタス注ソロスタ－３００単位</t>
  </si>
  <si>
    <t>リオレサール（５）</t>
  </si>
  <si>
    <t>リスパダール内用液　１ｍｇ／ｍＬ３０ｍｌ</t>
  </si>
  <si>
    <t>リスペリドン錠０．５ｍｇ</t>
  </si>
  <si>
    <t>リスペリドン内用液分包０．５ｍｇ／０．５ｍｌ</t>
  </si>
  <si>
    <t>リスペリドン内用液１ｍｇ／１００ｍｌ</t>
  </si>
  <si>
    <t>リスペリドン内用液分包１ｍｇ／１ｍｌ</t>
  </si>
  <si>
    <t>リスペリドン錠２ｍｇ</t>
  </si>
  <si>
    <t>リスペリドン錠３ｍｇ</t>
  </si>
  <si>
    <t>リバスチグミンテープ４．５ｍｇ　２８枚</t>
  </si>
  <si>
    <t>リバスチグミンテープ１８ｍｇ　２８枚</t>
  </si>
  <si>
    <t>リバスチグミンテープ１３．５ｍｇ　２８枚</t>
  </si>
  <si>
    <t>リフキシマ２００ｍｇ</t>
  </si>
  <si>
    <t>リボトリ－ル錠０．５ｍｇ</t>
  </si>
  <si>
    <t>リボトリール錠１㎎　</t>
  </si>
  <si>
    <t>リマプロストアルファデクス錠５μｇ</t>
  </si>
  <si>
    <t>ルプラック錠</t>
  </si>
  <si>
    <t>レキソタン錠　２ｍｇ</t>
  </si>
  <si>
    <t>レキソタン錠　５ｍｇ</t>
  </si>
  <si>
    <t>レトロゾール錠２．５ｍｇ</t>
  </si>
  <si>
    <t>レスタミンコーワクリーム５００ｇ</t>
  </si>
  <si>
    <t>レスプレン錠　２０ｍｇ　</t>
  </si>
  <si>
    <t>レバミピド錠１００ｍｇ</t>
  </si>
  <si>
    <t>レペタン坐０．２ｍｇ</t>
  </si>
  <si>
    <t>レベチラセタム点滴静注</t>
  </si>
  <si>
    <t>レボトミン顆粒　１０％</t>
  </si>
  <si>
    <t>レボフロキサシン細粒１０％「ＤＳＥＰ］</t>
  </si>
  <si>
    <t>レボフロキサシン錠２５０ｍｇ</t>
  </si>
  <si>
    <t>レボフロキサシン点滴静注バッグ</t>
  </si>
  <si>
    <t>レルパックス</t>
  </si>
  <si>
    <t>レルベア２００エリプタ</t>
  </si>
  <si>
    <t>レルベア１００エリプタ</t>
  </si>
  <si>
    <t>ロキソプロフェン錠６０ｍｇ</t>
  </si>
  <si>
    <t>ロキソニン細粒１０％　</t>
  </si>
  <si>
    <t>ロドピン錠２５ｍｇ　</t>
  </si>
  <si>
    <t>ロラゼパム錠０．５ｍｇ</t>
  </si>
  <si>
    <t>ロラメット錠１．０　（アスカ）　（シン）</t>
  </si>
  <si>
    <t>ワーファリン</t>
  </si>
  <si>
    <t>ワンパル２号輸液８００</t>
  </si>
  <si>
    <t>行番号</t>
    <rPh sb="0" eb="3">
      <t>ギョウバンゴウ</t>
    </rPh>
    <phoneticPr fontId="2"/>
  </si>
  <si>
    <t>一致率</t>
    <rPh sb="0" eb="3">
      <t>イッチリツ</t>
    </rPh>
    <phoneticPr fontId="2"/>
  </si>
  <si>
    <t>亜鉛華軟膏　５００ｇ</t>
  </si>
  <si>
    <t>フルコナゾール（１００）</t>
  </si>
  <si>
    <t>エペリゾン錠５０ｍｇ　バラ　１０００錠</t>
  </si>
  <si>
    <t>キシロカインシリンジ</t>
  </si>
  <si>
    <t>クラシエ葛根湯　ＥＫ－１　２．５ｇ／包</t>
  </si>
  <si>
    <t>クラシエ黄連解毒湯　ＫＢ－１５　３．０ｇ／包</t>
  </si>
  <si>
    <t>クラシエ小青龍湯ＥＫ－１９　２．０ｇ／包</t>
  </si>
  <si>
    <t>クラシエ加味逍遥散ＫＢ－２４　３．０ｇ／包</t>
  </si>
  <si>
    <t>クラシエ猪苓湯ＥＫ－４０　２．０ｇ／包</t>
  </si>
  <si>
    <t>クラシエ補中益気湯　ＫＢ－４１　３．７５ｇ／包</t>
  </si>
  <si>
    <t>クラシエ柴苓湯　ＥＫ－１１４　２．７ｇ／包</t>
  </si>
  <si>
    <t>グリセオール注　２００ｍＬＸ１０袋</t>
  </si>
  <si>
    <t>ジスチグミン錠５㎎　　　　　　【毒薬】</t>
  </si>
  <si>
    <t>スピール膏Ｍ　ＳＰＭ１６　６枚</t>
  </si>
  <si>
    <t>生食１０ｍｌシリンジ</t>
  </si>
  <si>
    <t>生食ＶＴＲＳ２０ｍｌ</t>
  </si>
  <si>
    <t>ソタロール（８０）</t>
  </si>
  <si>
    <t>ダルベポエチンアルファ３０μシリンジ</t>
  </si>
  <si>
    <t>テルビナフィン゛液１％　１０ｇ／本</t>
  </si>
  <si>
    <t>トロンビン液モチダソフトボトル　１万　５本</t>
  </si>
  <si>
    <t>ビカルタミド</t>
  </si>
  <si>
    <t>ヒベルナ注２５ｍｇ　１ｍＬＸ５０管</t>
  </si>
  <si>
    <t>ファンギゾン　シロップ１００ｍｇ／ＭＬ</t>
  </si>
  <si>
    <t>プレドニゾロン錠１</t>
  </si>
  <si>
    <t>フロセミド細粒　４％　「ＥＭＥＣ」　</t>
  </si>
  <si>
    <t>ポタコ－ルＲ輸液２５０ｍｌ</t>
  </si>
  <si>
    <t>リスパダールコンスタ筋注用２５㎎</t>
  </si>
  <si>
    <t>リスパダールコンスタ筋注用３７．５㎎</t>
  </si>
  <si>
    <t>リスパダールコンスタ筋注用５０㎎</t>
  </si>
  <si>
    <t>リンデロン点眼点鼻液　５ｍｌ／本</t>
  </si>
  <si>
    <t>リスパダール内用液分包０．５ｍｇ／０．５ｍｌ</t>
  </si>
  <si>
    <t>目視一致チェック</t>
    <rPh sb="0" eb="2">
      <t>モクシ</t>
    </rPh>
    <rPh sb="2" eb="4">
      <t>イッチ</t>
    </rPh>
    <phoneticPr fontId="2"/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</si>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</sst>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_);[Red]\(0\)"/>
    <numFmt numFmtId="181" formatCode="0.0_ 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2"/>
    </font>
    <font>
      <b/>
      <sz val="11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</cellStyleXfs>
  <cellXfs count="22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176" fontId="0" fillId="0" borderId="0" xfId="1" applyNumberFormat="1" applyFont="1" applyFill="1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/>
    <xf numFmtId="38" fontId="0" fillId="0" borderId="3" xfId="1" applyFont="1" applyFill="1" applyBorder="1" applyAlignment="1">
      <alignment horizontal="center" vertical="center"/>
    </xf>
    <xf numFmtId="38" fontId="0" fillId="0" borderId="0" xfId="1" applyFo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4" fillId="0" borderId="4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8" fontId="0" fillId="0" borderId="5" xfId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38" fontId="0" fillId="0" borderId="4" xfId="1" applyFont="1" applyBorder="1">
      <alignment vertical="center"/>
    </xf>
    <xf numFmtId="0" fontId="0" fillId="0" borderId="4" xfId="0" applyBorder="1" applyAlignment="1"/>
    <xf numFmtId="40" fontId="0" fillId="0" borderId="4" xfId="1" applyNumberFormat="1" applyFont="1" applyBorder="1" applyAlignment="1"/>
    <xf numFmtId="38" fontId="0" fillId="0" borderId="4" xfId="1" applyFont="1" applyBorder="1" applyAlignment="1"/>
    <xf numFmtId="0" fontId="4" fillId="0" borderId="4" xfId="0" applyFont="1" applyBorder="1" applyAlignment="1"/>
    <xf numFmtId="0" fontId="4" fillId="0" borderId="4" xfId="0" applyFont="1" applyBorder="1" applyAlignment="1">
      <alignment horizontal="center"/>
    </xf>
    <xf numFmtId="40" fontId="4" fillId="0" borderId="4" xfId="1" applyNumberFormat="1" applyFont="1" applyFill="1" applyBorder="1" applyAlignment="1"/>
    <xf numFmtId="0" fontId="5" fillId="0" borderId="4" xfId="0" applyFont="1" applyBorder="1" applyAlignment="1"/>
    <xf numFmtId="0" fontId="6" fillId="0" borderId="4" xfId="0" applyFont="1" applyBorder="1" applyAlignment="1"/>
    <xf numFmtId="40" fontId="4" fillId="0" borderId="4" xfId="1" applyNumberFormat="1" applyFont="1" applyBorder="1" applyAlignment="1"/>
    <xf numFmtId="0" fontId="7" fillId="0" borderId="4" xfId="2" applyBorder="1" applyAlignment="1">
      <alignment horizontal="center"/>
    </xf>
    <xf numFmtId="40" fontId="7" fillId="0" borderId="4" xfId="1" applyNumberFormat="1" applyFont="1" applyBorder="1" applyAlignment="1"/>
    <xf numFmtId="40" fontId="7" fillId="0" borderId="4" xfId="0" applyNumberFormat="1" applyFont="1" applyBorder="1" applyAlignment="1"/>
    <xf numFmtId="49" fontId="7" fillId="0" borderId="4" xfId="0" applyNumberFormat="1" applyFont="1" applyBorder="1" applyAlignment="1"/>
    <xf numFmtId="0" fontId="0" fillId="2" borderId="4" xfId="0" applyFill="1" applyBorder="1">
      <alignment vertical="center"/>
    </xf>
    <xf numFmtId="0" fontId="5" fillId="2" borderId="4" xfId="0" applyFont="1" applyFill="1" applyBorder="1">
      <alignment vertical="center"/>
    </xf>
    <xf numFmtId="0" fontId="5" fillId="0" borderId="4" xfId="0" applyFont="1" applyBorder="1">
      <alignment vertical="center"/>
    </xf>
    <xf numFmtId="0" fontId="6" fillId="2" borderId="4" xfId="0" applyFont="1" applyFill="1" applyBorder="1">
      <alignment vertical="center"/>
    </xf>
    <xf numFmtId="38" fontId="0" fillId="0" borderId="0" xfId="1" applyFont="1" applyAlignment="1"/>
    <xf numFmtId="40" fontId="0" fillId="0" borderId="0" xfId="1" applyNumberFormat="1" applyFont="1" applyAlignment="1"/>
    <xf numFmtId="0" fontId="0" fillId="0" borderId="0" xfId="0" applyAlignment="1">
      <alignment horizontal="center" vertical="center"/>
    </xf>
    <xf numFmtId="0" fontId="8" fillId="0" borderId="4" xfId="0" applyFont="1" applyBorder="1" applyAlignment="1"/>
    <xf numFmtId="0" fontId="9" fillId="0" borderId="4" xfId="0" applyFont="1" applyBorder="1" applyAlignment="1">
      <alignment horizontal="center"/>
    </xf>
    <xf numFmtId="0" fontId="4" fillId="3" borderId="4" xfId="0" applyFont="1" applyFill="1" applyBorder="1" applyAlignment="1"/>
    <xf numFmtId="0" fontId="0" fillId="3" borderId="4" xfId="0" applyFill="1" applyBorder="1" applyAlignment="1"/>
    <xf numFmtId="0" fontId="4" fillId="4" borderId="4" xfId="0" applyFont="1" applyFill="1" applyBorder="1" applyAlignment="1"/>
    <xf numFmtId="0" fontId="4" fillId="4" borderId="4" xfId="0" applyFont="1" applyFill="1" applyBorder="1" applyAlignment="1">
      <alignment horizontal="center"/>
    </xf>
    <xf numFmtId="0" fontId="0" fillId="4" borderId="4" xfId="0" applyFill="1" applyBorder="1" applyAlignment="1"/>
    <xf numFmtId="0" fontId="0" fillId="4" borderId="4" xfId="0" applyFill="1" applyBorder="1" applyAlignment="1">
      <alignment horizontal="center"/>
    </xf>
    <xf numFmtId="38" fontId="0" fillId="4" borderId="4" xfId="1" applyFont="1" applyFill="1" applyBorder="1" applyAlignment="1"/>
    <xf numFmtId="0" fontId="0" fillId="4" borderId="4" xfId="0" applyFill="1" applyBorder="1">
      <alignment vertical="center"/>
    </xf>
    <xf numFmtId="38" fontId="0" fillId="4" borderId="4" xfId="1" applyFont="1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0" fontId="5" fillId="4" borderId="4" xfId="0" applyFont="1" applyFill="1" applyBorder="1" applyAlignment="1"/>
    <xf numFmtId="0" fontId="0" fillId="5" borderId="4" xfId="0" applyFill="1" applyBorder="1" applyAlignment="1"/>
    <xf numFmtId="0" fontId="0" fillId="2" borderId="4" xfId="0" applyFill="1" applyBorder="1" applyAlignment="1">
      <alignment horizontal="center"/>
    </xf>
    <xf numFmtId="40" fontId="0" fillId="2" borderId="4" xfId="1" applyNumberFormat="1" applyFont="1" applyFill="1" applyBorder="1" applyAlignment="1"/>
    <xf numFmtId="0" fontId="0" fillId="2" borderId="4" xfId="0" applyFill="1" applyBorder="1" applyAlignment="1"/>
    <xf numFmtId="38" fontId="0" fillId="2" borderId="4" xfId="1" applyFont="1" applyFill="1" applyBorder="1" applyAlignment="1"/>
    <xf numFmtId="38" fontId="0" fillId="2" borderId="4" xfId="1" applyFont="1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4" fillId="2" borderId="4" xfId="0" applyFont="1" applyFill="1" applyBorder="1" applyAlignment="1"/>
    <xf numFmtId="40" fontId="4" fillId="2" borderId="4" xfId="1" applyNumberFormat="1" applyFont="1" applyFill="1" applyBorder="1" applyAlignment="1"/>
    <xf numFmtId="0" fontId="0" fillId="0" borderId="6" xfId="0" applyBorder="1">
      <alignment vertical="center"/>
    </xf>
    <xf numFmtId="0" fontId="4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38" fontId="0" fillId="0" borderId="0" xfId="0" applyNumberFormat="1">
      <alignment vertical="center"/>
    </xf>
    <xf numFmtId="0" fontId="5" fillId="2" borderId="4" xfId="0" applyFont="1" applyFill="1" applyBorder="1" applyAlignment="1"/>
    <xf numFmtId="0" fontId="4" fillId="2" borderId="4" xfId="0" applyFont="1" applyFill="1" applyBorder="1" applyAlignment="1">
      <alignment horizontal="center" vertical="center"/>
    </xf>
    <xf numFmtId="176" fontId="4" fillId="2" borderId="4" xfId="1" applyNumberFormat="1" applyFont="1" applyFill="1" applyBorder="1" applyAlignment="1">
      <alignment horizontal="center" vertical="center"/>
    </xf>
    <xf numFmtId="38" fontId="0" fillId="2" borderId="5" xfId="1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7" fillId="2" borderId="4" xfId="2" applyFill="1" applyBorder="1" applyAlignment="1">
      <alignment horizontal="center"/>
    </xf>
    <xf numFmtId="40" fontId="7" fillId="2" borderId="4" xfId="1" applyNumberFormat="1" applyFont="1" applyFill="1" applyBorder="1" applyAlignment="1"/>
    <xf numFmtId="40" fontId="7" fillId="2" borderId="4" xfId="0" applyNumberFormat="1" applyFont="1" applyFill="1" applyBorder="1" applyAlignment="1"/>
    <xf numFmtId="49" fontId="7" fillId="2" borderId="4" xfId="0" applyNumberFormat="1" applyFont="1" applyFill="1" applyBorder="1" applyAlignment="1"/>
    <xf numFmtId="40" fontId="5" fillId="2" borderId="4" xfId="1" applyNumberFormat="1" applyFont="1" applyFill="1" applyBorder="1" applyAlignment="1"/>
    <xf numFmtId="0" fontId="0" fillId="0" borderId="4" xfId="0" applyBorder="1" applyAlignment="1">
      <alignment horizontal="right"/>
    </xf>
    <xf numFmtId="40" fontId="5" fillId="0" borderId="4" xfId="1" applyNumberFormat="1" applyFont="1" applyBorder="1" applyAlignment="1"/>
    <xf numFmtId="0" fontId="8" fillId="2" borderId="4" xfId="0" applyFont="1" applyFill="1" applyBorder="1" applyAlignment="1"/>
    <xf numFmtId="176" fontId="0" fillId="0" borderId="4" xfId="1" applyNumberFormat="1" applyFont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 vertical="center"/>
    </xf>
    <xf numFmtId="0" fontId="0" fillId="2" borderId="4" xfId="0" applyFill="1" applyBorder="1" applyAlignment="1">
      <alignment horizontal="right"/>
    </xf>
    <xf numFmtId="176" fontId="0" fillId="0" borderId="0" xfId="1" applyNumberFormat="1" applyFont="1" applyFill="1" applyAlignment="1">
      <alignment horizontal="right"/>
    </xf>
    <xf numFmtId="176" fontId="4" fillId="0" borderId="4" xfId="1" applyNumberFormat="1" applyFont="1" applyFill="1" applyBorder="1" applyAlignment="1">
      <alignment horizontal="right" vertical="center"/>
    </xf>
    <xf numFmtId="40" fontId="4" fillId="0" borderId="4" xfId="1" applyNumberFormat="1" applyFont="1" applyFill="1" applyBorder="1" applyAlignment="1">
      <alignment horizontal="right"/>
    </xf>
    <xf numFmtId="40" fontId="0" fillId="0" borderId="4" xfId="1" applyNumberFormat="1" applyFont="1" applyBorder="1" applyAlignment="1">
      <alignment horizontal="right"/>
    </xf>
    <xf numFmtId="40" fontId="4" fillId="2" borderId="4" xfId="1" applyNumberFormat="1" applyFont="1" applyFill="1" applyBorder="1" applyAlignment="1">
      <alignment horizontal="right"/>
    </xf>
    <xf numFmtId="40" fontId="5" fillId="0" borderId="4" xfId="1" applyNumberFormat="1" applyFont="1" applyBorder="1" applyAlignment="1">
      <alignment horizontal="right"/>
    </xf>
    <xf numFmtId="40" fontId="4" fillId="0" borderId="4" xfId="1" applyNumberFormat="1" applyFont="1" applyBorder="1" applyAlignment="1">
      <alignment horizontal="right"/>
    </xf>
    <xf numFmtId="40" fontId="0" fillId="0" borderId="0" xfId="1" applyNumberFormat="1" applyFont="1" applyAlignment="1">
      <alignment horizontal="right"/>
    </xf>
    <xf numFmtId="0" fontId="0" fillId="5" borderId="4" xfId="0" applyFill="1" applyBorder="1" applyAlignment="1">
      <alignment horizontal="center"/>
    </xf>
    <xf numFmtId="0" fontId="10" fillId="0" borderId="4" xfId="0" applyFont="1" applyBorder="1" applyAlignment="1"/>
    <xf numFmtId="0" fontId="10" fillId="2" borderId="4" xfId="0" applyFont="1" applyFill="1" applyBorder="1" applyAlignment="1"/>
    <xf numFmtId="0" fontId="0" fillId="6" borderId="4" xfId="0" applyFill="1" applyBorder="1" applyAlignment="1">
      <alignment horizontal="center"/>
    </xf>
    <xf numFmtId="0" fontId="7" fillId="4" borderId="4" xfId="2" applyFill="1" applyBorder="1" applyAlignment="1">
      <alignment horizontal="center"/>
    </xf>
    <xf numFmtId="177" fontId="0" fillId="0" borderId="0" xfId="0" applyNumberFormat="1">
      <alignment vertical="center"/>
    </xf>
    <xf numFmtId="177" fontId="0" fillId="0" borderId="4" xfId="1" applyNumberFormat="1" applyFont="1" applyBorder="1">
      <alignment vertical="center"/>
    </xf>
    <xf numFmtId="177" fontId="0" fillId="2" borderId="4" xfId="0" applyNumberFormat="1" applyFill="1" applyBorder="1">
      <alignment vertical="center"/>
    </xf>
    <xf numFmtId="177" fontId="0" fillId="0" borderId="4" xfId="0" applyNumberFormat="1" applyBorder="1">
      <alignment vertical="center"/>
    </xf>
    <xf numFmtId="177" fontId="0" fillId="2" borderId="4" xfId="1" applyNumberFormat="1" applyFont="1" applyFill="1" applyBorder="1" applyAlignment="1"/>
    <xf numFmtId="177" fontId="0" fillId="0" borderId="4" xfId="1" applyNumberFormat="1" applyFont="1" applyBorder="1" applyAlignment="1"/>
    <xf numFmtId="177" fontId="0" fillId="2" borderId="6" xfId="0" applyNumberFormat="1" applyFill="1" applyBorder="1">
      <alignment vertical="center"/>
    </xf>
    <xf numFmtId="176" fontId="0" fillId="0" borderId="0" xfId="1" applyNumberFormat="1" applyFont="1">
      <alignment vertical="center"/>
    </xf>
    <xf numFmtId="176" fontId="0" fillId="0" borderId="4" xfId="1" applyNumberFormat="1" applyFont="1" applyBorder="1" applyAlignment="1">
      <alignment horizontal="right"/>
    </xf>
    <xf numFmtId="176" fontId="0" fillId="0" borderId="4" xfId="1" applyNumberFormat="1" applyFont="1" applyBorder="1" applyAlignment="1"/>
    <xf numFmtId="176" fontId="0" fillId="2" borderId="4" xfId="1" applyNumberFormat="1" applyFont="1" applyFill="1" applyBorder="1" applyAlignment="1"/>
    <xf numFmtId="176" fontId="4" fillId="2" borderId="4" xfId="1" applyNumberFormat="1" applyFont="1" applyFill="1" applyBorder="1" applyAlignment="1"/>
    <xf numFmtId="176" fontId="4" fillId="0" borderId="4" xfId="1" applyNumberFormat="1" applyFont="1" applyFill="1" applyBorder="1" applyAlignment="1"/>
    <xf numFmtId="176" fontId="7" fillId="0" borderId="4" xfId="1" applyNumberFormat="1" applyFont="1" applyBorder="1" applyAlignment="1"/>
    <xf numFmtId="176" fontId="7" fillId="2" borderId="4" xfId="1" applyNumberFormat="1" applyFont="1" applyFill="1" applyBorder="1" applyAlignment="1"/>
    <xf numFmtId="176" fontId="4" fillId="0" borderId="4" xfId="1" applyNumberFormat="1" applyFont="1" applyBorder="1" applyAlignment="1"/>
    <xf numFmtId="176" fontId="4" fillId="0" borderId="4" xfId="1" applyNumberFormat="1" applyFont="1" applyFill="1" applyBorder="1" applyAlignment="1">
      <alignment horizontal="right"/>
    </xf>
    <xf numFmtId="176" fontId="5" fillId="0" borderId="4" xfId="1" applyNumberFormat="1" applyFont="1" applyBorder="1" applyAlignment="1">
      <alignment horizontal="right"/>
    </xf>
    <xf numFmtId="176" fontId="4" fillId="0" borderId="4" xfId="1" applyNumberFormat="1" applyFont="1" applyBorder="1" applyAlignment="1">
      <alignment horizontal="right"/>
    </xf>
    <xf numFmtId="176" fontId="5" fillId="0" borderId="4" xfId="1" applyNumberFormat="1" applyFont="1" applyBorder="1" applyAlignment="1"/>
    <xf numFmtId="176" fontId="0" fillId="0" borderId="4" xfId="1" applyNumberFormat="1" applyFont="1" applyFill="1" applyBorder="1" applyAlignment="1">
      <alignment horizontal="right"/>
    </xf>
    <xf numFmtId="176" fontId="5" fillId="2" borderId="4" xfId="1" applyNumberFormat="1" applyFont="1" applyFill="1" applyBorder="1" applyAlignment="1"/>
    <xf numFmtId="176" fontId="4" fillId="2" borderId="4" xfId="1" applyNumberFormat="1" applyFont="1" applyFill="1" applyBorder="1" applyAlignment="1">
      <alignment horizontal="right"/>
    </xf>
    <xf numFmtId="38" fontId="0" fillId="3" borderId="4" xfId="1" applyFont="1" applyFill="1" applyBorder="1">
      <alignment vertical="center"/>
    </xf>
    <xf numFmtId="0" fontId="0" fillId="3" borderId="0" xfId="0" applyFill="1">
      <alignment vertical="center"/>
    </xf>
    <xf numFmtId="38" fontId="0" fillId="3" borderId="0" xfId="1" applyFont="1" applyFill="1">
      <alignment vertical="center"/>
    </xf>
    <xf numFmtId="38" fontId="0" fillId="0" borderId="4" xfId="1" applyFont="1" applyFill="1" applyBorder="1">
      <alignment vertical="center"/>
    </xf>
    <xf numFmtId="38" fontId="0" fillId="0" borderId="0" xfId="1" applyFont="1" applyFill="1">
      <alignment vertical="center"/>
    </xf>
    <xf numFmtId="0" fontId="0" fillId="7" borderId="4" xfId="0" applyFill="1" applyBorder="1" applyAlignment="1"/>
    <xf numFmtId="176" fontId="0" fillId="7" borderId="4" xfId="1" applyNumberFormat="1" applyFont="1" applyFill="1" applyBorder="1" applyAlignment="1">
      <alignment horizontal="right"/>
    </xf>
    <xf numFmtId="177" fontId="0" fillId="7" borderId="4" xfId="0" applyNumberFormat="1" applyFill="1" applyBorder="1">
      <alignment vertical="center"/>
    </xf>
    <xf numFmtId="176" fontId="0" fillId="7" borderId="4" xfId="1" applyNumberFormat="1" applyFont="1" applyFill="1" applyBorder="1" applyAlignment="1"/>
    <xf numFmtId="177" fontId="0" fillId="7" borderId="4" xfId="1" applyNumberFormat="1" applyFont="1" applyFill="1" applyBorder="1" applyAlignment="1"/>
    <xf numFmtId="0" fontId="4" fillId="7" borderId="4" xfId="0" applyFont="1" applyFill="1" applyBorder="1" applyAlignment="1"/>
    <xf numFmtId="176" fontId="4" fillId="7" borderId="4" xfId="1" applyNumberFormat="1" applyFont="1" applyFill="1" applyBorder="1" applyAlignment="1"/>
    <xf numFmtId="177" fontId="0" fillId="7" borderId="4" xfId="1" applyNumberFormat="1" applyFont="1" applyFill="1" applyBorder="1">
      <alignment vertical="center"/>
    </xf>
    <xf numFmtId="177" fontId="0" fillId="7" borderId="6" xfId="0" applyNumberFormat="1" applyFill="1" applyBorder="1">
      <alignment vertical="center"/>
    </xf>
    <xf numFmtId="176" fontId="7" fillId="7" borderId="4" xfId="1" applyNumberFormat="1" applyFont="1" applyFill="1" applyBorder="1" applyAlignment="1"/>
    <xf numFmtId="176" fontId="4" fillId="7" borderId="4" xfId="1" applyNumberFormat="1" applyFont="1" applyFill="1" applyBorder="1" applyAlignment="1">
      <alignment horizontal="right"/>
    </xf>
    <xf numFmtId="177" fontId="0" fillId="8" borderId="4" xfId="1" applyNumberFormat="1" applyFont="1" applyFill="1" applyBorder="1">
      <alignment vertical="center"/>
    </xf>
    <xf numFmtId="38" fontId="0" fillId="8" borderId="4" xfId="1" applyFont="1" applyFill="1" applyBorder="1">
      <alignment vertical="center"/>
    </xf>
    <xf numFmtId="0" fontId="4" fillId="8" borderId="4" xfId="0" applyFont="1" applyFill="1" applyBorder="1" applyAlignment="1"/>
    <xf numFmtId="177" fontId="0" fillId="8" borderId="4" xfId="1" applyNumberFormat="1" applyFont="1" applyFill="1" applyBorder="1" applyAlignment="1"/>
    <xf numFmtId="0" fontId="0" fillId="8" borderId="4" xfId="0" applyFill="1" applyBorder="1" applyAlignment="1"/>
    <xf numFmtId="177" fontId="0" fillId="8" borderId="4" xfId="0" applyNumberFormat="1" applyFill="1" applyBorder="1">
      <alignment vertical="center"/>
    </xf>
    <xf numFmtId="0" fontId="0" fillId="8" borderId="4" xfId="0" applyFill="1" applyBorder="1">
      <alignment vertical="center"/>
    </xf>
    <xf numFmtId="0" fontId="5" fillId="8" borderId="4" xfId="0" applyFont="1" applyFill="1" applyBorder="1" applyAlignment="1"/>
    <xf numFmtId="0" fontId="5" fillId="8" borderId="4" xfId="0" applyFont="1" applyFill="1" applyBorder="1">
      <alignment vertical="center"/>
    </xf>
    <xf numFmtId="0" fontId="6" fillId="8" borderId="4" xfId="0" applyFont="1" applyFill="1" applyBorder="1" applyAlignment="1"/>
    <xf numFmtId="0" fontId="8" fillId="8" borderId="4" xfId="0" applyFont="1" applyFill="1" applyBorder="1" applyAlignment="1"/>
    <xf numFmtId="177" fontId="0" fillId="0" borderId="4" xfId="1" applyNumberFormat="1" applyFont="1" applyFill="1" applyBorder="1" applyAlignment="1"/>
    <xf numFmtId="177" fontId="0" fillId="0" borderId="4" xfId="1" applyNumberFormat="1" applyFont="1" applyFill="1" applyBorder="1">
      <alignment vertical="center"/>
    </xf>
    <xf numFmtId="0" fontId="0" fillId="8" borderId="0" xfId="0" applyFill="1">
      <alignment vertical="center"/>
    </xf>
    <xf numFmtId="38" fontId="4" fillId="8" borderId="4" xfId="1" applyFont="1" applyFill="1" applyBorder="1" applyAlignment="1"/>
    <xf numFmtId="38" fontId="0" fillId="8" borderId="4" xfId="1" applyFont="1" applyFill="1" applyBorder="1" applyAlignment="1"/>
    <xf numFmtId="38" fontId="5" fillId="8" borderId="4" xfId="1" applyFont="1" applyFill="1" applyBorder="1" applyAlignment="1"/>
    <xf numFmtId="38" fontId="4" fillId="0" borderId="4" xfId="1" applyFont="1" applyFill="1" applyBorder="1" applyAlignment="1"/>
    <xf numFmtId="38" fontId="0" fillId="8" borderId="0" xfId="1" applyFont="1" applyFill="1">
      <alignment vertical="center"/>
    </xf>
    <xf numFmtId="38" fontId="0" fillId="0" borderId="4" xfId="1" applyFont="1" applyFill="1" applyBorder="1" applyAlignment="1"/>
    <xf numFmtId="38" fontId="0" fillId="8" borderId="4" xfId="1" applyFont="1" applyFill="1" applyBorder="1" applyAlignment="1">
      <alignment horizontal="right"/>
    </xf>
    <xf numFmtId="38" fontId="4" fillId="8" borderId="4" xfId="1" applyFont="1" applyFill="1" applyBorder="1" applyAlignment="1">
      <alignment horizontal="right" vertical="center"/>
    </xf>
    <xf numFmtId="38" fontId="4" fillId="8" borderId="4" xfId="1" applyFont="1" applyFill="1" applyBorder="1" applyAlignment="1">
      <alignment horizontal="right"/>
    </xf>
    <xf numFmtId="38" fontId="4" fillId="0" borderId="4" xfId="1" applyFont="1" applyFill="1" applyBorder="1" applyAlignment="1">
      <alignment horizontal="right"/>
    </xf>
    <xf numFmtId="38" fontId="7" fillId="8" borderId="4" xfId="1" applyFont="1" applyFill="1" applyBorder="1" applyAlignment="1"/>
    <xf numFmtId="38" fontId="5" fillId="8" borderId="4" xfId="1" applyFont="1" applyFill="1" applyBorder="1" applyAlignment="1">
      <alignment horizontal="right"/>
    </xf>
    <xf numFmtId="0" fontId="0" fillId="0" borderId="7" xfId="0" applyBorder="1">
      <alignment vertical="center"/>
    </xf>
    <xf numFmtId="38" fontId="0" fillId="0" borderId="7" xfId="1" applyFont="1" applyBorder="1">
      <alignment vertical="center"/>
    </xf>
    <xf numFmtId="38" fontId="0" fillId="8" borderId="7" xfId="1" applyFont="1" applyFill="1" applyBorder="1">
      <alignment vertical="center"/>
    </xf>
    <xf numFmtId="38" fontId="0" fillId="8" borderId="5" xfId="1" applyFont="1" applyFill="1" applyBorder="1">
      <alignment vertical="center"/>
    </xf>
    <xf numFmtId="0" fontId="4" fillId="8" borderId="5" xfId="0" applyFont="1" applyFill="1" applyBorder="1" applyAlignment="1"/>
    <xf numFmtId="38" fontId="4" fillId="8" borderId="5" xfId="1" applyFont="1" applyFill="1" applyBorder="1" applyAlignment="1"/>
    <xf numFmtId="177" fontId="0" fillId="8" borderId="5" xfId="1" applyNumberFormat="1" applyFont="1" applyFill="1" applyBorder="1">
      <alignment vertical="center"/>
    </xf>
    <xf numFmtId="0" fontId="4" fillId="8" borderId="7" xfId="0" applyFont="1" applyFill="1" applyBorder="1" applyAlignment="1">
      <alignment horizontal="center" vertical="center"/>
    </xf>
    <xf numFmtId="38" fontId="4" fillId="8" borderId="7" xfId="1" applyFont="1" applyFill="1" applyBorder="1" applyAlignment="1">
      <alignment horizontal="center" vertical="center"/>
    </xf>
    <xf numFmtId="177" fontId="0" fillId="8" borderId="7" xfId="1" applyNumberFormat="1" applyFont="1" applyFill="1" applyBorder="1">
      <alignment vertical="center"/>
    </xf>
    <xf numFmtId="38" fontId="5" fillId="0" borderId="4" xfId="1" applyFont="1" applyFill="1" applyBorder="1" applyAlignment="1"/>
    <xf numFmtId="38" fontId="5" fillId="0" borderId="4" xfId="1" applyFont="1" applyFill="1" applyBorder="1" applyAlignment="1">
      <alignment horizontal="right"/>
    </xf>
    <xf numFmtId="38" fontId="0" fillId="0" borderId="4" xfId="1" applyFont="1" applyFill="1" applyBorder="1" applyAlignment="1">
      <alignment horizontal="right"/>
    </xf>
    <xf numFmtId="38" fontId="7" fillId="0" borderId="4" xfId="1" applyFont="1" applyFill="1" applyBorder="1" applyAlignment="1"/>
    <xf numFmtId="0" fontId="0" fillId="0" borderId="5" xfId="0" applyBorder="1">
      <alignment vertical="center"/>
    </xf>
    <xf numFmtId="38" fontId="0" fillId="0" borderId="5" xfId="1" applyFont="1" applyBorder="1">
      <alignment vertical="center"/>
    </xf>
    <xf numFmtId="40" fontId="0" fillId="3" borderId="4" xfId="1" applyNumberFormat="1" applyFont="1" applyFill="1" applyBorder="1" applyAlignment="1"/>
    <xf numFmtId="177" fontId="0" fillId="3" borderId="4" xfId="1" applyNumberFormat="1" applyFont="1" applyFill="1" applyBorder="1">
      <alignment vertical="center"/>
    </xf>
    <xf numFmtId="177" fontId="0" fillId="3" borderId="4" xfId="1" applyNumberFormat="1" applyFont="1" applyFill="1" applyBorder="1" applyAlignment="1"/>
    <xf numFmtId="40" fontId="4" fillId="3" borderId="4" xfId="1" applyNumberFormat="1" applyFont="1" applyFill="1" applyBorder="1" applyAlignment="1"/>
    <xf numFmtId="177" fontId="0" fillId="3" borderId="4" xfId="0" applyNumberFormat="1" applyFill="1" applyBorder="1">
      <alignment vertical="center"/>
    </xf>
    <xf numFmtId="40" fontId="7" fillId="3" borderId="4" xfId="1" applyNumberFormat="1" applyFont="1" applyFill="1" applyBorder="1" applyAlignment="1"/>
    <xf numFmtId="40" fontId="4" fillId="3" borderId="4" xfId="1" applyNumberFormat="1" applyFont="1" applyFill="1" applyBorder="1" applyAlignment="1">
      <alignment horizontal="right"/>
    </xf>
    <xf numFmtId="40" fontId="0" fillId="3" borderId="4" xfId="1" applyNumberFormat="1" applyFont="1" applyFill="1" applyBorder="1" applyAlignment="1">
      <alignment horizontal="right"/>
    </xf>
    <xf numFmtId="177" fontId="0" fillId="3" borderId="6" xfId="1" applyNumberFormat="1" applyFont="1" applyFill="1" applyBorder="1" applyAlignment="1"/>
    <xf numFmtId="38" fontId="0" fillId="6" borderId="4" xfId="1" applyFont="1" applyFill="1" applyBorder="1">
      <alignment vertical="center"/>
    </xf>
    <xf numFmtId="3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0" xfId="0" applyNumberFormat="1">
      <alignment vertical="center"/>
    </xf>
    <xf numFmtId="40" fontId="4" fillId="4" borderId="4" xfId="1" applyNumberFormat="1" applyFont="1" applyFill="1" applyBorder="1" applyAlignment="1">
      <alignment horizontal="right"/>
    </xf>
    <xf numFmtId="40" fontId="0" fillId="4" borderId="4" xfId="1" applyNumberFormat="1" applyFont="1" applyFill="1" applyBorder="1" applyAlignment="1">
      <alignment horizontal="right"/>
    </xf>
    <xf numFmtId="40" fontId="0" fillId="5" borderId="4" xfId="1" applyNumberFormat="1" applyFont="1" applyFill="1" applyBorder="1" applyAlignment="1">
      <alignment horizontal="right"/>
    </xf>
    <xf numFmtId="40" fontId="0" fillId="2" borderId="4" xfId="1" applyNumberFormat="1" applyFont="1" applyFill="1" applyBorder="1" applyAlignment="1">
      <alignment horizontal="right"/>
    </xf>
    <xf numFmtId="40" fontId="7" fillId="0" borderId="4" xfId="1" applyNumberFormat="1" applyFont="1" applyBorder="1" applyAlignment="1">
      <alignment horizontal="right"/>
    </xf>
    <xf numFmtId="0" fontId="0" fillId="4" borderId="4" xfId="0" applyFill="1" applyBorder="1" applyAlignment="1">
      <alignment horizontal="right"/>
    </xf>
    <xf numFmtId="38" fontId="0" fillId="0" borderId="4" xfId="1" applyFont="1" applyBorder="1" applyAlignment="1">
      <alignment horizontal="right"/>
    </xf>
    <xf numFmtId="0" fontId="0" fillId="5" borderId="4" xfId="0" applyFill="1" applyBorder="1" applyAlignment="1">
      <alignment horizontal="right"/>
    </xf>
    <xf numFmtId="38" fontId="0" fillId="2" borderId="4" xfId="1" applyFont="1" applyFill="1" applyBorder="1" applyAlignment="1">
      <alignment horizontal="right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181" fontId="0" fillId="0" borderId="0" xfId="0" applyNumberFormat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11" fillId="0" borderId="8" xfId="0" applyFont="1" applyBorder="1">
      <alignment vertical="center"/>
    </xf>
    <xf numFmtId="0" fontId="11" fillId="0" borderId="9" xfId="0" applyFont="1" applyBorder="1">
      <alignment vertical="center"/>
    </xf>
    <xf numFmtId="0" fontId="12" fillId="0" borderId="9" xfId="0" applyFont="1" applyBorder="1" applyAlignment="1">
      <alignment horizontal="center" vertical="center"/>
    </xf>
    <xf numFmtId="181" fontId="0" fillId="0" borderId="24" xfId="0" applyNumberFormat="1" applyBorder="1">
      <alignment vertical="center"/>
    </xf>
    <xf numFmtId="181" fontId="0" fillId="0" borderId="22" xfId="0" applyNumberFormat="1" applyBorder="1">
      <alignment vertical="center"/>
    </xf>
    <xf numFmtId="181" fontId="0" fillId="0" borderId="23" xfId="0" applyNumberFormat="1" applyBorder="1">
      <alignment vertical="center"/>
    </xf>
    <xf numFmtId="0" fontId="12" fillId="0" borderId="10" xfId="0" applyFont="1" applyBorder="1" applyAlignment="1">
      <alignment horizontal="center" vertical="center"/>
    </xf>
    <xf numFmtId="176" fontId="12" fillId="0" borderId="10" xfId="1" applyNumberFormat="1" applyFont="1" applyFill="1" applyBorder="1" applyAlignment="1">
      <alignment horizontal="center" vertical="center"/>
    </xf>
    <xf numFmtId="177" fontId="11" fillId="0" borderId="10" xfId="1" applyNumberFormat="1" applyFont="1" applyBorder="1">
      <alignment vertical="center"/>
    </xf>
    <xf numFmtId="38" fontId="11" fillId="0" borderId="11" xfId="1" applyFont="1" applyBorder="1">
      <alignment vertical="center"/>
    </xf>
    <xf numFmtId="181" fontId="0" fillId="0" borderId="12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17" xfId="0" applyNumberFormat="1" applyBorder="1">
      <alignment vertical="center"/>
    </xf>
  </cellXfs>
  <cellStyles count="3">
    <cellStyle name="桁区切り" xfId="1" builtinId="6"/>
    <cellStyle name="標準" xfId="0" builtinId="0"/>
    <cellStyle name="標準_販売実績_改" xfId="2" xr:uid="{00000000-0005-0000-0000-000002000000}"/>
  </cellStyles>
  <dxfs count="18">
    <dxf>
      <fill>
        <patternFill>
          <bgColor rgb="FFCCFFFF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55D3-30D1-49B5-BBF2-CE90A5EC4124}">
  <dimension ref="B3:M1032"/>
  <sheetViews>
    <sheetView tabSelected="1" workbookViewId="0">
      <selection activeCell="H2" sqref="H2"/>
    </sheetView>
  </sheetViews>
  <sheetFormatPr defaultRowHeight="13.2" x14ac:dyDescent="0.2"/>
  <cols>
    <col min="1" max="1" width="3.77734375" customWidth="1"/>
    <col min="2" max="2" width="5.5546875" bestFit="1" customWidth="1"/>
    <col min="3" max="3" width="40.109375" bestFit="1" customWidth="1"/>
    <col min="4" max="6" width="5.77734375" customWidth="1"/>
    <col min="7" max="7" width="41.44140625" customWidth="1"/>
    <col min="8" max="10" width="16.109375" customWidth="1"/>
  </cols>
  <sheetData>
    <row r="3" spans="2:13" ht="13.8" thickBot="1" x14ac:dyDescent="0.25"/>
    <row r="4" spans="2:13" ht="13.8" thickBot="1" x14ac:dyDescent="0.25">
      <c r="B4" s="214" t="s">
        <v>3477</v>
      </c>
      <c r="C4" s="215" t="s">
        <v>3475</v>
      </c>
      <c r="D4" s="215" t="s">
        <v>3474</v>
      </c>
      <c r="E4" s="215" t="s">
        <v>3473</v>
      </c>
      <c r="F4" s="215" t="s">
        <v>3472</v>
      </c>
      <c r="G4" s="216" t="s">
        <v>3478</v>
      </c>
      <c r="H4" s="216" t="s">
        <v>3883</v>
      </c>
      <c r="I4" s="216" t="s">
        <v>3884</v>
      </c>
      <c r="J4" s="220" t="s">
        <v>3916</v>
      </c>
      <c r="K4" s="221" t="s">
        <v>6</v>
      </c>
      <c r="L4" s="222" t="s">
        <v>14</v>
      </c>
      <c r="M4" s="223" t="s">
        <v>16</v>
      </c>
    </row>
    <row r="5" spans="2:13" x14ac:dyDescent="0.2">
      <c r="B5" s="212">
        <v>1</v>
      </c>
      <c r="C5" s="175" t="str">
        <f>薬品マスタリスト_20260130100542!A3</f>
        <v>アイファガン点眼液０．１％</v>
      </c>
      <c r="D5" s="175" t="str">
        <f>薬品マスタリスト_20260130100542!B3</f>
        <v>ｱｲﾌｧｶﾞﾝﾃﾝｶﾞﾝｴｷ0.1%</v>
      </c>
      <c r="E5" s="175">
        <f>薬品マスタリスト_20260130100542!C3</f>
        <v>21</v>
      </c>
      <c r="F5" s="213" t="str">
        <f>薬品マスタリスト_20260130100542!D3</f>
        <v>点眼剤</v>
      </c>
      <c r="G5" s="211" t="str">
        <f>match_results!C2</f>
        <v>アイファガン点眼０．１％</v>
      </c>
      <c r="H5" s="211">
        <f>match_results!D2</f>
        <v>93</v>
      </c>
      <c r="I5" s="217">
        <f>match_results!E2</f>
        <v>96</v>
      </c>
      <c r="J5" s="224"/>
      <c r="K5" s="199" t="str">
        <f ca="1">IF($J5="〇",OFFSET(集計!B$3,合体!$H5,0),"")</f>
        <v/>
      </c>
      <c r="L5" s="199" t="str">
        <f ca="1">IF($J5="〇",OFFSET(集計!C$3,合体!$H5,0),"")</f>
        <v/>
      </c>
      <c r="M5" s="200" t="str">
        <f ca="1">IF($J5="〇",OFFSET(集計!D$3,合体!$H5,0),"")</f>
        <v/>
      </c>
    </row>
    <row r="6" spans="2:13" x14ac:dyDescent="0.2">
      <c r="B6" s="201">
        <f>B5+1</f>
        <v>2</v>
      </c>
      <c r="C6" s="15" t="str">
        <f>薬品マスタリスト_20260130100542!A4</f>
        <v>アウィクリ注 フレックスタッチ 総量３００単位</v>
      </c>
      <c r="D6" s="15" t="str">
        <f>薬品マスタリスト_20260130100542!B4</f>
        <v>ｱｳｲｸﾘﾁﾕｳﾌﾚﾂｸｽﾀﾂﾁｿｳﾘﾖｳ300ﾀﾝｲ</v>
      </c>
      <c r="E6" s="15">
        <f>薬品マスタリスト_20260130100542!C4</f>
        <v>25</v>
      </c>
      <c r="F6" s="206" t="str">
        <f>薬品マスタリスト_20260130100542!D4</f>
        <v>注射剤</v>
      </c>
      <c r="G6" s="208" t="str">
        <f>match_results!C3</f>
        <v>トレシーバ注フレックスタッチ</v>
      </c>
      <c r="H6" s="208">
        <f>match_results!D3</f>
        <v>127</v>
      </c>
      <c r="I6" s="218">
        <f>match_results!E3</f>
        <v>48.648648648648603</v>
      </c>
      <c r="J6" s="225"/>
      <c r="K6" s="15" t="str">
        <f ca="1">IF($J6="〇",OFFSET(集計!B$3,合体!$H6,0),"")</f>
        <v/>
      </c>
      <c r="L6" s="15" t="str">
        <f ca="1">IF($J6="〇",OFFSET(集計!C$3,合体!$H6,0),"")</f>
        <v/>
      </c>
      <c r="M6" s="202" t="str">
        <f ca="1">IF($J6="〇",OFFSET(集計!D$3,合体!$H6,0),"")</f>
        <v/>
      </c>
    </row>
    <row r="7" spans="2:13" x14ac:dyDescent="0.2">
      <c r="B7" s="201">
        <f t="shared" ref="B7:B70" si="0">B6+1</f>
        <v>3</v>
      </c>
      <c r="C7" s="15" t="str">
        <f>薬品マスタリスト_20260130100542!A5</f>
        <v>亜鉛華軟膏「ニッコー」</v>
      </c>
      <c r="D7" s="15" t="str">
        <f>薬品マスタリスト_20260130100542!B5</f>
        <v>ｱｴﾝｶﾅﾝｺｳ｢ﾆｯｺｰ｣</v>
      </c>
      <c r="E7" s="15">
        <f>薬品マスタリスト_20260130100542!C5</f>
        <v>14</v>
      </c>
      <c r="F7" s="206" t="str">
        <f>薬品マスタリスト_20260130100542!D5</f>
        <v>軟膏</v>
      </c>
      <c r="G7" s="208" t="str">
        <f>match_results!C4</f>
        <v>亜鉛華軟膏　５００ｇ</v>
      </c>
      <c r="H7" s="208">
        <f>match_results!D4</f>
        <v>99</v>
      </c>
      <c r="I7" s="218">
        <f>match_results!E4</f>
        <v>47.619047619047599</v>
      </c>
      <c r="J7" s="225"/>
      <c r="K7" s="15" t="str">
        <f ca="1">IF($J7="〇",OFFSET(集計!B$3,合体!$H7,0),"")</f>
        <v/>
      </c>
      <c r="L7" s="15" t="str">
        <f ca="1">IF($J7="〇",OFFSET(集計!C$3,合体!$H7,0),"")</f>
        <v/>
      </c>
      <c r="M7" s="202" t="str">
        <f ca="1">IF($J7="〇",OFFSET(集計!D$3,合体!$H7,0),"")</f>
        <v/>
      </c>
    </row>
    <row r="8" spans="2:13" x14ac:dyDescent="0.2">
      <c r="B8" s="201">
        <f t="shared" si="0"/>
        <v>4</v>
      </c>
      <c r="C8" s="15" t="str">
        <f>薬品マスタリスト_20260130100542!A6</f>
        <v>アキネトン細粒１％</v>
      </c>
      <c r="D8" s="15" t="str">
        <f>薬品マスタリスト_20260130100542!B6</f>
        <v>ｱｷﾈﾄﾝｻｲﾘｭｳ1%</v>
      </c>
      <c r="E8" s="15">
        <f>薬品マスタリスト_20260130100542!C6</f>
        <v>3</v>
      </c>
      <c r="F8" s="206" t="str">
        <f>薬品マスタリスト_20260130100542!D6</f>
        <v>散</v>
      </c>
      <c r="G8" s="208" t="str">
        <f>match_results!C5</f>
        <v>アキネトン細粒１％</v>
      </c>
      <c r="H8" s="208">
        <f>match_results!D5</f>
        <v>1</v>
      </c>
      <c r="I8" s="218">
        <f>match_results!E5</f>
        <v>100</v>
      </c>
      <c r="J8" s="225" t="s">
        <v>3917</v>
      </c>
      <c r="K8" s="15">
        <f ca="1">IF($J8="〇",OFFSET(集計!B$3,合体!$H8,0),"")</f>
        <v>20.23</v>
      </c>
      <c r="L8" s="15">
        <f ca="1">IF($J8="〇",OFFSET(集計!C$3,合体!$H8,0),"")</f>
        <v>0</v>
      </c>
      <c r="M8" s="202">
        <f ca="1">IF($J8="〇",OFFSET(集計!D$3,合体!$H8,0),"")</f>
        <v>0</v>
      </c>
    </row>
    <row r="9" spans="2:13" x14ac:dyDescent="0.2">
      <c r="B9" s="201">
        <f t="shared" si="0"/>
        <v>5</v>
      </c>
      <c r="C9" s="15" t="str">
        <f>薬品マスタリスト_20260130100542!A7</f>
        <v>アキネトン注射液５ｍｇ</v>
      </c>
      <c r="D9" s="15" t="str">
        <f>薬品マスタリスト_20260130100542!B7</f>
        <v>ｱｷﾈﾄﾝﾁｭｳｼｬｴｷ5mg</v>
      </c>
      <c r="E9" s="15">
        <f>薬品マスタリスト_20260130100542!C7</f>
        <v>25</v>
      </c>
      <c r="F9" s="206" t="str">
        <f>薬品マスタリスト_20260130100542!D7</f>
        <v>注射剤</v>
      </c>
      <c r="G9" s="208" t="str">
        <f>match_results!C6</f>
        <v>アキネトン注射液５ｍｇ</v>
      </c>
      <c r="H9" s="208">
        <f>match_results!D6</f>
        <v>208</v>
      </c>
      <c r="I9" s="218">
        <f>match_results!E6</f>
        <v>100</v>
      </c>
      <c r="J9" s="225" t="s">
        <v>3917</v>
      </c>
      <c r="K9" s="15">
        <f ca="1">IF($J9="〇",OFFSET(集計!B$3,合体!$H9,0),"")</f>
        <v>52.6</v>
      </c>
      <c r="L9" s="15">
        <f ca="1">IF($J9="〇",OFFSET(集計!C$3,合体!$H9,0),"")</f>
        <v>57</v>
      </c>
      <c r="M9" s="202">
        <f ca="1">IF($J9="〇",OFFSET(集計!D$3,合体!$H9,0),"")</f>
        <v>2998.2000000000003</v>
      </c>
    </row>
    <row r="10" spans="2:13" x14ac:dyDescent="0.2">
      <c r="B10" s="201">
        <f t="shared" si="0"/>
        <v>6</v>
      </c>
      <c r="C10" s="15" t="str">
        <f>薬品マスタリスト_20260130100542!A8</f>
        <v>アクアチムクリーム１％</v>
      </c>
      <c r="D10" s="15" t="str">
        <f>薬品マスタリスト_20260130100542!B8</f>
        <v>ｱｸｱﾁﾑｸﾘｰﾑ1%</v>
      </c>
      <c r="E10" s="15">
        <f>薬品マスタリスト_20260130100542!C8</f>
        <v>15</v>
      </c>
      <c r="F10" s="206" t="str">
        <f>薬品マスタリスト_20260130100542!D8</f>
        <v>クリーム</v>
      </c>
      <c r="G10" s="208" t="str">
        <f>match_results!C7</f>
        <v>アクアチム　クリ－ム１％　１０ｇ／本</v>
      </c>
      <c r="H10" s="208">
        <f>match_results!D7</f>
        <v>204</v>
      </c>
      <c r="I10" s="218">
        <f>match_results!E7</f>
        <v>68.965517241379303</v>
      </c>
      <c r="J10" s="225"/>
      <c r="K10" s="15" t="str">
        <f ca="1">IF($J10="〇",OFFSET(集計!B$3,合体!$H10,0),"")</f>
        <v/>
      </c>
      <c r="L10" s="15" t="str">
        <f ca="1">IF($J10="〇",OFFSET(集計!C$3,合体!$H10,0),"")</f>
        <v/>
      </c>
      <c r="M10" s="202" t="str">
        <f ca="1">IF($J10="〇",OFFSET(集計!D$3,合体!$H10,0),"")</f>
        <v/>
      </c>
    </row>
    <row r="11" spans="2:13" x14ac:dyDescent="0.2">
      <c r="B11" s="201">
        <f t="shared" si="0"/>
        <v>7</v>
      </c>
      <c r="C11" s="15" t="str">
        <f>薬品マスタリスト_20260130100542!A9</f>
        <v>アクチット輸液</v>
      </c>
      <c r="D11" s="15" t="str">
        <f>薬品マスタリスト_20260130100542!B9</f>
        <v>ｱｸﾁﾂﾄﾕｴｷ</v>
      </c>
      <c r="E11" s="15">
        <f>薬品マスタリスト_20260130100542!C9</f>
        <v>25</v>
      </c>
      <c r="F11" s="206" t="str">
        <f>薬品マスタリスト_20260130100542!D9</f>
        <v>注射剤</v>
      </c>
      <c r="G11" s="208" t="str">
        <f>match_results!C8</f>
        <v>アクチット輸液</v>
      </c>
      <c r="H11" s="208">
        <f>match_results!D8</f>
        <v>235</v>
      </c>
      <c r="I11" s="218">
        <f>match_results!E8</f>
        <v>100</v>
      </c>
      <c r="J11" s="225" t="s">
        <v>3917</v>
      </c>
      <c r="K11" s="15">
        <f ca="1">IF($J11="〇",OFFSET(集計!B$3,合体!$H11,0),"")</f>
        <v>303.75</v>
      </c>
      <c r="L11" s="15">
        <f ca="1">IF($J11="〇",OFFSET(集計!C$3,合体!$H11,0),"")</f>
        <v>11</v>
      </c>
      <c r="M11" s="202">
        <f ca="1">IF($J11="〇",OFFSET(集計!D$3,合体!$H11,0),"")</f>
        <v>3341.25</v>
      </c>
    </row>
    <row r="12" spans="2:13" x14ac:dyDescent="0.2">
      <c r="B12" s="201">
        <f t="shared" si="0"/>
        <v>8</v>
      </c>
      <c r="C12" s="15" t="str">
        <f>薬品マスタリスト_20260130100542!A10</f>
        <v>アクトシン軟膏３％</v>
      </c>
      <c r="D12" s="15" t="str">
        <f>薬品マスタリスト_20260130100542!B10</f>
        <v>ｱｸﾄｼﾝﾅﾝｺｳ3%</v>
      </c>
      <c r="E12" s="15">
        <f>薬品マスタリスト_20260130100542!C10</f>
        <v>14</v>
      </c>
      <c r="F12" s="206" t="str">
        <f>薬品マスタリスト_20260130100542!D10</f>
        <v>軟膏</v>
      </c>
      <c r="G12" s="208" t="str">
        <f>match_results!C9</f>
        <v>アクトシン軟膏（３０ｇ）</v>
      </c>
      <c r="H12" s="208">
        <f>match_results!D9</f>
        <v>2</v>
      </c>
      <c r="I12" s="218">
        <f>match_results!E9</f>
        <v>76.190476190476105</v>
      </c>
      <c r="J12" s="225"/>
      <c r="K12" s="15" t="str">
        <f ca="1">IF($J12="〇",OFFSET(集計!B$3,合体!$H12,0),"")</f>
        <v/>
      </c>
      <c r="L12" s="15" t="str">
        <f ca="1">IF($J12="〇",OFFSET(集計!C$3,合体!$H12,0),"")</f>
        <v/>
      </c>
      <c r="M12" s="202" t="str">
        <f ca="1">IF($J12="〇",OFFSET(集計!D$3,合体!$H12,0),"")</f>
        <v/>
      </c>
    </row>
    <row r="13" spans="2:13" x14ac:dyDescent="0.2">
      <c r="B13" s="201">
        <f t="shared" si="0"/>
        <v>9</v>
      </c>
      <c r="C13" s="15" t="str">
        <f>薬品マスタリスト_20260130100542!A11</f>
        <v>アザルフィジンＥＮ錠５００ｍｇ</v>
      </c>
      <c r="D13" s="15" t="str">
        <f>薬品マスタリスト_20260130100542!B11</f>
        <v>ｱｻﾞﾙﾌｨｼﾞﾝENｼﾞｮｳ500mg</v>
      </c>
      <c r="E13" s="15">
        <f>薬品マスタリスト_20260130100542!C11</f>
        <v>1</v>
      </c>
      <c r="F13" s="206" t="str">
        <f>薬品マスタリスト_20260130100542!D11</f>
        <v>錠剤</v>
      </c>
      <c r="G13" s="208" t="str">
        <f>match_results!C10</f>
        <v>アザルフィジンＥＮ（５００）</v>
      </c>
      <c r="H13" s="208">
        <f>match_results!D10</f>
        <v>230</v>
      </c>
      <c r="I13" s="218">
        <f>match_results!E10</f>
        <v>82.758620689655103</v>
      </c>
      <c r="J13" s="225"/>
      <c r="K13" s="15" t="str">
        <f ca="1">IF($J13="〇",OFFSET(集計!B$3,合体!$H13,0),"")</f>
        <v/>
      </c>
      <c r="L13" s="15" t="str">
        <f ca="1">IF($J13="〇",OFFSET(集計!C$3,合体!$H13,0),"")</f>
        <v/>
      </c>
      <c r="M13" s="202" t="str">
        <f ca="1">IF($J13="〇",OFFSET(集計!D$3,合体!$H13,0),"")</f>
        <v/>
      </c>
    </row>
    <row r="14" spans="2:13" x14ac:dyDescent="0.2">
      <c r="B14" s="201">
        <f t="shared" si="0"/>
        <v>10</v>
      </c>
      <c r="C14" s="15" t="str">
        <f>薬品マスタリスト_20260130100542!A12</f>
        <v>アシクロビル点滴静注用２５０ｍｇ「サワイ」</v>
      </c>
      <c r="D14" s="15" t="str">
        <f>薬品マスタリスト_20260130100542!B12</f>
        <v>ｱｼｸﾛﾋﾞﾙﾃﾝﾃｷｼﾞｮｳﾁｭｳﾖｳ250mg｢ｻﾜｲ｣</v>
      </c>
      <c r="E14" s="15">
        <f>薬品マスタリスト_20260130100542!C12</f>
        <v>25</v>
      </c>
      <c r="F14" s="206" t="str">
        <f>薬品マスタリスト_20260130100542!D12</f>
        <v>注射剤</v>
      </c>
      <c r="G14" s="208" t="str">
        <f>match_results!C11</f>
        <v>アシクロビル点滴２５０ｍｇ</v>
      </c>
      <c r="H14" s="208">
        <f>match_results!D11</f>
        <v>579</v>
      </c>
      <c r="I14" s="218">
        <f>match_results!E11</f>
        <v>76.470588235294102</v>
      </c>
      <c r="J14" s="225"/>
      <c r="K14" s="15" t="str">
        <f ca="1">IF($J14="〇",OFFSET(集計!B$3,合体!$H14,0),"")</f>
        <v/>
      </c>
      <c r="L14" s="15" t="str">
        <f ca="1">IF($J14="〇",OFFSET(集計!C$3,合体!$H14,0),"")</f>
        <v/>
      </c>
      <c r="M14" s="202" t="str">
        <f ca="1">IF($J14="〇",OFFSET(集計!D$3,合体!$H14,0),"")</f>
        <v/>
      </c>
    </row>
    <row r="15" spans="2:13" x14ac:dyDescent="0.2">
      <c r="B15" s="201">
        <f t="shared" si="0"/>
        <v>11</v>
      </c>
      <c r="C15" s="15" t="str">
        <f>薬品マスタリスト_20260130100542!A13</f>
        <v>アジスロマイシン錠２５０ｍｇ「トーワ」</v>
      </c>
      <c r="D15" s="15" t="str">
        <f>薬品マスタリスト_20260130100542!B13</f>
        <v>ｱｼﾞｽﾛﾏｲｼﾝｼﾞｮｳ250mg｢ﾄｰﾜ｣</v>
      </c>
      <c r="E15" s="15">
        <f>薬品マスタリスト_20260130100542!C13</f>
        <v>1</v>
      </c>
      <c r="F15" s="206" t="str">
        <f>薬品マスタリスト_20260130100542!D13</f>
        <v>錠剤</v>
      </c>
      <c r="G15" s="208" t="str">
        <f>match_results!C12</f>
        <v>アジスロマイシン錠２５０ｍｇ</v>
      </c>
      <c r="H15" s="208">
        <f>match_results!D12</f>
        <v>331</v>
      </c>
      <c r="I15" s="218">
        <f>match_results!E12</f>
        <v>84.848484848484802</v>
      </c>
      <c r="J15" s="225"/>
      <c r="K15" s="15" t="str">
        <f ca="1">IF($J15="〇",OFFSET(集計!B$3,合体!$H15,0),"")</f>
        <v/>
      </c>
      <c r="L15" s="15" t="str">
        <f ca="1">IF($J15="〇",OFFSET(集計!C$3,合体!$H15,0),"")</f>
        <v/>
      </c>
      <c r="M15" s="202" t="str">
        <f ca="1">IF($J15="〇",OFFSET(集計!D$3,合体!$H15,0),"")</f>
        <v/>
      </c>
    </row>
    <row r="16" spans="2:13" x14ac:dyDescent="0.2">
      <c r="B16" s="201">
        <f t="shared" si="0"/>
        <v>12</v>
      </c>
      <c r="C16" s="15" t="str">
        <f>薬品マスタリスト_20260130100542!A14</f>
        <v>アジルバ錠１０ｍｇ</v>
      </c>
      <c r="D16" s="15" t="str">
        <f>薬品マスタリスト_20260130100542!B14</f>
        <v>ｱｼﾞﾙﾊﾞｼﾞｮｳ10mg</v>
      </c>
      <c r="E16" s="15">
        <f>薬品マスタリスト_20260130100542!C14</f>
        <v>1</v>
      </c>
      <c r="F16" s="206" t="str">
        <f>薬品マスタリスト_20260130100542!D14</f>
        <v>錠剤</v>
      </c>
      <c r="G16" s="208" t="str">
        <f>match_results!C13</f>
        <v>アジルバ（１０）</v>
      </c>
      <c r="H16" s="208">
        <f>match_results!D13</f>
        <v>231</v>
      </c>
      <c r="I16" s="218">
        <f>match_results!E13</f>
        <v>70.588235294117595</v>
      </c>
      <c r="J16" s="225"/>
      <c r="K16" s="15" t="str">
        <f ca="1">IF($J16="〇",OFFSET(集計!B$3,合体!$H16,0),"")</f>
        <v/>
      </c>
      <c r="L16" s="15" t="str">
        <f ca="1">IF($J16="〇",OFFSET(集計!C$3,合体!$H16,0),"")</f>
        <v/>
      </c>
      <c r="M16" s="202" t="str">
        <f ca="1">IF($J16="〇",OFFSET(集計!D$3,合体!$H16,0),"")</f>
        <v/>
      </c>
    </row>
    <row r="17" spans="2:13" x14ac:dyDescent="0.2">
      <c r="B17" s="201">
        <f t="shared" si="0"/>
        <v>13</v>
      </c>
      <c r="C17" s="15" t="str">
        <f>薬品マスタリスト_20260130100542!A15</f>
        <v>アジルバ錠２０ｍｇ</v>
      </c>
      <c r="D17" s="15" t="str">
        <f>薬品マスタリスト_20260130100542!B15</f>
        <v>ｱｼﾞﾙﾊﾞｼﾞｮｳ20mg</v>
      </c>
      <c r="E17" s="15">
        <f>薬品マスタリスト_20260130100542!C15</f>
        <v>1</v>
      </c>
      <c r="F17" s="206" t="str">
        <f>薬品マスタリスト_20260130100542!D15</f>
        <v>錠剤</v>
      </c>
      <c r="G17" s="208" t="str">
        <f>match_results!C14</f>
        <v>フラジール錠２５０ｍｇ</v>
      </c>
      <c r="H17" s="208">
        <f>match_results!D14</f>
        <v>85</v>
      </c>
      <c r="I17" s="218">
        <f>match_results!E14</f>
        <v>70</v>
      </c>
      <c r="J17" s="225"/>
      <c r="K17" s="15" t="str">
        <f ca="1">IF($J17="〇",OFFSET(集計!B$3,合体!$H17,0),"")</f>
        <v/>
      </c>
      <c r="L17" s="15" t="str">
        <f ca="1">IF($J17="〇",OFFSET(集計!C$3,合体!$H17,0),"")</f>
        <v/>
      </c>
      <c r="M17" s="202" t="str">
        <f ca="1">IF($J17="〇",OFFSET(集計!D$3,合体!$H17,0),"")</f>
        <v/>
      </c>
    </row>
    <row r="18" spans="2:13" x14ac:dyDescent="0.2">
      <c r="B18" s="201">
        <f t="shared" si="0"/>
        <v>14</v>
      </c>
      <c r="C18" s="15" t="str">
        <f>薬品マスタリスト_20260130100542!A16</f>
        <v>アジルサルタンＯＤ錠２０ｍｇ「サワイ」</v>
      </c>
      <c r="D18" s="15" t="str">
        <f>薬品マスタリスト_20260130100542!B16</f>
        <v>ｱｼﾞﾙｻﾙﾀﾝODｼﾞﾖｳ20MGｻﾜｲ</v>
      </c>
      <c r="E18" s="15">
        <f>薬品マスタリスト_20260130100542!C16</f>
        <v>1</v>
      </c>
      <c r="F18" s="206" t="str">
        <f>薬品マスタリスト_20260130100542!D16</f>
        <v>錠剤</v>
      </c>
      <c r="G18" s="208" t="str">
        <f>match_results!C15</f>
        <v>アジルサルタンＯＤ２０ｍｇ</v>
      </c>
      <c r="H18" s="208">
        <f>match_results!D15</f>
        <v>601</v>
      </c>
      <c r="I18" s="218">
        <f>match_results!E15</f>
        <v>81.25</v>
      </c>
      <c r="J18" s="225"/>
      <c r="K18" s="15" t="str">
        <f ca="1">IF($J18="〇",OFFSET(集計!B$3,合体!$H18,0),"")</f>
        <v/>
      </c>
      <c r="L18" s="15" t="str">
        <f ca="1">IF($J18="〇",OFFSET(集計!C$3,合体!$H18,0),"")</f>
        <v/>
      </c>
      <c r="M18" s="202" t="str">
        <f ca="1">IF($J18="〇",OFFSET(集計!D$3,合体!$H18,0),"")</f>
        <v/>
      </c>
    </row>
    <row r="19" spans="2:13" x14ac:dyDescent="0.2">
      <c r="B19" s="201">
        <f t="shared" si="0"/>
        <v>15</v>
      </c>
      <c r="C19" s="15" t="str">
        <f>薬品マスタリスト_20260130100542!A17</f>
        <v>アスコルビン酸注射液５００ｍｇ「日医工」</v>
      </c>
      <c r="D19" s="15" t="str">
        <f>薬品マスタリスト_20260130100542!B17</f>
        <v>ｱｽｺﾙﾋﾞﾝｻﾝﾁｭｳｼｬｴｷ500mg｢ﾆﾁｲｺｳ｣</v>
      </c>
      <c r="E19" s="15">
        <f>薬品マスタリスト_20260130100542!C17</f>
        <v>25</v>
      </c>
      <c r="F19" s="206" t="str">
        <f>薬品マスタリスト_20260130100542!D17</f>
        <v>注射剤</v>
      </c>
      <c r="G19" s="208" t="str">
        <f>match_results!C16</f>
        <v>アスコルビン酸注射液５００ｍｇ「トーワ」</v>
      </c>
      <c r="H19" s="208">
        <f>match_results!D16</f>
        <v>365</v>
      </c>
      <c r="I19" s="218">
        <f>match_results!E16</f>
        <v>85</v>
      </c>
      <c r="J19" s="225"/>
      <c r="K19" s="15" t="str">
        <f ca="1">IF($J19="〇",OFFSET(集計!B$3,合体!$H19,0),"")</f>
        <v/>
      </c>
      <c r="L19" s="15" t="str">
        <f ca="1">IF($J19="〇",OFFSET(集計!C$3,合体!$H19,0),"")</f>
        <v/>
      </c>
      <c r="M19" s="202" t="str">
        <f ca="1">IF($J19="〇",OFFSET(集計!D$3,合体!$H19,0),"")</f>
        <v/>
      </c>
    </row>
    <row r="20" spans="2:13" x14ac:dyDescent="0.2">
      <c r="B20" s="201">
        <f t="shared" si="0"/>
        <v>16</v>
      </c>
      <c r="C20" s="15" t="str">
        <f>薬品マスタリスト_20260130100542!A18</f>
        <v>アスコルビン酸注射液５００ｍｇ「トーワ」</v>
      </c>
      <c r="D20" s="15" t="str">
        <f>薬品マスタリスト_20260130100542!B18</f>
        <v>ｱｽｺﾙﾋﾞﾝｻﾝﾁﾕｳｼﾔｴｷ500MGﾄ-ﾜ</v>
      </c>
      <c r="E20" s="15">
        <f>薬品マスタリスト_20260130100542!C18</f>
        <v>25</v>
      </c>
      <c r="F20" s="206" t="str">
        <f>薬品マスタリスト_20260130100542!D18</f>
        <v>注射剤</v>
      </c>
      <c r="G20" s="208" t="str">
        <f>match_results!C17</f>
        <v>アスコルビン酸注射液５００ｍｇ「トーワ」</v>
      </c>
      <c r="H20" s="208">
        <f>match_results!D17</f>
        <v>365</v>
      </c>
      <c r="I20" s="218">
        <f>match_results!E17</f>
        <v>100</v>
      </c>
      <c r="J20" s="225" t="s">
        <v>3917</v>
      </c>
      <c r="K20" s="15">
        <f ca="1">IF($J20="〇",OFFSET(集計!B$3,合体!$H20,0),"")</f>
        <v>72.2</v>
      </c>
      <c r="L20" s="15">
        <f ca="1">IF($J20="〇",OFFSET(集計!C$3,合体!$H20,0),"")</f>
        <v>93</v>
      </c>
      <c r="M20" s="202">
        <f ca="1">IF($J20="〇",OFFSET(集計!D$3,合体!$H20,0),"")</f>
        <v>6714.6</v>
      </c>
    </row>
    <row r="21" spans="2:13" x14ac:dyDescent="0.2">
      <c r="B21" s="201">
        <f t="shared" si="0"/>
        <v>17</v>
      </c>
      <c r="C21" s="15" t="str">
        <f>薬品マスタリスト_20260130100542!A19</f>
        <v>アスコルビン酸注５００ｍｇ「イセイ」</v>
      </c>
      <c r="D21" s="15" t="str">
        <f>薬品マスタリスト_20260130100542!B19</f>
        <v>ｱｽｺﾙﾋﾞﾝｻﾝﾁﾕｳ500MGｲｾｲ</v>
      </c>
      <c r="E21" s="15">
        <f>薬品マスタリスト_20260130100542!C19</f>
        <v>25</v>
      </c>
      <c r="F21" s="206" t="str">
        <f>薬品マスタリスト_20260130100542!D19</f>
        <v>注射剤</v>
      </c>
      <c r="G21" s="208" t="str">
        <f>match_results!C18</f>
        <v>アスコルビン酸注射液５００ｍｇ「トーワ」</v>
      </c>
      <c r="H21" s="208">
        <f>match_results!D18</f>
        <v>365</v>
      </c>
      <c r="I21" s="218">
        <f>match_results!E18</f>
        <v>78.947368421052602</v>
      </c>
      <c r="J21" s="225"/>
      <c r="K21" s="15" t="str">
        <f ca="1">IF($J21="〇",OFFSET(集計!B$3,合体!$H21,0),"")</f>
        <v/>
      </c>
      <c r="L21" s="15" t="str">
        <f ca="1">IF($J21="〇",OFFSET(集計!C$3,合体!$H21,0),"")</f>
        <v/>
      </c>
      <c r="M21" s="202" t="str">
        <f ca="1">IF($J21="〇",OFFSET(集計!D$3,合体!$H21,0),"")</f>
        <v/>
      </c>
    </row>
    <row r="22" spans="2:13" x14ac:dyDescent="0.2">
      <c r="B22" s="201">
        <f t="shared" si="0"/>
        <v>18</v>
      </c>
      <c r="C22" s="15" t="str">
        <f>薬品マスタリスト_20260130100542!A20</f>
        <v>アズノールＳＴ錠口腔用５ｍｇ</v>
      </c>
      <c r="D22" s="15" t="str">
        <f>薬品マスタリスト_20260130100542!B20</f>
        <v>ｱｽﾞﾉｰﾙSTｼﾞｮｳｺｳｸｳﾖｳ5mg</v>
      </c>
      <c r="E22" s="15">
        <f>薬品マスタリスト_20260130100542!C20</f>
        <v>8</v>
      </c>
      <c r="F22" s="206" t="str">
        <f>薬品マスタリスト_20260130100542!D20</f>
        <v>トローチ</v>
      </c>
      <c r="G22" s="208" t="str">
        <f>match_results!C19</f>
        <v>プロタノールＳ錠１５ｍｇ</v>
      </c>
      <c r="H22" s="208">
        <f>match_results!D19</f>
        <v>301</v>
      </c>
      <c r="I22" s="218">
        <f>match_results!E19</f>
        <v>61.538461538461497</v>
      </c>
      <c r="J22" s="225"/>
      <c r="K22" s="15" t="str">
        <f ca="1">IF($J22="〇",OFFSET(集計!B$3,合体!$H22,0),"")</f>
        <v/>
      </c>
      <c r="L22" s="15" t="str">
        <f ca="1">IF($J22="〇",OFFSET(集計!C$3,合体!$H22,0),"")</f>
        <v/>
      </c>
      <c r="M22" s="202" t="str">
        <f ca="1">IF($J22="〇",OFFSET(集計!D$3,合体!$H22,0),"")</f>
        <v/>
      </c>
    </row>
    <row r="23" spans="2:13" x14ac:dyDescent="0.2">
      <c r="B23" s="201">
        <f t="shared" si="0"/>
        <v>19</v>
      </c>
      <c r="C23" s="15" t="str">
        <f>薬品マスタリスト_20260130100542!A21</f>
        <v>アズノール軟膏０．０３３％</v>
      </c>
      <c r="D23" s="15" t="str">
        <f>薬品マスタリスト_20260130100542!B21</f>
        <v>ｱｽﾞﾉｰﾙﾅﾝｺｳ0.033%</v>
      </c>
      <c r="E23" s="15">
        <f>薬品マスタリスト_20260130100542!C21</f>
        <v>14</v>
      </c>
      <c r="F23" s="206" t="str">
        <f>薬品マスタリスト_20260130100542!D21</f>
        <v>軟膏</v>
      </c>
      <c r="G23" s="208" t="str">
        <f>match_results!C20</f>
        <v>アズノール軟膏　２０ｇ／本</v>
      </c>
      <c r="H23" s="208">
        <f>match_results!D20</f>
        <v>330</v>
      </c>
      <c r="I23" s="218">
        <f>match_results!E20</f>
        <v>61.538461538461497</v>
      </c>
      <c r="J23" s="225"/>
      <c r="K23" s="15" t="str">
        <f ca="1">IF($J23="〇",OFFSET(集計!B$3,合体!$H23,0),"")</f>
        <v/>
      </c>
      <c r="L23" s="15" t="str">
        <f ca="1">IF($J23="〇",OFFSET(集計!C$3,合体!$H23,0),"")</f>
        <v/>
      </c>
      <c r="M23" s="202" t="str">
        <f ca="1">IF($J23="〇",OFFSET(集計!D$3,合体!$H23,0),"")</f>
        <v/>
      </c>
    </row>
    <row r="24" spans="2:13" x14ac:dyDescent="0.2">
      <c r="B24" s="201">
        <f t="shared" si="0"/>
        <v>20</v>
      </c>
      <c r="C24" s="15" t="str">
        <f>薬品マスタリスト_20260130100542!A22</f>
        <v>アズノール錠２ｍｇ</v>
      </c>
      <c r="D24" s="15" t="str">
        <f>薬品マスタリスト_20260130100542!B22</f>
        <v>ｱｽﾞﾉ-ﾙｼﾞﾖｳ2MG</v>
      </c>
      <c r="E24" s="15">
        <f>薬品マスタリスト_20260130100542!C22</f>
        <v>1</v>
      </c>
      <c r="F24" s="206" t="str">
        <f>薬品マスタリスト_20260130100542!D22</f>
        <v>錠剤</v>
      </c>
      <c r="G24" s="208" t="str">
        <f>match_results!C21</f>
        <v>アナフラニール錠２５ｍｇ　</v>
      </c>
      <c r="H24" s="208">
        <f>match_results!D21</f>
        <v>157</v>
      </c>
      <c r="I24" s="218">
        <f>match_results!E21</f>
        <v>66.6666666666666</v>
      </c>
      <c r="J24" s="225"/>
      <c r="K24" s="15" t="str">
        <f ca="1">IF($J24="〇",OFFSET(集計!B$3,合体!$H24,0),"")</f>
        <v/>
      </c>
      <c r="L24" s="15" t="str">
        <f ca="1">IF($J24="〇",OFFSET(集計!C$3,合体!$H24,0),"")</f>
        <v/>
      </c>
      <c r="M24" s="202" t="str">
        <f ca="1">IF($J24="〇",OFFSET(集計!D$3,合体!$H24,0),"")</f>
        <v/>
      </c>
    </row>
    <row r="25" spans="2:13" x14ac:dyDescent="0.2">
      <c r="B25" s="201">
        <f t="shared" si="0"/>
        <v>21</v>
      </c>
      <c r="C25" s="15" t="str">
        <f>薬品マスタリスト_20260130100542!A23</f>
        <v>アスパラ－ＣＡ錠２００</v>
      </c>
      <c r="D25" s="15" t="str">
        <f>薬品マスタリスト_20260130100542!B23</f>
        <v>ｱｽﾊﾟﾗ-CAｼﾞｮｳ200</v>
      </c>
      <c r="E25" s="15">
        <f>薬品マスタリスト_20260130100542!C23</f>
        <v>1</v>
      </c>
      <c r="F25" s="206" t="str">
        <f>薬品マスタリスト_20260130100542!D23</f>
        <v>錠剤</v>
      </c>
      <c r="G25" s="208" t="str">
        <f>match_results!C22</f>
        <v>アスパラＣＡ錠２００ｍｇ</v>
      </c>
      <c r="H25" s="208">
        <f>match_results!D22</f>
        <v>355</v>
      </c>
      <c r="I25" s="218">
        <f>match_results!E22</f>
        <v>86.956521739130395</v>
      </c>
      <c r="J25" s="225"/>
      <c r="K25" s="15" t="str">
        <f ca="1">IF($J25="〇",OFFSET(集計!B$3,合体!$H25,0),"")</f>
        <v/>
      </c>
      <c r="L25" s="15" t="str">
        <f ca="1">IF($J25="〇",OFFSET(集計!C$3,合体!$H25,0),"")</f>
        <v/>
      </c>
      <c r="M25" s="202" t="str">
        <f ca="1">IF($J25="〇",OFFSET(集計!D$3,合体!$H25,0),"")</f>
        <v/>
      </c>
    </row>
    <row r="26" spans="2:13" x14ac:dyDescent="0.2">
      <c r="B26" s="201">
        <f t="shared" si="0"/>
        <v>22</v>
      </c>
      <c r="C26" s="15" t="str">
        <f>薬品マスタリスト_20260130100542!A24</f>
        <v>アスパラカリウム錠３００ｍｇ</v>
      </c>
      <c r="D26" s="15" t="str">
        <f>薬品マスタリスト_20260130100542!B24</f>
        <v>ｱｽﾊﾟﾗｶﾘｳﾑｼﾞｮｳ300mg</v>
      </c>
      <c r="E26" s="15">
        <f>薬品マスタリスト_20260130100542!C24</f>
        <v>1</v>
      </c>
      <c r="F26" s="206" t="str">
        <f>薬品マスタリスト_20260130100542!D24</f>
        <v>錠剤</v>
      </c>
      <c r="G26" s="208" t="str">
        <f>match_results!C23</f>
        <v>アスパラカリウム錠３００ｍｇ</v>
      </c>
      <c r="H26" s="208">
        <f>match_results!D23</f>
        <v>309</v>
      </c>
      <c r="I26" s="218">
        <f>match_results!E23</f>
        <v>100</v>
      </c>
      <c r="J26" s="225" t="s">
        <v>3917</v>
      </c>
      <c r="K26" s="15">
        <f ca="1">IF($J26="〇",OFFSET(集計!B$3,合体!$H26,0),"")</f>
        <v>5.26</v>
      </c>
      <c r="L26" s="15">
        <f ca="1">IF($J26="〇",OFFSET(集計!C$3,合体!$H26,0),"")</f>
        <v>920</v>
      </c>
      <c r="M26" s="202">
        <f ca="1">IF($J26="〇",OFFSET(集計!D$3,合体!$H26,0),"")</f>
        <v>4839.2</v>
      </c>
    </row>
    <row r="27" spans="2:13" x14ac:dyDescent="0.2">
      <c r="B27" s="201">
        <f t="shared" si="0"/>
        <v>23</v>
      </c>
      <c r="C27" s="15" t="str">
        <f>薬品マスタリスト_20260130100542!A25</f>
        <v>アスパラカリウム散５０％</v>
      </c>
      <c r="D27" s="15" t="str">
        <f>薬品マスタリスト_20260130100542!B25</f>
        <v>ｱｽﾊﾟﾗｶﾘｳﾑｻﾝ50%</v>
      </c>
      <c r="E27" s="15">
        <f>薬品マスタリスト_20260130100542!C25</f>
        <v>3</v>
      </c>
      <c r="F27" s="206" t="str">
        <f>薬品マスタリスト_20260130100542!D25</f>
        <v>散</v>
      </c>
      <c r="G27" s="208" t="str">
        <f>match_results!C24</f>
        <v>アスパラカリウム散５０％</v>
      </c>
      <c r="H27" s="208">
        <f>match_results!D24</f>
        <v>227</v>
      </c>
      <c r="I27" s="218">
        <f>match_results!E24</f>
        <v>100</v>
      </c>
      <c r="J27" s="225" t="s">
        <v>3917</v>
      </c>
      <c r="K27" s="15">
        <f ca="1">IF($J27="〇",OFFSET(集計!B$3,合体!$H27,0),"")</f>
        <v>5.79</v>
      </c>
      <c r="L27" s="15">
        <f ca="1">IF($J27="〇",OFFSET(集計!C$3,合体!$H27,0),"")</f>
        <v>557</v>
      </c>
      <c r="M27" s="202">
        <f ca="1">IF($J27="〇",OFFSET(集計!D$3,合体!$H27,0),"")</f>
        <v>3225.03</v>
      </c>
    </row>
    <row r="28" spans="2:13" x14ac:dyDescent="0.2">
      <c r="B28" s="201">
        <f t="shared" si="0"/>
        <v>24</v>
      </c>
      <c r="C28" s="15" t="str">
        <f>薬品マスタリスト_20260130100542!A26</f>
        <v>アスパラギン酸カリウム注１０ｍＥｑキット「テルモ」</v>
      </c>
      <c r="D28" s="15" t="str">
        <f>薬品マスタリスト_20260130100542!B26</f>
        <v>ｱｽﾊﾟﾗｷﾞﾝｻﾝｶﾘｳﾑﾁｭｳ10mEqｷｯﾄ｢ﾃﾙﾓ｣</v>
      </c>
      <c r="E28" s="15">
        <f>薬品マスタリスト_20260130100542!C26</f>
        <v>25</v>
      </c>
      <c r="F28" s="206" t="str">
        <f>薬品マスタリスト_20260130100542!D26</f>
        <v>注射剤</v>
      </c>
      <c r="G28" s="208" t="str">
        <f>match_results!C25</f>
        <v>アスパラギンサンカリウム注１０ＭＥＱキット「テル</v>
      </c>
      <c r="H28" s="208">
        <f>match_results!D25</f>
        <v>219</v>
      </c>
      <c r="I28" s="218">
        <f>match_results!E25</f>
        <v>81.632653061224403</v>
      </c>
      <c r="J28" s="225"/>
      <c r="K28" s="15" t="str">
        <f ca="1">IF($J28="〇",OFFSET(集計!B$3,合体!$H28,0),"")</f>
        <v/>
      </c>
      <c r="L28" s="15" t="str">
        <f ca="1">IF($J28="〇",OFFSET(集計!C$3,合体!$H28,0),"")</f>
        <v/>
      </c>
      <c r="M28" s="202" t="str">
        <f ca="1">IF($J28="〇",OFFSET(集計!D$3,合体!$H28,0),"")</f>
        <v/>
      </c>
    </row>
    <row r="29" spans="2:13" x14ac:dyDescent="0.2">
      <c r="B29" s="201">
        <f t="shared" si="0"/>
        <v>25</v>
      </c>
      <c r="C29" s="15" t="str">
        <f>薬品マスタリスト_20260130100542!A27</f>
        <v>アズレン点眼液０．０２％「ニットー」</v>
      </c>
      <c r="D29" s="15" t="str">
        <f>薬品マスタリスト_20260130100542!B27</f>
        <v>ｱｽﾞﾚﾝﾃﾝｶﾞﾝｴｷ0.02%｢ﾆｯﾄｰ｣</v>
      </c>
      <c r="E29" s="15">
        <f>薬品マスタリスト_20260130100542!C27</f>
        <v>21</v>
      </c>
      <c r="F29" s="206" t="str">
        <f>薬品マスタリスト_20260130100542!D27</f>
        <v>点眼剤</v>
      </c>
      <c r="G29" s="208" t="str">
        <f>match_results!C26</f>
        <v>アズレン点眼液</v>
      </c>
      <c r="H29" s="208">
        <f>match_results!D26</f>
        <v>106</v>
      </c>
      <c r="I29" s="218">
        <f>match_results!E26</f>
        <v>56</v>
      </c>
      <c r="J29" s="225"/>
      <c r="K29" s="15" t="str">
        <f ca="1">IF($J29="〇",OFFSET(集計!B$3,合体!$H29,0),"")</f>
        <v/>
      </c>
      <c r="L29" s="15" t="str">
        <f ca="1">IF($J29="〇",OFFSET(集計!C$3,合体!$H29,0),"")</f>
        <v/>
      </c>
      <c r="M29" s="202" t="str">
        <f ca="1">IF($J29="〇",OFFSET(集計!D$3,合体!$H29,0),"")</f>
        <v/>
      </c>
    </row>
    <row r="30" spans="2:13" x14ac:dyDescent="0.2">
      <c r="B30" s="201">
        <f t="shared" si="0"/>
        <v>26</v>
      </c>
      <c r="C30" s="15" t="str">
        <f>薬品マスタリスト_20260130100542!A28</f>
        <v>アズレン点眼液わかもと</v>
      </c>
      <c r="D30" s="15" t="str">
        <f>薬品マスタリスト_20260130100542!B28</f>
        <v>ｱｽﾞﾚﾝﾃﾝｶﾞﾝｴｷﾜｶﾓﾄ</v>
      </c>
      <c r="E30" s="15">
        <f>薬品マスタリスト_20260130100542!C28</f>
        <v>21</v>
      </c>
      <c r="F30" s="206" t="str">
        <f>薬品マスタリスト_20260130100542!D28</f>
        <v>点眼剤</v>
      </c>
      <c r="G30" s="208" t="str">
        <f>match_results!C27</f>
        <v>アズレン点眼液</v>
      </c>
      <c r="H30" s="208">
        <f>match_results!D27</f>
        <v>106</v>
      </c>
      <c r="I30" s="218">
        <f>match_results!E27</f>
        <v>77.7777777777777</v>
      </c>
      <c r="J30" s="225"/>
      <c r="K30" s="15" t="str">
        <f ca="1">IF($J30="〇",OFFSET(集計!B$3,合体!$H30,0),"")</f>
        <v/>
      </c>
      <c r="L30" s="15" t="str">
        <f ca="1">IF($J30="〇",OFFSET(集計!C$3,合体!$H30,0),"")</f>
        <v/>
      </c>
      <c r="M30" s="202" t="str">
        <f ca="1">IF($J30="〇",OFFSET(集計!D$3,合体!$H30,0),"")</f>
        <v/>
      </c>
    </row>
    <row r="31" spans="2:13" x14ac:dyDescent="0.2">
      <c r="B31" s="201">
        <f t="shared" si="0"/>
        <v>27</v>
      </c>
      <c r="C31" s="15" t="str">
        <f>薬品マスタリスト_20260130100542!A29</f>
        <v>アセリオ静注液１０００ｍｇバッグ</v>
      </c>
      <c r="D31" s="15" t="str">
        <f>薬品マスタリスト_20260130100542!B29</f>
        <v>ｱｾﾘｵｼﾞｮｳﾁｭｳｴｷ1000mgﾊﾞｯｸﾞ</v>
      </c>
      <c r="E31" s="15">
        <f>薬品マスタリスト_20260130100542!C29</f>
        <v>25</v>
      </c>
      <c r="F31" s="206" t="str">
        <f>薬品マスタリスト_20260130100542!D29</f>
        <v>注射剤</v>
      </c>
      <c r="G31" s="208" t="str">
        <f>match_results!C28</f>
        <v>アセリオ靜注液１０００ｍｇバッグ</v>
      </c>
      <c r="H31" s="208">
        <f>match_results!D28</f>
        <v>322</v>
      </c>
      <c r="I31" s="218">
        <f>match_results!E28</f>
        <v>93.75</v>
      </c>
      <c r="J31" s="225"/>
      <c r="K31" s="15" t="str">
        <f ca="1">IF($J31="〇",OFFSET(集計!B$3,合体!$H31,0),"")</f>
        <v/>
      </c>
      <c r="L31" s="15" t="str">
        <f ca="1">IF($J31="〇",OFFSET(集計!C$3,合体!$H31,0),"")</f>
        <v/>
      </c>
      <c r="M31" s="202" t="str">
        <f ca="1">IF($J31="〇",OFFSET(集計!D$3,合体!$H31,0),"")</f>
        <v/>
      </c>
    </row>
    <row r="32" spans="2:13" x14ac:dyDescent="0.2">
      <c r="B32" s="201">
        <f t="shared" si="0"/>
        <v>28</v>
      </c>
      <c r="C32" s="15" t="str">
        <f>薬品マスタリスト_20260130100542!A30</f>
        <v>アセレンド注１００μｇ</v>
      </c>
      <c r="D32" s="15" t="str">
        <f>薬品マスタリスト_20260130100542!B30</f>
        <v>ｱｾﾚﾝﾄﾞﾁｭｳ100μg</v>
      </c>
      <c r="E32" s="15">
        <f>薬品マスタリスト_20260130100542!C30</f>
        <v>25</v>
      </c>
      <c r="F32" s="206" t="str">
        <f>薬品マスタリスト_20260130100542!D30</f>
        <v>注射剤</v>
      </c>
      <c r="G32" s="208" t="str">
        <f>match_results!C29</f>
        <v>アセレンド注</v>
      </c>
      <c r="H32" s="208">
        <f>match_results!D29</f>
        <v>292</v>
      </c>
      <c r="I32" s="218">
        <f>match_results!E29</f>
        <v>70.588235294117595</v>
      </c>
      <c r="J32" s="225"/>
      <c r="K32" s="15" t="str">
        <f ca="1">IF($J32="〇",OFFSET(集計!B$3,合体!$H32,0),"")</f>
        <v/>
      </c>
      <c r="L32" s="15" t="str">
        <f ca="1">IF($J32="〇",OFFSET(集計!C$3,合体!$H32,0),"")</f>
        <v/>
      </c>
      <c r="M32" s="202" t="str">
        <f ca="1">IF($J32="〇",OFFSET(集計!D$3,合体!$H32,0),"")</f>
        <v/>
      </c>
    </row>
    <row r="33" spans="2:13" x14ac:dyDescent="0.2">
      <c r="B33" s="201">
        <f t="shared" si="0"/>
        <v>29</v>
      </c>
      <c r="C33" s="15" t="str">
        <f>薬品マスタリスト_20260130100542!A31</f>
        <v>アゾセミド錠３０ｍｇ「ＪＧ」</v>
      </c>
      <c r="D33" s="15" t="str">
        <f>薬品マスタリスト_20260130100542!B31</f>
        <v>ｱｿﾞｾﾐﾄﾞｼﾞｮｳ30mg｢JG｣</v>
      </c>
      <c r="E33" s="15">
        <f>薬品マスタリスト_20260130100542!C31</f>
        <v>1</v>
      </c>
      <c r="F33" s="206" t="str">
        <f>薬品マスタリスト_20260130100542!D31</f>
        <v>錠剤</v>
      </c>
      <c r="G33" s="208" t="str">
        <f>match_results!C30</f>
        <v>アゾセミド錠６０ｍｇ</v>
      </c>
      <c r="H33" s="208">
        <f>match_results!D30</f>
        <v>81</v>
      </c>
      <c r="I33" s="218">
        <f>match_results!E30</f>
        <v>75</v>
      </c>
      <c r="J33" s="225"/>
      <c r="K33" s="15" t="str">
        <f ca="1">IF($J33="〇",OFFSET(集計!B$3,合体!$H33,0),"")</f>
        <v/>
      </c>
      <c r="L33" s="15" t="str">
        <f ca="1">IF($J33="〇",OFFSET(集計!C$3,合体!$H33,0),"")</f>
        <v/>
      </c>
      <c r="M33" s="202" t="str">
        <f ca="1">IF($J33="〇",OFFSET(集計!D$3,合体!$H33,0),"")</f>
        <v/>
      </c>
    </row>
    <row r="34" spans="2:13" x14ac:dyDescent="0.2">
      <c r="B34" s="201">
        <f t="shared" si="0"/>
        <v>30</v>
      </c>
      <c r="C34" s="15" t="str">
        <f>薬品マスタリスト_20260130100542!A32</f>
        <v>アゾセミド錠３０ｍｇ「ＤＳＥＰ」</v>
      </c>
      <c r="D34" s="15" t="str">
        <f>薬品マスタリスト_20260130100542!B32</f>
        <v>ｱｿﾞｾﾐﾄﾞｼﾞｮｳ30mg｢DSEP｣</v>
      </c>
      <c r="E34" s="15">
        <f>薬品マスタリスト_20260130100542!C32</f>
        <v>1</v>
      </c>
      <c r="F34" s="206" t="str">
        <f>薬品マスタリスト_20260130100542!D32</f>
        <v>錠剤</v>
      </c>
      <c r="G34" s="208" t="str">
        <f>match_results!C31</f>
        <v>アゾセミド錠６０ｍｇ</v>
      </c>
      <c r="H34" s="208">
        <f>match_results!D31</f>
        <v>81</v>
      </c>
      <c r="I34" s="218">
        <f>match_results!E31</f>
        <v>69.230769230769198</v>
      </c>
      <c r="J34" s="225"/>
      <c r="K34" s="15" t="str">
        <f ca="1">IF($J34="〇",OFFSET(集計!B$3,合体!$H34,0),"")</f>
        <v/>
      </c>
      <c r="L34" s="15" t="str">
        <f ca="1">IF($J34="〇",OFFSET(集計!C$3,合体!$H34,0),"")</f>
        <v/>
      </c>
      <c r="M34" s="202" t="str">
        <f ca="1">IF($J34="〇",OFFSET(集計!D$3,合体!$H34,0),"")</f>
        <v/>
      </c>
    </row>
    <row r="35" spans="2:13" x14ac:dyDescent="0.2">
      <c r="B35" s="201">
        <f t="shared" si="0"/>
        <v>31</v>
      </c>
      <c r="C35" s="15" t="str">
        <f>薬品マスタリスト_20260130100542!A33</f>
        <v>アゾセミド錠６０ｍｇ「ＤＳＥＰ」</v>
      </c>
      <c r="D35" s="15" t="str">
        <f>薬品マスタリスト_20260130100542!B33</f>
        <v>ｱｿﾞｾﾐﾄﾞｼﾞｮｳ60mg｢DSEP｣</v>
      </c>
      <c r="E35" s="15">
        <f>薬品マスタリスト_20260130100542!C33</f>
        <v>1</v>
      </c>
      <c r="F35" s="206" t="str">
        <f>薬品マスタリスト_20260130100542!D33</f>
        <v>錠剤</v>
      </c>
      <c r="G35" s="208" t="str">
        <f>match_results!C32</f>
        <v>アゾセミド錠６０ｍｇ</v>
      </c>
      <c r="H35" s="208">
        <f>match_results!D32</f>
        <v>81</v>
      </c>
      <c r="I35" s="218">
        <f>match_results!E32</f>
        <v>76.923076923076906</v>
      </c>
      <c r="J35" s="225"/>
      <c r="K35" s="15" t="str">
        <f ca="1">IF($J35="〇",OFFSET(集計!B$3,合体!$H35,0),"")</f>
        <v/>
      </c>
      <c r="L35" s="15" t="str">
        <f ca="1">IF($J35="〇",OFFSET(集計!C$3,合体!$H35,0),"")</f>
        <v/>
      </c>
      <c r="M35" s="202" t="str">
        <f ca="1">IF($J35="〇",OFFSET(集計!D$3,合体!$H35,0),"")</f>
        <v/>
      </c>
    </row>
    <row r="36" spans="2:13" x14ac:dyDescent="0.2">
      <c r="B36" s="201">
        <f t="shared" si="0"/>
        <v>32</v>
      </c>
      <c r="C36" s="15" t="str">
        <f>薬品マスタリスト_20260130100542!A34</f>
        <v>アタラックス錠２５ｍｇ</v>
      </c>
      <c r="D36" s="15" t="str">
        <f>薬品マスタリスト_20260130100542!B34</f>
        <v>ｱﾀﾗｯｸｽｼﾞｮｳ25mg</v>
      </c>
      <c r="E36" s="15">
        <f>薬品マスタリスト_20260130100542!C34</f>
        <v>1</v>
      </c>
      <c r="F36" s="206" t="str">
        <f>薬品マスタリスト_20260130100542!D34</f>
        <v>錠剤</v>
      </c>
      <c r="G36" s="208" t="str">
        <f>match_results!C33</f>
        <v>アタラックス錠２５ＭＧ</v>
      </c>
      <c r="H36" s="208">
        <f>match_results!D33</f>
        <v>274</v>
      </c>
      <c r="I36" s="218">
        <f>match_results!E33</f>
        <v>81.818181818181799</v>
      </c>
      <c r="J36" s="225"/>
      <c r="K36" s="15" t="str">
        <f ca="1">IF($J36="〇",OFFSET(集計!B$3,合体!$H36,0),"")</f>
        <v/>
      </c>
      <c r="L36" s="15" t="str">
        <f ca="1">IF($J36="〇",OFFSET(集計!C$3,合体!$H36,0),"")</f>
        <v/>
      </c>
      <c r="M36" s="202" t="str">
        <f ca="1">IF($J36="〇",OFFSET(集計!D$3,合体!$H36,0),"")</f>
        <v/>
      </c>
    </row>
    <row r="37" spans="2:13" x14ac:dyDescent="0.2">
      <c r="B37" s="201">
        <f t="shared" si="0"/>
        <v>33</v>
      </c>
      <c r="C37" s="15" t="str">
        <f>薬品マスタリスト_20260130100542!A35</f>
        <v>アダラートＣＲ錠２０ｍｇ</v>
      </c>
      <c r="D37" s="15" t="str">
        <f>薬品マスタリスト_20260130100542!B35</f>
        <v>ｱﾀﾞﾗｰﾄCRｼﾞｮｳ20mg</v>
      </c>
      <c r="E37" s="15">
        <f>薬品マスタリスト_20260130100542!C35</f>
        <v>1</v>
      </c>
      <c r="F37" s="206" t="str">
        <f>薬品マスタリスト_20260130100542!D35</f>
        <v>錠剤</v>
      </c>
      <c r="G37" s="208" t="str">
        <f>match_results!C34</f>
        <v>アダラートＣＲ錠２０ｍｇ</v>
      </c>
      <c r="H37" s="208">
        <f>match_results!D34</f>
        <v>114</v>
      </c>
      <c r="I37" s="218">
        <f>match_results!E34</f>
        <v>100</v>
      </c>
      <c r="J37" s="225" t="s">
        <v>3917</v>
      </c>
      <c r="K37" s="15">
        <f ca="1">IF($J37="〇",OFFSET(集計!B$3,合体!$H37,0),"")</f>
        <v>13.28</v>
      </c>
      <c r="L37" s="15">
        <f ca="1">IF($J37="〇",OFFSET(集計!C$3,合体!$H37,0),"")</f>
        <v>120</v>
      </c>
      <c r="M37" s="202">
        <f ca="1">IF($J37="〇",OFFSET(集計!D$3,合体!$H37,0),"")</f>
        <v>1593.6</v>
      </c>
    </row>
    <row r="38" spans="2:13" x14ac:dyDescent="0.2">
      <c r="B38" s="201">
        <f t="shared" si="0"/>
        <v>34</v>
      </c>
      <c r="C38" s="15" t="str">
        <f>薬品マスタリスト_20260130100542!A36</f>
        <v>アーチスト錠１．２５ｍｇ</v>
      </c>
      <c r="D38" s="15" t="str">
        <f>薬品マスタリスト_20260130100542!B36</f>
        <v>ｱｰﾁｽﾄｼﾞｮｳ1.25mg</v>
      </c>
      <c r="E38" s="15">
        <f>薬品マスタリスト_20260130100542!C36</f>
        <v>1</v>
      </c>
      <c r="F38" s="206" t="str">
        <f>薬品マスタリスト_20260130100542!D36</f>
        <v>錠剤</v>
      </c>
      <c r="G38" s="208" t="str">
        <f>match_results!C35</f>
        <v>ア－チスト錠１．２５ｍｇ</v>
      </c>
      <c r="H38" s="208">
        <f>match_results!D35</f>
        <v>169</v>
      </c>
      <c r="I38" s="218">
        <f>match_results!E35</f>
        <v>91.6666666666666</v>
      </c>
      <c r="J38" s="225"/>
      <c r="K38" s="15" t="str">
        <f ca="1">IF($J38="〇",OFFSET(集計!B$3,合体!$H38,0),"")</f>
        <v/>
      </c>
      <c r="L38" s="15" t="str">
        <f ca="1">IF($J38="〇",OFFSET(集計!C$3,合体!$H38,0),"")</f>
        <v/>
      </c>
      <c r="M38" s="202" t="str">
        <f ca="1">IF($J38="〇",OFFSET(集計!D$3,合体!$H38,0),"")</f>
        <v/>
      </c>
    </row>
    <row r="39" spans="2:13" x14ac:dyDescent="0.2">
      <c r="B39" s="201">
        <f t="shared" si="0"/>
        <v>35</v>
      </c>
      <c r="C39" s="15" t="str">
        <f>薬品マスタリスト_20260130100542!A37</f>
        <v>アドエア５００ディスカス６０吸入用</v>
      </c>
      <c r="D39" s="15" t="str">
        <f>薬品マスタリスト_20260130100542!B37</f>
        <v>ｱﾄﾞｴｱ500ﾃﾞｨｽｶｽ60ｷｭｳﾆｭｳﾖｳ</v>
      </c>
      <c r="E39" s="15">
        <f>薬品マスタリスト_20260130100542!C37</f>
        <v>10</v>
      </c>
      <c r="F39" s="206" t="str">
        <f>薬品マスタリスト_20260130100542!D37</f>
        <v>吸入剤</v>
      </c>
      <c r="G39" s="208" t="str">
        <f>match_results!C36</f>
        <v>アドエア５００ディスカス６０吸入用　６０ブリスターＸ１</v>
      </c>
      <c r="H39" s="208">
        <f>match_results!D36</f>
        <v>390</v>
      </c>
      <c r="I39" s="218">
        <f>match_results!E36</f>
        <v>77.272727272727195</v>
      </c>
      <c r="J39" s="225"/>
      <c r="K39" s="15" t="str">
        <f ca="1">IF($J39="〇",OFFSET(集計!B$3,合体!$H39,0),"")</f>
        <v/>
      </c>
      <c r="L39" s="15" t="str">
        <f ca="1">IF($J39="〇",OFFSET(集計!C$3,合体!$H39,0),"")</f>
        <v/>
      </c>
      <c r="M39" s="202" t="str">
        <f ca="1">IF($J39="〇",OFFSET(集計!D$3,合体!$H39,0),"")</f>
        <v/>
      </c>
    </row>
    <row r="40" spans="2:13" x14ac:dyDescent="0.2">
      <c r="B40" s="201">
        <f t="shared" si="0"/>
        <v>36</v>
      </c>
      <c r="C40" s="15" t="str">
        <f>薬品マスタリスト_20260130100542!A38</f>
        <v>アドナ錠３０ｍｇ</v>
      </c>
      <c r="D40" s="15" t="str">
        <f>薬品マスタリスト_20260130100542!B38</f>
        <v>ｱﾄﾞﾅｼﾞｮｳ30mg</v>
      </c>
      <c r="E40" s="15">
        <f>薬品マスタリスト_20260130100542!C38</f>
        <v>1</v>
      </c>
      <c r="F40" s="206" t="str">
        <f>薬品マスタリスト_20260130100542!D38</f>
        <v>錠剤</v>
      </c>
      <c r="G40" s="208" t="str">
        <f>match_results!C37</f>
        <v>アドナ錠３０ｍｇ</v>
      </c>
      <c r="H40" s="208">
        <f>match_results!D37</f>
        <v>380</v>
      </c>
      <c r="I40" s="218">
        <f>match_results!E37</f>
        <v>100</v>
      </c>
      <c r="J40" s="225" t="s">
        <v>3917</v>
      </c>
      <c r="K40" s="15">
        <f ca="1">IF($J40="〇",OFFSET(集計!B$3,合体!$H40,0),"")</f>
        <v>7.28</v>
      </c>
      <c r="L40" s="15">
        <f ca="1">IF($J40="〇",OFFSET(集計!C$3,合体!$H40,0),"")</f>
        <v>970</v>
      </c>
      <c r="M40" s="202">
        <f ca="1">IF($J40="〇",OFFSET(集計!D$3,合体!$H40,0),"")</f>
        <v>7061.6</v>
      </c>
    </row>
    <row r="41" spans="2:13" x14ac:dyDescent="0.2">
      <c r="B41" s="201">
        <f t="shared" si="0"/>
        <v>37</v>
      </c>
      <c r="C41" s="15" t="str">
        <f>薬品マスタリスト_20260130100542!A39</f>
        <v>アドナ注（静脈用）５０ｍｇ</v>
      </c>
      <c r="D41" s="15" t="str">
        <f>薬品マスタリスト_20260130100542!B39</f>
        <v>ｱﾄﾞﾅﾁｭｳ(ｼﾞｮｳﾐｬｸﾖｳ)50mg</v>
      </c>
      <c r="E41" s="15">
        <f>薬品マスタリスト_20260130100542!C39</f>
        <v>25</v>
      </c>
      <c r="F41" s="206" t="str">
        <f>薬品マスタリスト_20260130100542!D39</f>
        <v>注射剤</v>
      </c>
      <c r="G41" s="208" t="str">
        <f>match_results!C38</f>
        <v>アドナ注（静脈用）５０ｍｇ</v>
      </c>
      <c r="H41" s="208">
        <f>match_results!D38</f>
        <v>236</v>
      </c>
      <c r="I41" s="218">
        <f>match_results!E38</f>
        <v>100</v>
      </c>
      <c r="J41" s="225" t="s">
        <v>3917</v>
      </c>
      <c r="K41" s="15">
        <f ca="1">IF($J41="〇",OFFSET(集計!B$3,合体!$H41,0),"")</f>
        <v>80</v>
      </c>
      <c r="L41" s="15">
        <f ca="1">IF($J41="〇",OFFSET(集計!C$3,合体!$H41,0),"")</f>
        <v>42</v>
      </c>
      <c r="M41" s="202">
        <f ca="1">IF($J41="〇",OFFSET(集計!D$3,合体!$H41,0),"")</f>
        <v>3360</v>
      </c>
    </row>
    <row r="42" spans="2:13" x14ac:dyDescent="0.2">
      <c r="B42" s="201">
        <f t="shared" si="0"/>
        <v>38</v>
      </c>
      <c r="C42" s="15" t="str">
        <f>薬品マスタリスト_20260130100542!A40</f>
        <v>アドナ散１０％</v>
      </c>
      <c r="D42" s="15" t="str">
        <f>薬品マスタリスト_20260130100542!B40</f>
        <v>ｱﾄﾞﾅｻﾝ10%</v>
      </c>
      <c r="E42" s="15">
        <f>薬品マスタリスト_20260130100542!C40</f>
        <v>3</v>
      </c>
      <c r="F42" s="206" t="str">
        <f>薬品マスタリスト_20260130100542!D40</f>
        <v>散</v>
      </c>
      <c r="G42" s="208" t="str">
        <f>match_results!C39</f>
        <v>アドナ散</v>
      </c>
      <c r="H42" s="208">
        <f>match_results!D39</f>
        <v>213</v>
      </c>
      <c r="I42" s="218">
        <f>match_results!E39</f>
        <v>72.727272727272705</v>
      </c>
      <c r="J42" s="225"/>
      <c r="K42" s="15" t="str">
        <f ca="1">IF($J42="〇",OFFSET(集計!B$3,合体!$H42,0),"")</f>
        <v/>
      </c>
      <c r="L42" s="15" t="str">
        <f ca="1">IF($J42="〇",OFFSET(集計!C$3,合体!$H42,0),"")</f>
        <v/>
      </c>
      <c r="M42" s="202" t="str">
        <f ca="1">IF($J42="〇",OFFSET(集計!D$3,合体!$H42,0),"")</f>
        <v/>
      </c>
    </row>
    <row r="43" spans="2:13" x14ac:dyDescent="0.2">
      <c r="B43" s="201">
        <f t="shared" si="0"/>
        <v>39</v>
      </c>
      <c r="C43" s="15" t="str">
        <f>薬品マスタリスト_20260130100542!A41</f>
        <v>アドフィードパップ４０ｍｇ</v>
      </c>
      <c r="D43" s="15" t="str">
        <f>薬品マスタリスト_20260130100542!B41</f>
        <v>ｱﾄﾞﾌｲ-ﾄﾞﾊﾟﾂﾌﾟ40MG</v>
      </c>
      <c r="E43" s="15">
        <f>薬品マスタリスト_20260130100542!C41</f>
        <v>19</v>
      </c>
      <c r="F43" s="206" t="str">
        <f>薬品マスタリスト_20260130100542!D41</f>
        <v>貼付剤</v>
      </c>
      <c r="G43" s="208" t="str">
        <f>match_results!C40</f>
        <v>アドフィードパップ（７枚／袋）</v>
      </c>
      <c r="H43" s="208">
        <f>match_results!D40</f>
        <v>327</v>
      </c>
      <c r="I43" s="218">
        <f>match_results!E40</f>
        <v>64.285714285714207</v>
      </c>
      <c r="J43" s="225"/>
      <c r="K43" s="15" t="str">
        <f ca="1">IF($J43="〇",OFFSET(集計!B$3,合体!$H43,0),"")</f>
        <v/>
      </c>
      <c r="L43" s="15" t="str">
        <f ca="1">IF($J43="〇",OFFSET(集計!C$3,合体!$H43,0),"")</f>
        <v/>
      </c>
      <c r="M43" s="202" t="str">
        <f ca="1">IF($J43="〇",OFFSET(集計!D$3,合体!$H43,0),"")</f>
        <v/>
      </c>
    </row>
    <row r="44" spans="2:13" x14ac:dyDescent="0.2">
      <c r="B44" s="201">
        <f t="shared" si="0"/>
        <v>40</v>
      </c>
      <c r="C44" s="15" t="str">
        <f>薬品マスタリスト_20260130100542!A42</f>
        <v>アトモキセチンカプセル１０ｍｇ「サワイ」</v>
      </c>
      <c r="D44" s="15" t="str">
        <f>薬品マスタリスト_20260130100542!B42</f>
        <v>ｱﾄﾓｷｾﾁﾝｶﾌﾟｾﾙ10mg｢ｻﾜｲ｣</v>
      </c>
      <c r="E44" s="15">
        <f>薬品マスタリスト_20260130100542!C42</f>
        <v>2</v>
      </c>
      <c r="F44" s="206" t="str">
        <f>薬品マスタリスト_20260130100542!D42</f>
        <v>カプセル</v>
      </c>
      <c r="G44" s="208" t="str">
        <f>match_results!C41</f>
        <v>アトモキセチンカプセル１０ｍｇ「サワイ」</v>
      </c>
      <c r="H44" s="208">
        <f>match_results!D41</f>
        <v>630</v>
      </c>
      <c r="I44" s="218">
        <f>match_results!E41</f>
        <v>100</v>
      </c>
      <c r="J44" s="225" t="s">
        <v>3917</v>
      </c>
      <c r="K44" s="15">
        <f ca="1">IF($J44="〇",OFFSET(集計!B$3,合体!$H44,0),"")</f>
        <v>44.45</v>
      </c>
      <c r="L44" s="15">
        <f ca="1">IF($J44="〇",OFFSET(集計!C$3,合体!$H44,0),"")</f>
        <v>1218</v>
      </c>
      <c r="M44" s="202">
        <f ca="1">IF($J44="〇",OFFSET(集計!D$3,合体!$H44,0),"")</f>
        <v>54140.100000000006</v>
      </c>
    </row>
    <row r="45" spans="2:13" x14ac:dyDescent="0.2">
      <c r="B45" s="201">
        <f t="shared" si="0"/>
        <v>41</v>
      </c>
      <c r="C45" s="15" t="str">
        <f>薬品マスタリスト_20260130100542!A43</f>
        <v>アトモキセチンカプセル１０ｍｇ「アメル」</v>
      </c>
      <c r="D45" s="15" t="str">
        <f>薬品マスタリスト_20260130100542!B43</f>
        <v>ｱﾄﾓｷｾﾁﾝｶﾌﾟｾﾙ10mg｢ｱﾒﾙ｣</v>
      </c>
      <c r="E45" s="15">
        <f>薬品マスタリスト_20260130100542!C43</f>
        <v>2</v>
      </c>
      <c r="F45" s="206" t="str">
        <f>薬品マスタリスト_20260130100542!D43</f>
        <v>カプセル</v>
      </c>
      <c r="G45" s="208" t="str">
        <f>match_results!C42</f>
        <v>アトモキセチンカプセル１０ｍｇ「サワイ」</v>
      </c>
      <c r="H45" s="208">
        <f>match_results!D42</f>
        <v>630</v>
      </c>
      <c r="I45" s="218">
        <f>match_results!E42</f>
        <v>85</v>
      </c>
      <c r="J45" s="225"/>
      <c r="K45" s="15" t="str">
        <f ca="1">IF($J45="〇",OFFSET(集計!B$3,合体!$H45,0),"")</f>
        <v/>
      </c>
      <c r="L45" s="15" t="str">
        <f ca="1">IF($J45="〇",OFFSET(集計!C$3,合体!$H45,0),"")</f>
        <v/>
      </c>
      <c r="M45" s="202" t="str">
        <f ca="1">IF($J45="〇",OFFSET(集計!D$3,合体!$H45,0),"")</f>
        <v/>
      </c>
    </row>
    <row r="46" spans="2:13" x14ac:dyDescent="0.2">
      <c r="B46" s="201">
        <f t="shared" si="0"/>
        <v>42</v>
      </c>
      <c r="C46" s="15" t="str">
        <f>薬品マスタリスト_20260130100542!A44</f>
        <v>アトモキセチンカプセル４０ｍｇ「サワイ」</v>
      </c>
      <c r="D46" s="15" t="str">
        <f>薬品マスタリスト_20260130100542!B44</f>
        <v>ｱﾄﾓｷｾﾁﾝｶﾌﾟｾﾙ40mg｢ｻﾜｲ｣</v>
      </c>
      <c r="E46" s="15">
        <f>薬品マスタリスト_20260130100542!C44</f>
        <v>2</v>
      </c>
      <c r="F46" s="206" t="str">
        <f>薬品マスタリスト_20260130100542!D44</f>
        <v>カプセル</v>
      </c>
      <c r="G46" s="208" t="str">
        <f>match_results!C43</f>
        <v>アトモキセチンカプセル４０ｍｇ「サワイ」</v>
      </c>
      <c r="H46" s="208">
        <f>match_results!D43</f>
        <v>647</v>
      </c>
      <c r="I46" s="218">
        <f>match_results!E43</f>
        <v>100</v>
      </c>
      <c r="J46" s="225" t="s">
        <v>3917</v>
      </c>
      <c r="K46" s="15">
        <f ca="1">IF($J46="〇",OFFSET(集計!B$3,合体!$H46,0),"")</f>
        <v>58.42</v>
      </c>
      <c r="L46" s="15">
        <f ca="1">IF($J46="〇",OFFSET(集計!C$3,合体!$H46,0),"")</f>
        <v>1220</v>
      </c>
      <c r="M46" s="202">
        <f ca="1">IF($J46="〇",OFFSET(集計!D$3,合体!$H46,0),"")</f>
        <v>71272.400000000009</v>
      </c>
    </row>
    <row r="47" spans="2:13" x14ac:dyDescent="0.2">
      <c r="B47" s="201">
        <f t="shared" si="0"/>
        <v>43</v>
      </c>
      <c r="C47" s="15" t="str">
        <f>薬品マスタリスト_20260130100542!A45</f>
        <v>アトモキセチンカプセル４０ｍｇ「アメル」</v>
      </c>
      <c r="D47" s="15" t="str">
        <f>薬品マスタリスト_20260130100542!B45</f>
        <v>ｱﾄﾓｷｾﾁﾝｶﾌﾟｾﾙ40mg｢ｱﾒﾙ｣</v>
      </c>
      <c r="E47" s="15">
        <f>薬品マスタリスト_20260130100542!C45</f>
        <v>2</v>
      </c>
      <c r="F47" s="206" t="str">
        <f>薬品マスタリスト_20260130100542!D45</f>
        <v>カプセル</v>
      </c>
      <c r="G47" s="208" t="str">
        <f>match_results!C44</f>
        <v>アトモキセチンカプセル４０ｍｇ「サワイ」</v>
      </c>
      <c r="H47" s="208">
        <f>match_results!D44</f>
        <v>647</v>
      </c>
      <c r="I47" s="218">
        <f>match_results!E44</f>
        <v>85</v>
      </c>
      <c r="J47" s="225"/>
      <c r="K47" s="15" t="str">
        <f ca="1">IF($J47="〇",OFFSET(集計!B$3,合体!$H47,0),"")</f>
        <v/>
      </c>
      <c r="L47" s="15" t="str">
        <f ca="1">IF($J47="〇",OFFSET(集計!C$3,合体!$H47,0),"")</f>
        <v/>
      </c>
      <c r="M47" s="202" t="str">
        <f ca="1">IF($J47="〇",OFFSET(集計!D$3,合体!$H47,0),"")</f>
        <v/>
      </c>
    </row>
    <row r="48" spans="2:13" x14ac:dyDescent="0.2">
      <c r="B48" s="201">
        <f t="shared" si="0"/>
        <v>44</v>
      </c>
      <c r="C48" s="15" t="str">
        <f>薬品マスタリスト_20260130100542!A46</f>
        <v>アトモキセチンカプセル４０ｍｇ「ＶＴＲＳ」</v>
      </c>
      <c r="D48" s="15" t="str">
        <f>薬品マスタリスト_20260130100542!B46</f>
        <v>ｱﾄﾓｷｾﾁﾝｶﾌﾟｾﾙ40MGVTRS</v>
      </c>
      <c r="E48" s="15">
        <f>薬品マスタリスト_20260130100542!C46</f>
        <v>2</v>
      </c>
      <c r="F48" s="206" t="str">
        <f>薬品マスタリスト_20260130100542!D46</f>
        <v>カプセル</v>
      </c>
      <c r="G48" s="208" t="str">
        <f>match_results!C45</f>
        <v>アトモキセチンカプセル４０ｍｇ「サワイ」</v>
      </c>
      <c r="H48" s="208">
        <f>match_results!D45</f>
        <v>647</v>
      </c>
      <c r="I48" s="218">
        <f>match_results!E45</f>
        <v>82.926829268292593</v>
      </c>
      <c r="J48" s="225"/>
      <c r="K48" s="15" t="str">
        <f ca="1">IF($J48="〇",OFFSET(集計!B$3,合体!$H48,0),"")</f>
        <v/>
      </c>
      <c r="L48" s="15" t="str">
        <f ca="1">IF($J48="〇",OFFSET(集計!C$3,合体!$H48,0),"")</f>
        <v/>
      </c>
      <c r="M48" s="202" t="str">
        <f ca="1">IF($J48="〇",OFFSET(集計!D$3,合体!$H48,0),"")</f>
        <v/>
      </c>
    </row>
    <row r="49" spans="2:13" x14ac:dyDescent="0.2">
      <c r="B49" s="201">
        <f t="shared" si="0"/>
        <v>45</v>
      </c>
      <c r="C49" s="15" t="str">
        <f>薬品マスタリスト_20260130100542!A47</f>
        <v>アトルバスタチン錠１０ｍｇ「Ｍｅ」</v>
      </c>
      <c r="D49" s="15" t="str">
        <f>薬品マスタリスト_20260130100542!B47</f>
        <v>ｱﾄﾙﾊﾞｽﾀﾁﾝｼﾞｮｳ10mg｢Me｣</v>
      </c>
      <c r="E49" s="15">
        <f>薬品マスタリスト_20260130100542!C47</f>
        <v>1</v>
      </c>
      <c r="F49" s="206" t="str">
        <f>薬品マスタリスト_20260130100542!D47</f>
        <v>錠剤</v>
      </c>
      <c r="G49" s="208" t="str">
        <f>match_results!C46</f>
        <v>アトルバスタチンＯＤ錠１０ｍｇ</v>
      </c>
      <c r="H49" s="208">
        <f>match_results!D46</f>
        <v>617</v>
      </c>
      <c r="I49" s="218">
        <f>match_results!E46</f>
        <v>81.25</v>
      </c>
      <c r="J49" s="225"/>
      <c r="K49" s="15" t="str">
        <f ca="1">IF($J49="〇",OFFSET(集計!B$3,合体!$H49,0),"")</f>
        <v/>
      </c>
      <c r="L49" s="15" t="str">
        <f ca="1">IF($J49="〇",OFFSET(集計!C$3,合体!$H49,0),"")</f>
        <v/>
      </c>
      <c r="M49" s="202" t="str">
        <f ca="1">IF($J49="〇",OFFSET(集計!D$3,合体!$H49,0),"")</f>
        <v/>
      </c>
    </row>
    <row r="50" spans="2:13" x14ac:dyDescent="0.2">
      <c r="B50" s="201">
        <f t="shared" si="0"/>
        <v>46</v>
      </c>
      <c r="C50" s="15" t="str">
        <f>薬品マスタリスト_20260130100542!A48</f>
        <v>アトルバスタチンＯＤ錠１０ｍｇ「トーワ」</v>
      </c>
      <c r="D50" s="15" t="str">
        <f>薬品マスタリスト_20260130100542!B48</f>
        <v>ｱﾄﾙﾊﾞｽﾀﾁﾝODｼﾞﾖｳ10MGﾄ-ﾜ</v>
      </c>
      <c r="E50" s="15">
        <f>薬品マスタリスト_20260130100542!C48</f>
        <v>1</v>
      </c>
      <c r="F50" s="206" t="str">
        <f>薬品マスタリスト_20260130100542!D48</f>
        <v>錠剤</v>
      </c>
      <c r="G50" s="208" t="str">
        <f>match_results!C47</f>
        <v>アトルバスタチンＯＤ錠１０ｍｇ</v>
      </c>
      <c r="H50" s="208">
        <f>match_results!D47</f>
        <v>617</v>
      </c>
      <c r="I50" s="218">
        <f>match_results!E47</f>
        <v>85.714285714285694</v>
      </c>
      <c r="J50" s="225"/>
      <c r="K50" s="15" t="str">
        <f ca="1">IF($J50="〇",OFFSET(集計!B$3,合体!$H50,0),"")</f>
        <v/>
      </c>
      <c r="L50" s="15" t="str">
        <f ca="1">IF($J50="〇",OFFSET(集計!C$3,合体!$H50,0),"")</f>
        <v/>
      </c>
      <c r="M50" s="202" t="str">
        <f ca="1">IF($J50="〇",OFFSET(集計!D$3,合体!$H50,0),"")</f>
        <v/>
      </c>
    </row>
    <row r="51" spans="2:13" x14ac:dyDescent="0.2">
      <c r="B51" s="201">
        <f t="shared" si="0"/>
        <v>47</v>
      </c>
      <c r="C51" s="15" t="str">
        <f>薬品マスタリスト_20260130100542!A49</f>
        <v>アトロピン硫酸塩注０．５ｍｇ「タナベ」</v>
      </c>
      <c r="D51" s="15" t="str">
        <f>薬品マスタリスト_20260130100542!B49</f>
        <v>ｱﾄﾛﾋﾟﾝﾘｭｳｻﾝｴﾝﾁｭｳ0.5mg｢ﾀﾅﾍﾞ｣</v>
      </c>
      <c r="E51" s="15">
        <f>薬品マスタリスト_20260130100542!C49</f>
        <v>25</v>
      </c>
      <c r="F51" s="206" t="str">
        <f>薬品マスタリスト_20260130100542!D49</f>
        <v>注射剤</v>
      </c>
      <c r="G51" s="208" t="str">
        <f>match_results!C48</f>
        <v>アトロピン硫酸塩注０．５ｍｇ</v>
      </c>
      <c r="H51" s="208">
        <f>match_results!D48</f>
        <v>49</v>
      </c>
      <c r="I51" s="218">
        <f>match_results!E48</f>
        <v>84.848484848484802</v>
      </c>
      <c r="J51" s="225"/>
      <c r="K51" s="15" t="str">
        <f ca="1">IF($J51="〇",OFFSET(集計!B$3,合体!$H51,0),"")</f>
        <v/>
      </c>
      <c r="L51" s="15" t="str">
        <f ca="1">IF($J51="〇",OFFSET(集計!C$3,合体!$H51,0),"")</f>
        <v/>
      </c>
      <c r="M51" s="202" t="str">
        <f ca="1">IF($J51="〇",OFFSET(集計!D$3,合体!$H51,0),"")</f>
        <v/>
      </c>
    </row>
    <row r="52" spans="2:13" x14ac:dyDescent="0.2">
      <c r="B52" s="201">
        <f t="shared" si="0"/>
        <v>48</v>
      </c>
      <c r="C52" s="15" t="str">
        <f>薬品マスタリスト_20260130100542!A50</f>
        <v>アナストロゾール錠１ｍｇ「ＮＫ」</v>
      </c>
      <c r="D52" s="15" t="str">
        <f>薬品マスタリスト_20260130100542!B50</f>
        <v>ｱﾅｽﾄﾛｿﾞｰﾙｼﾞｮｳ1mg｢NK｣</v>
      </c>
      <c r="E52" s="15">
        <f>薬品マスタリスト_20260130100542!C50</f>
        <v>1</v>
      </c>
      <c r="F52" s="206" t="str">
        <f>薬品マスタリスト_20260130100542!D50</f>
        <v>錠剤</v>
      </c>
      <c r="G52" s="208" t="str">
        <f>match_results!C49</f>
        <v>アナストロゾール（１）</v>
      </c>
      <c r="H52" s="208">
        <f>match_results!D49</f>
        <v>299</v>
      </c>
      <c r="I52" s="218">
        <f>match_results!E49</f>
        <v>66.6666666666666</v>
      </c>
      <c r="J52" s="225"/>
      <c r="K52" s="15" t="str">
        <f ca="1">IF($J52="〇",OFFSET(集計!B$3,合体!$H52,0),"")</f>
        <v/>
      </c>
      <c r="L52" s="15" t="str">
        <f ca="1">IF($J52="〇",OFFSET(集計!C$3,合体!$H52,0),"")</f>
        <v/>
      </c>
      <c r="M52" s="202" t="str">
        <f ca="1">IF($J52="〇",OFFSET(集計!D$3,合体!$H52,0),"")</f>
        <v/>
      </c>
    </row>
    <row r="53" spans="2:13" x14ac:dyDescent="0.2">
      <c r="B53" s="201">
        <f t="shared" si="0"/>
        <v>49</v>
      </c>
      <c r="C53" s="15" t="str">
        <f>薬品マスタリスト_20260130100542!A51</f>
        <v>アナストロゾール錠１ｍｇ「サワイ」</v>
      </c>
      <c r="D53" s="15" t="str">
        <f>薬品マスタリスト_20260130100542!B51</f>
        <v>ｱﾅｽﾄﾛｿﾞ-ﾙｼﾞﾖｳ1MGｻﾜｲ</v>
      </c>
      <c r="E53" s="15">
        <f>薬品マスタリスト_20260130100542!C51</f>
        <v>1</v>
      </c>
      <c r="F53" s="206" t="str">
        <f>薬品マスタリスト_20260130100542!D51</f>
        <v>錠剤</v>
      </c>
      <c r="G53" s="208" t="str">
        <f>match_results!C50</f>
        <v>アリピプラゾール錠１ｍｇ「サワイ」</v>
      </c>
      <c r="H53" s="208">
        <f>match_results!D50</f>
        <v>313</v>
      </c>
      <c r="I53" s="218">
        <f>match_results!E50</f>
        <v>76.470588235294102</v>
      </c>
      <c r="J53" s="225"/>
      <c r="K53" s="15" t="str">
        <f ca="1">IF($J53="〇",OFFSET(集計!B$3,合体!$H53,0),"")</f>
        <v/>
      </c>
      <c r="L53" s="15" t="str">
        <f ca="1">IF($J53="〇",OFFSET(集計!C$3,合体!$H53,0),"")</f>
        <v/>
      </c>
      <c r="M53" s="202" t="str">
        <f ca="1">IF($J53="〇",OFFSET(集計!D$3,合体!$H53,0),"")</f>
        <v/>
      </c>
    </row>
    <row r="54" spans="2:13" x14ac:dyDescent="0.2">
      <c r="B54" s="201">
        <f t="shared" si="0"/>
        <v>50</v>
      </c>
      <c r="C54" s="15" t="str">
        <f>薬品マスタリスト_20260130100542!A52</f>
        <v>アナフラニール錠２５ｍｇ</v>
      </c>
      <c r="D54" s="15" t="str">
        <f>薬品マスタリスト_20260130100542!B52</f>
        <v>ｱﾅﾌﾗﾆｰﾙｼﾞｮｳ25mg</v>
      </c>
      <c r="E54" s="15">
        <f>薬品マスタリスト_20260130100542!C52</f>
        <v>1</v>
      </c>
      <c r="F54" s="206" t="str">
        <f>薬品マスタリスト_20260130100542!D52</f>
        <v>錠剤</v>
      </c>
      <c r="G54" s="208" t="str">
        <f>match_results!C51</f>
        <v>アナフラニール錠２５ｍｇ　</v>
      </c>
      <c r="H54" s="208">
        <f>match_results!D51</f>
        <v>157</v>
      </c>
      <c r="I54" s="218">
        <f>match_results!E51</f>
        <v>100</v>
      </c>
      <c r="J54" s="225" t="s">
        <v>3917</v>
      </c>
      <c r="K54" s="15">
        <f ca="1">IF($J54="〇",OFFSET(集計!B$3,合体!$H54,0),"")</f>
        <v>11.51</v>
      </c>
      <c r="L54" s="15">
        <f ca="1">IF($J54="〇",OFFSET(集計!C$3,合体!$H54,0),"")</f>
        <v>200</v>
      </c>
      <c r="M54" s="202">
        <f ca="1">IF($J54="〇",OFFSET(集計!D$3,合体!$H54,0),"")</f>
        <v>2302</v>
      </c>
    </row>
    <row r="55" spans="2:13" x14ac:dyDescent="0.2">
      <c r="B55" s="201">
        <f t="shared" si="0"/>
        <v>51</v>
      </c>
      <c r="C55" s="15" t="str">
        <f>薬品マスタリスト_20260130100542!A53</f>
        <v>アナフラニール点滴静注液２５ｍｇ</v>
      </c>
      <c r="D55" s="15" t="str">
        <f>薬品マスタリスト_20260130100542!B53</f>
        <v>ｱﾅﾌﾗﾆｰﾙﾃﾝﾃｷｼﾞｮｳﾁｭｳｴｷ25mg</v>
      </c>
      <c r="E55" s="15">
        <f>薬品マスタリスト_20260130100542!C53</f>
        <v>25</v>
      </c>
      <c r="F55" s="206" t="str">
        <f>薬品マスタリスト_20260130100542!D53</f>
        <v>注射剤</v>
      </c>
      <c r="G55" s="208" t="str">
        <f>match_results!C52</f>
        <v>アナフラニール錠２５ｍｇ　</v>
      </c>
      <c r="H55" s="208">
        <f>match_results!D52</f>
        <v>157</v>
      </c>
      <c r="I55" s="218">
        <f>match_results!E52</f>
        <v>78.571428571428498</v>
      </c>
      <c r="J55" s="225"/>
      <c r="K55" s="15" t="str">
        <f ca="1">IF($J55="〇",OFFSET(集計!B$3,合体!$H55,0),"")</f>
        <v/>
      </c>
      <c r="L55" s="15" t="str">
        <f ca="1">IF($J55="〇",OFFSET(集計!C$3,合体!$H55,0),"")</f>
        <v/>
      </c>
      <c r="M55" s="202" t="str">
        <f ca="1">IF($J55="〇",OFFSET(集計!D$3,合体!$H55,0),"")</f>
        <v/>
      </c>
    </row>
    <row r="56" spans="2:13" x14ac:dyDescent="0.2">
      <c r="B56" s="201">
        <f t="shared" si="0"/>
        <v>52</v>
      </c>
      <c r="C56" s="15" t="str">
        <f>薬品マスタリスト_20260130100542!A54</f>
        <v>アネキセート注射液０．５ｍｇ</v>
      </c>
      <c r="D56" s="15" t="str">
        <f>薬品マスタリスト_20260130100542!B54</f>
        <v>ｱﾈｷｾｰﾄﾁｭｳｼｬｴｷ0.5mg</v>
      </c>
      <c r="E56" s="15">
        <f>薬品マスタリスト_20260130100542!C54</f>
        <v>25</v>
      </c>
      <c r="F56" s="206" t="str">
        <f>薬品マスタリスト_20260130100542!D54</f>
        <v>注射剤</v>
      </c>
      <c r="G56" s="208" t="str">
        <f>match_results!C53</f>
        <v>アネキセート注射液０．５ＭＧ</v>
      </c>
      <c r="H56" s="208">
        <f>match_results!D53</f>
        <v>251</v>
      </c>
      <c r="I56" s="218">
        <f>match_results!E53</f>
        <v>85.714285714285694</v>
      </c>
      <c r="J56" s="225"/>
      <c r="K56" s="15" t="str">
        <f ca="1">IF($J56="〇",OFFSET(集計!B$3,合体!$H56,0),"")</f>
        <v/>
      </c>
      <c r="L56" s="15" t="str">
        <f ca="1">IF($J56="〇",OFFSET(集計!C$3,合体!$H56,0),"")</f>
        <v/>
      </c>
      <c r="M56" s="202" t="str">
        <f ca="1">IF($J56="〇",OFFSET(集計!D$3,合体!$H56,0),"")</f>
        <v/>
      </c>
    </row>
    <row r="57" spans="2:13" x14ac:dyDescent="0.2">
      <c r="B57" s="201">
        <f t="shared" si="0"/>
        <v>53</v>
      </c>
      <c r="C57" s="15" t="str">
        <f>薬品マスタリスト_20260130100542!A55</f>
        <v>アノーロエリプタ３０吸入用</v>
      </c>
      <c r="D57" s="15" t="str">
        <f>薬品マスタリスト_20260130100542!B55</f>
        <v>ｱﾉ-ﾛｴﾘﾌﾟﾀ30ｷﾕｳﾆﾕｳﾖｳ</v>
      </c>
      <c r="E57" s="15">
        <f>薬品マスタリスト_20260130100542!C55</f>
        <v>10</v>
      </c>
      <c r="F57" s="206" t="str">
        <f>薬品マスタリスト_20260130100542!D55</f>
        <v>吸入剤</v>
      </c>
      <c r="G57" s="208" t="str">
        <f>match_results!C54</f>
        <v>レルベア１００エリプタ</v>
      </c>
      <c r="H57" s="208">
        <f>match_results!D54</f>
        <v>278</v>
      </c>
      <c r="I57" s="218">
        <f>match_results!E54</f>
        <v>41.6666666666666</v>
      </c>
      <c r="J57" s="225"/>
      <c r="K57" s="15" t="str">
        <f ca="1">IF($J57="〇",OFFSET(集計!B$3,合体!$H57,0),"")</f>
        <v/>
      </c>
      <c r="L57" s="15" t="str">
        <f ca="1">IF($J57="〇",OFFSET(集計!C$3,合体!$H57,0),"")</f>
        <v/>
      </c>
      <c r="M57" s="202" t="str">
        <f ca="1">IF($J57="〇",OFFSET(集計!D$3,合体!$H57,0),"")</f>
        <v/>
      </c>
    </row>
    <row r="58" spans="2:13" x14ac:dyDescent="0.2">
      <c r="B58" s="201">
        <f t="shared" si="0"/>
        <v>54</v>
      </c>
      <c r="C58" s="15" t="str">
        <f>薬品マスタリスト_20260130100542!A56</f>
        <v>アフタッチ口腔用貼付剤２５μｇ</v>
      </c>
      <c r="D58" s="15" t="str">
        <f>薬品マスタリスト_20260130100542!B56</f>
        <v>ｱﾌﾀｯﾁｺｳｸｳﾖｳﾁｮｳﾌｻﾞｲ25μg</v>
      </c>
      <c r="E58" s="15">
        <f>薬品マスタリスト_20260130100542!C56</f>
        <v>19</v>
      </c>
      <c r="F58" s="206" t="str">
        <f>薬品マスタリスト_20260130100542!D56</f>
        <v>貼付剤</v>
      </c>
      <c r="G58" s="208" t="str">
        <f>match_results!C55</f>
        <v>アフタッチ口腔用貼付剤２５μｇ　ＰＴＰ　１００錠</v>
      </c>
      <c r="H58" s="208">
        <f>match_results!D55</f>
        <v>137</v>
      </c>
      <c r="I58" s="218">
        <f>match_results!E55</f>
        <v>76.923076923076906</v>
      </c>
      <c r="J58" s="225"/>
      <c r="K58" s="15" t="str">
        <f ca="1">IF($J58="〇",OFFSET(集計!B$3,合体!$H58,0),"")</f>
        <v/>
      </c>
      <c r="L58" s="15" t="str">
        <f ca="1">IF($J58="〇",OFFSET(集計!C$3,合体!$H58,0),"")</f>
        <v/>
      </c>
      <c r="M58" s="202" t="str">
        <f ca="1">IF($J58="〇",OFFSET(集計!D$3,合体!$H58,0),"")</f>
        <v/>
      </c>
    </row>
    <row r="59" spans="2:13" x14ac:dyDescent="0.2">
      <c r="B59" s="201">
        <f t="shared" si="0"/>
        <v>55</v>
      </c>
      <c r="C59" s="15" t="str">
        <f>薬品マスタリスト_20260130100542!A57</f>
        <v>アマンタジン塩酸塩錠５０ｍｇ「杏林」</v>
      </c>
      <c r="D59" s="15" t="str">
        <f>薬品マスタリスト_20260130100542!B57</f>
        <v>ｱﾏﾝﾀｼﾞﾝｴﾝｻﾝｴﾝｼﾞｮｳ50mg｢ｷｮｳﾘﾝ｣</v>
      </c>
      <c r="E59" s="15">
        <f>薬品マスタリスト_20260130100542!C57</f>
        <v>1</v>
      </c>
      <c r="F59" s="206" t="str">
        <f>薬品マスタリスト_20260130100542!D57</f>
        <v>錠剤</v>
      </c>
      <c r="G59" s="208" t="str">
        <f>match_results!C56</f>
        <v>アマンタジン塩酸塩錠　５０</v>
      </c>
      <c r="H59" s="208">
        <f>match_results!D56</f>
        <v>290</v>
      </c>
      <c r="I59" s="218">
        <f>match_results!E56</f>
        <v>77.419354838709594</v>
      </c>
      <c r="J59" s="225"/>
      <c r="K59" s="15" t="str">
        <f ca="1">IF($J59="〇",OFFSET(集計!B$3,合体!$H59,0),"")</f>
        <v/>
      </c>
      <c r="L59" s="15" t="str">
        <f ca="1">IF($J59="〇",OFFSET(集計!C$3,合体!$H59,0),"")</f>
        <v/>
      </c>
      <c r="M59" s="202" t="str">
        <f ca="1">IF($J59="〇",OFFSET(集計!D$3,合体!$H59,0),"")</f>
        <v/>
      </c>
    </row>
    <row r="60" spans="2:13" x14ac:dyDescent="0.2">
      <c r="B60" s="201">
        <f t="shared" si="0"/>
        <v>56</v>
      </c>
      <c r="C60" s="15" t="str">
        <f>薬品マスタリスト_20260130100542!A58</f>
        <v>アミオダロン塩酸塩速崩錠５０ｍｇ「ＴＥ」</v>
      </c>
      <c r="D60" s="15" t="str">
        <f>薬品マスタリスト_20260130100542!B58</f>
        <v>ｱﾐｵﾀﾞﾛﾝｴﾝｻﾝｴﾝｿｸﾎｳｼﾞｮｳ50mg｢TE｣</v>
      </c>
      <c r="E60" s="15">
        <f>薬品マスタリスト_20260130100542!C58</f>
        <v>1</v>
      </c>
      <c r="F60" s="206" t="str">
        <f>薬品マスタリスト_20260130100542!D58</f>
        <v>錠剤</v>
      </c>
      <c r="G60" s="208" t="str">
        <f>match_results!C57</f>
        <v>アミオダロン塩酸塩速崩錠５０ｍｇ</v>
      </c>
      <c r="H60" s="208">
        <f>match_results!D57</f>
        <v>129</v>
      </c>
      <c r="I60" s="218">
        <f>match_results!E57</f>
        <v>88.8888888888888</v>
      </c>
      <c r="J60" s="225"/>
      <c r="K60" s="15" t="str">
        <f ca="1">IF($J60="〇",OFFSET(集計!B$3,合体!$H60,0),"")</f>
        <v/>
      </c>
      <c r="L60" s="15" t="str">
        <f ca="1">IF($J60="〇",OFFSET(集計!C$3,合体!$H60,0),"")</f>
        <v/>
      </c>
      <c r="M60" s="202" t="str">
        <f ca="1">IF($J60="〇",OFFSET(集計!D$3,合体!$H60,0),"")</f>
        <v/>
      </c>
    </row>
    <row r="61" spans="2:13" x14ac:dyDescent="0.2">
      <c r="B61" s="201">
        <f t="shared" si="0"/>
        <v>57</v>
      </c>
      <c r="C61" s="15" t="str">
        <f>薬品マスタリスト_20260130100542!A59</f>
        <v>アミティーザカプセル２４μｇ</v>
      </c>
      <c r="D61" s="15" t="str">
        <f>薬品マスタリスト_20260130100542!B59</f>
        <v>ｱﾐﾃｨｰｻﾞｶﾌﾟｾﾙ24μg</v>
      </c>
      <c r="E61" s="15">
        <f>薬品マスタリスト_20260130100542!C59</f>
        <v>2</v>
      </c>
      <c r="F61" s="206" t="str">
        <f>薬品マスタリスト_20260130100542!D59</f>
        <v>カプセル</v>
      </c>
      <c r="G61" s="208" t="str">
        <f>match_results!C58</f>
        <v>アミティーザカプセル</v>
      </c>
      <c r="H61" s="208">
        <f>match_results!D58</f>
        <v>653</v>
      </c>
      <c r="I61" s="218">
        <f>match_results!E58</f>
        <v>83.3333333333333</v>
      </c>
      <c r="J61" s="225"/>
      <c r="K61" s="15" t="str">
        <f ca="1">IF($J61="〇",OFFSET(集計!B$3,合体!$H61,0),"")</f>
        <v/>
      </c>
      <c r="L61" s="15" t="str">
        <f ca="1">IF($J61="〇",OFFSET(集計!C$3,合体!$H61,0),"")</f>
        <v/>
      </c>
      <c r="M61" s="202" t="str">
        <f ca="1">IF($J61="〇",OFFSET(集計!D$3,合体!$H61,0),"")</f>
        <v/>
      </c>
    </row>
    <row r="62" spans="2:13" x14ac:dyDescent="0.2">
      <c r="B62" s="201">
        <f t="shared" si="0"/>
        <v>58</v>
      </c>
      <c r="C62" s="15" t="str">
        <f>薬品マスタリスト_20260130100542!A60</f>
        <v>アミノレバンＥＮ配合散</v>
      </c>
      <c r="D62" s="15" t="str">
        <f>薬品マスタリスト_20260130100542!B60</f>
        <v>ｱﾐﾉﾚﾊﾞﾝENﾊｲｺﾞｳｻﾝ</v>
      </c>
      <c r="E62" s="15">
        <f>薬品マスタリスト_20260130100542!C60</f>
        <v>3</v>
      </c>
      <c r="F62" s="206" t="str">
        <f>薬品マスタリスト_20260130100542!D60</f>
        <v>散</v>
      </c>
      <c r="G62" s="208" t="str">
        <f>match_results!C59</f>
        <v>アミノレバンＥＮ配合散　５０ｇ／包</v>
      </c>
      <c r="H62" s="208">
        <f>match_results!D59</f>
        <v>472</v>
      </c>
      <c r="I62" s="218">
        <f>match_results!E59</f>
        <v>78.571428571428498</v>
      </c>
      <c r="J62" s="225"/>
      <c r="K62" s="15" t="str">
        <f ca="1">IF($J62="〇",OFFSET(集計!B$3,合体!$H62,0),"")</f>
        <v/>
      </c>
      <c r="L62" s="15" t="str">
        <f ca="1">IF($J62="〇",OFFSET(集計!C$3,合体!$H62,0),"")</f>
        <v/>
      </c>
      <c r="M62" s="202" t="str">
        <f ca="1">IF($J62="〇",OFFSET(集計!D$3,合体!$H62,0),"")</f>
        <v/>
      </c>
    </row>
    <row r="63" spans="2:13" x14ac:dyDescent="0.2">
      <c r="B63" s="201">
        <f t="shared" si="0"/>
        <v>59</v>
      </c>
      <c r="C63" s="15" t="str">
        <f>薬品マスタリスト_20260130100542!A61</f>
        <v>アミノレバン点滴静注（用時購入）</v>
      </c>
      <c r="D63" s="15" t="str">
        <f>薬品マスタリスト_20260130100542!B61</f>
        <v>ｱﾐﾉﾚﾊﾞﾝﾃﾝﾃｷｼﾞﾖｳﾁﾕｳ</v>
      </c>
      <c r="E63" s="15">
        <f>薬品マスタリスト_20260130100542!C61</f>
        <v>25</v>
      </c>
      <c r="F63" s="206" t="str">
        <f>薬品マスタリスト_20260130100542!D61</f>
        <v>注射剤</v>
      </c>
      <c r="G63" s="208" t="str">
        <f>match_results!C60</f>
        <v>アミノレバン点滴静注</v>
      </c>
      <c r="H63" s="208">
        <f>match_results!D60</f>
        <v>379</v>
      </c>
      <c r="I63" s="218">
        <f>match_results!E60</f>
        <v>76.923076923076906</v>
      </c>
      <c r="J63" s="225"/>
      <c r="K63" s="15" t="str">
        <f ca="1">IF($J63="〇",OFFSET(集計!B$3,合体!$H63,0),"")</f>
        <v/>
      </c>
      <c r="L63" s="15" t="str">
        <f ca="1">IF($J63="〇",OFFSET(集計!C$3,合体!$H63,0),"")</f>
        <v/>
      </c>
      <c r="M63" s="202" t="str">
        <f ca="1">IF($J63="〇",OFFSET(集計!D$3,合体!$H63,0),"")</f>
        <v/>
      </c>
    </row>
    <row r="64" spans="2:13" x14ac:dyDescent="0.2">
      <c r="B64" s="201">
        <f t="shared" si="0"/>
        <v>60</v>
      </c>
      <c r="C64" s="15" t="str">
        <f>薬品マスタリスト_20260130100542!A62</f>
        <v>アムロジピンＯＤ錠２．５ｍｇ「あすか」</v>
      </c>
      <c r="D64" s="15" t="str">
        <f>薬品マスタリスト_20260130100542!B62</f>
        <v>ｱﾑﾛｼﾞﾋﾟﾝODｼﾞｮｳ2.5mg｢ｱｽｶ｣</v>
      </c>
      <c r="E64" s="15">
        <f>薬品マスタリスト_20260130100542!C62</f>
        <v>1</v>
      </c>
      <c r="F64" s="206" t="str">
        <f>薬品マスタリスト_20260130100542!D62</f>
        <v>錠剤</v>
      </c>
      <c r="G64" s="208" t="str">
        <f>match_results!C61</f>
        <v>アムロジピンＯＤ錠２．５ＭＧ　「あすか」</v>
      </c>
      <c r="H64" s="208">
        <f>match_results!D61</f>
        <v>577</v>
      </c>
      <c r="I64" s="218">
        <f>match_results!E61</f>
        <v>61.538461538461497</v>
      </c>
      <c r="J64" s="225"/>
      <c r="K64" s="15" t="str">
        <f ca="1">IF($J64="〇",OFFSET(集計!B$3,合体!$H64,0),"")</f>
        <v/>
      </c>
      <c r="L64" s="15" t="str">
        <f ca="1">IF($J64="〇",OFFSET(集計!C$3,合体!$H64,0),"")</f>
        <v/>
      </c>
      <c r="M64" s="202" t="str">
        <f ca="1">IF($J64="〇",OFFSET(集計!D$3,合体!$H64,0),"")</f>
        <v/>
      </c>
    </row>
    <row r="65" spans="2:13" x14ac:dyDescent="0.2">
      <c r="B65" s="201">
        <f t="shared" si="0"/>
        <v>61</v>
      </c>
      <c r="C65" s="15" t="str">
        <f>薬品マスタリスト_20260130100542!A63</f>
        <v>アムロジピンＯＤ錠２．５ｍｇ「明治」</v>
      </c>
      <c r="D65" s="15" t="str">
        <f>薬品マスタリスト_20260130100542!B63</f>
        <v>ｱﾑﾛｼﾞﾋﾟﾝODｼﾞﾖｳ2.5MGﾒｲｼﾞ</v>
      </c>
      <c r="E65" s="15">
        <f>薬品マスタリスト_20260130100542!C63</f>
        <v>1</v>
      </c>
      <c r="F65" s="206" t="str">
        <f>薬品マスタリスト_20260130100542!D63</f>
        <v>錠剤</v>
      </c>
      <c r="G65" s="208" t="str">
        <f>match_results!C62</f>
        <v>アムロジピンＯＤ錠２．５ＭＧ　「あすか」</v>
      </c>
      <c r="H65" s="208">
        <f>match_results!D62</f>
        <v>577</v>
      </c>
      <c r="I65" s="218">
        <f>match_results!E62</f>
        <v>63.157894736842103</v>
      </c>
      <c r="J65" s="225"/>
      <c r="K65" s="15" t="str">
        <f ca="1">IF($J65="〇",OFFSET(集計!B$3,合体!$H65,0),"")</f>
        <v/>
      </c>
      <c r="L65" s="15" t="str">
        <f ca="1">IF($J65="〇",OFFSET(集計!C$3,合体!$H65,0),"")</f>
        <v/>
      </c>
      <c r="M65" s="202" t="str">
        <f ca="1">IF($J65="〇",OFFSET(集計!D$3,合体!$H65,0),"")</f>
        <v/>
      </c>
    </row>
    <row r="66" spans="2:13" x14ac:dyDescent="0.2">
      <c r="B66" s="201">
        <f t="shared" si="0"/>
        <v>62</v>
      </c>
      <c r="C66" s="15" t="str">
        <f>薬品マスタリスト_20260130100542!A64</f>
        <v>アラミスト点鼻液２７．５μｇ５６噴霧用</v>
      </c>
      <c r="D66" s="15" t="str">
        <f>薬品マスタリスト_20260130100542!B64</f>
        <v>ｱﾗﾐｽﾄﾃﾝﾋﾞｴｷ27.5μg56ﾌﾝﾑﾖｳ</v>
      </c>
      <c r="E66" s="15">
        <f>薬品マスタリスト_20260130100542!C64</f>
        <v>23</v>
      </c>
      <c r="F66" s="206" t="str">
        <f>薬品マスタリスト_20260130100542!D64</f>
        <v>点鼻薬</v>
      </c>
      <c r="G66" s="208" t="str">
        <f>match_results!C63</f>
        <v>ベラプロスト錠２０μｇ</v>
      </c>
      <c r="H66" s="208">
        <f>match_results!D63</f>
        <v>205</v>
      </c>
      <c r="I66" s="218">
        <f>match_results!E63</f>
        <v>40</v>
      </c>
      <c r="J66" s="225"/>
      <c r="K66" s="15" t="str">
        <f ca="1">IF($J66="〇",OFFSET(集計!B$3,合体!$H66,0),"")</f>
        <v/>
      </c>
      <c r="L66" s="15" t="str">
        <f ca="1">IF($J66="〇",OFFSET(集計!C$3,合体!$H66,0),"")</f>
        <v/>
      </c>
      <c r="M66" s="202" t="str">
        <f ca="1">IF($J66="〇",OFFSET(集計!D$3,合体!$H66,0),"")</f>
        <v/>
      </c>
    </row>
    <row r="67" spans="2:13" x14ac:dyDescent="0.2">
      <c r="B67" s="201">
        <f t="shared" si="0"/>
        <v>63</v>
      </c>
      <c r="C67" s="15" t="str">
        <f>薬品マスタリスト_20260130100542!A65</f>
        <v>アリセプトＤ錠５ｍｇ</v>
      </c>
      <c r="D67" s="15" t="str">
        <f>薬品マスタリスト_20260130100542!B65</f>
        <v>ｱﾘｾﾌﾟﾄDｼﾞｮｳ5mg</v>
      </c>
      <c r="E67" s="15">
        <f>薬品マスタリスト_20260130100542!C65</f>
        <v>1</v>
      </c>
      <c r="F67" s="206" t="str">
        <f>薬品マスタリスト_20260130100542!D65</f>
        <v>錠剤</v>
      </c>
      <c r="G67" s="208" t="str">
        <f>match_results!C64</f>
        <v>リーゼ錠５ｍｇ</v>
      </c>
      <c r="H67" s="208">
        <f>match_results!D64</f>
        <v>323</v>
      </c>
      <c r="I67" s="218">
        <f>match_results!E64</f>
        <v>58.823529411764703</v>
      </c>
      <c r="J67" s="225"/>
      <c r="K67" s="15" t="str">
        <f ca="1">IF($J67="〇",OFFSET(集計!B$3,合体!$H67,0),"")</f>
        <v/>
      </c>
      <c r="L67" s="15" t="str">
        <f ca="1">IF($J67="〇",OFFSET(集計!C$3,合体!$H67,0),"")</f>
        <v/>
      </c>
      <c r="M67" s="202" t="str">
        <f ca="1">IF($J67="〇",OFFSET(集計!D$3,合体!$H67,0),"")</f>
        <v/>
      </c>
    </row>
    <row r="68" spans="2:13" x14ac:dyDescent="0.2">
      <c r="B68" s="201">
        <f t="shared" si="0"/>
        <v>64</v>
      </c>
      <c r="C68" s="15" t="str">
        <f>薬品マスタリスト_20260130100542!A66</f>
        <v>アリドネパッチ２７．５ｍｇ</v>
      </c>
      <c r="D68" s="15" t="str">
        <f>薬品マスタリスト_20260130100542!B66</f>
        <v>ｱﾘﾄﾞﾈﾊﾟﾂﾁ27.5MG</v>
      </c>
      <c r="E68" s="15">
        <f>薬品マスタリスト_20260130100542!C66</f>
        <v>19</v>
      </c>
      <c r="F68" s="206" t="str">
        <f>薬品マスタリスト_20260130100542!D66</f>
        <v>貼付剤</v>
      </c>
      <c r="G68" s="208" t="str">
        <f>match_results!C65</f>
        <v>アリドネパッチ（２７．５）</v>
      </c>
      <c r="H68" s="208">
        <f>match_results!D65</f>
        <v>599</v>
      </c>
      <c r="I68" s="218">
        <f>match_results!E65</f>
        <v>84.615384615384599</v>
      </c>
      <c r="J68" s="225"/>
      <c r="K68" s="15" t="str">
        <f ca="1">IF($J68="〇",OFFSET(集計!B$3,合体!$H68,0),"")</f>
        <v/>
      </c>
      <c r="L68" s="15" t="str">
        <f ca="1">IF($J68="〇",OFFSET(集計!C$3,合体!$H68,0),"")</f>
        <v/>
      </c>
      <c r="M68" s="202" t="str">
        <f ca="1">IF($J68="〇",OFFSET(集計!D$3,合体!$H68,0),"")</f>
        <v/>
      </c>
    </row>
    <row r="69" spans="2:13" x14ac:dyDescent="0.2">
      <c r="B69" s="201">
        <f t="shared" si="0"/>
        <v>65</v>
      </c>
      <c r="C69" s="15" t="str">
        <f>薬品マスタリスト_20260130100542!A67</f>
        <v>アリドネパッチ５５ｍｇ</v>
      </c>
      <c r="D69" s="15" t="str">
        <f>薬品マスタリスト_20260130100542!B67</f>
        <v>ｱﾘﾄﾞﾈﾊﾟﾂﾁ55MG</v>
      </c>
      <c r="E69" s="15">
        <f>薬品マスタリスト_20260130100542!C67</f>
        <v>19</v>
      </c>
      <c r="F69" s="206" t="str">
        <f>薬品マスタリスト_20260130100542!D67</f>
        <v>貼付剤</v>
      </c>
      <c r="G69" s="208" t="str">
        <f>match_results!C66</f>
        <v>アリドネパッチ（２７．５）</v>
      </c>
      <c r="H69" s="208">
        <f>match_results!D66</f>
        <v>599</v>
      </c>
      <c r="I69" s="218">
        <f>match_results!E66</f>
        <v>66.6666666666666</v>
      </c>
      <c r="J69" s="225"/>
      <c r="K69" s="15" t="str">
        <f ca="1">IF($J69="〇",OFFSET(集計!B$3,合体!$H69,0),"")</f>
        <v/>
      </c>
      <c r="L69" s="15" t="str">
        <f ca="1">IF($J69="〇",OFFSET(集計!C$3,合体!$H69,0),"")</f>
        <v/>
      </c>
      <c r="M69" s="202" t="str">
        <f ca="1">IF($J69="〇",OFFSET(集計!D$3,合体!$H69,0),"")</f>
        <v/>
      </c>
    </row>
    <row r="70" spans="2:13" x14ac:dyDescent="0.2">
      <c r="B70" s="201">
        <f t="shared" si="0"/>
        <v>66</v>
      </c>
      <c r="C70" s="15" t="str">
        <f>薬品マスタリスト_20260130100542!A68</f>
        <v>２５ｍｇアリナミンＦ糖衣錠</v>
      </c>
      <c r="D70" s="15" t="str">
        <f>薬品マスタリスト_20260130100542!B68</f>
        <v>25mgｱﾘﾅﾐﾝFﾄｳｲｼﾞｮｳ</v>
      </c>
      <c r="E70" s="15">
        <f>薬品マスタリスト_20260130100542!C68</f>
        <v>1</v>
      </c>
      <c r="F70" s="206" t="str">
        <f>薬品マスタリスト_20260130100542!D68</f>
        <v>錠剤</v>
      </c>
      <c r="G70" s="208" t="str">
        <f>match_results!C67</f>
        <v>２５ＭＧ　アリナミン　Ｆ糖衣錠</v>
      </c>
      <c r="H70" s="208">
        <f>match_results!D67</f>
        <v>314</v>
      </c>
      <c r="I70" s="218">
        <f>match_results!E67</f>
        <v>64.285714285714207</v>
      </c>
      <c r="J70" s="225"/>
      <c r="K70" s="15" t="str">
        <f ca="1">IF($J70="〇",OFFSET(集計!B$3,合体!$H70,0),"")</f>
        <v/>
      </c>
      <c r="L70" s="15" t="str">
        <f ca="1">IF($J70="〇",OFFSET(集計!C$3,合体!$H70,0),"")</f>
        <v/>
      </c>
      <c r="M70" s="202" t="str">
        <f ca="1">IF($J70="〇",OFFSET(集計!D$3,合体!$H70,0),"")</f>
        <v/>
      </c>
    </row>
    <row r="71" spans="2:13" x14ac:dyDescent="0.2">
      <c r="B71" s="201">
        <f t="shared" ref="B71:B134" si="1">B70+1</f>
        <v>67</v>
      </c>
      <c r="C71" s="15" t="str">
        <f>薬品マスタリスト_20260130100542!A69</f>
        <v>アリピプラゾールＯＤ錠３ｍｇ「ヨシトミ」</v>
      </c>
      <c r="D71" s="15" t="str">
        <f>薬品マスタリスト_20260130100542!B69</f>
        <v>ｱﾘﾋﾟﾌﾟﾗｿﾞｰﾙODｼﾞｮｳ3mg｢ﾖｼﾄﾐ｣</v>
      </c>
      <c r="E71" s="15">
        <f>薬品マスタリスト_20260130100542!C69</f>
        <v>1</v>
      </c>
      <c r="F71" s="206" t="str">
        <f>薬品マスタリスト_20260130100542!D69</f>
        <v>錠剤</v>
      </c>
      <c r="G71" s="208" t="str">
        <f>match_results!C68</f>
        <v>アリピプラゾールＯＤ錠３ｍｇ「ニプロ」</v>
      </c>
      <c r="H71" s="208">
        <f>match_results!D68</f>
        <v>492</v>
      </c>
      <c r="I71" s="218">
        <f>match_results!E68</f>
        <v>82.051282051282001</v>
      </c>
      <c r="J71" s="225"/>
      <c r="K71" s="15" t="str">
        <f ca="1">IF($J71="〇",OFFSET(集計!B$3,合体!$H71,0),"")</f>
        <v/>
      </c>
      <c r="L71" s="15" t="str">
        <f ca="1">IF($J71="〇",OFFSET(集計!C$3,合体!$H71,0),"")</f>
        <v/>
      </c>
      <c r="M71" s="202" t="str">
        <f ca="1">IF($J71="〇",OFFSET(集計!D$3,合体!$H71,0),"")</f>
        <v/>
      </c>
    </row>
    <row r="72" spans="2:13" x14ac:dyDescent="0.2">
      <c r="B72" s="201">
        <f t="shared" si="1"/>
        <v>68</v>
      </c>
      <c r="C72" s="15" t="str">
        <f>薬品マスタリスト_20260130100542!A70</f>
        <v>アリピプラゾール内用液分包３ｍｇ「ニプロ」</v>
      </c>
      <c r="D72" s="15" t="str">
        <f>薬品マスタリスト_20260130100542!B70</f>
        <v>ｱﾘﾋﾟﾌﾟﾗｿﾞｰﾙﾅｲﾖｳｴｷﾌﾞﾝﾎﾟｳ3mg｢ﾆﾌﾟﾛ｣</v>
      </c>
      <c r="E72" s="15">
        <f>薬品マスタリスト_20260130100542!C70</f>
        <v>7</v>
      </c>
      <c r="F72" s="206" t="str">
        <f>薬品マスタリスト_20260130100542!D70</f>
        <v>液（内用）</v>
      </c>
      <c r="G72" s="208" t="str">
        <f>match_results!C69</f>
        <v>アリピプラゾールＯＤ錠３ｍｇ「ニプロ」</v>
      </c>
      <c r="H72" s="208">
        <f>match_results!D69</f>
        <v>492</v>
      </c>
      <c r="I72" s="218">
        <f>match_results!E69</f>
        <v>80</v>
      </c>
      <c r="J72" s="225"/>
      <c r="K72" s="15" t="str">
        <f ca="1">IF($J72="〇",OFFSET(集計!B$3,合体!$H72,0),"")</f>
        <v/>
      </c>
      <c r="L72" s="15" t="str">
        <f ca="1">IF($J72="〇",OFFSET(集計!C$3,合体!$H72,0),"")</f>
        <v/>
      </c>
      <c r="M72" s="202" t="str">
        <f ca="1">IF($J72="〇",OFFSET(集計!D$3,合体!$H72,0),"")</f>
        <v/>
      </c>
    </row>
    <row r="73" spans="2:13" x14ac:dyDescent="0.2">
      <c r="B73" s="201">
        <f t="shared" si="1"/>
        <v>69</v>
      </c>
      <c r="C73" s="15" t="str">
        <f>薬品マスタリスト_20260130100542!A71</f>
        <v>アリピプラゾール内用液分包６ｍｇ「ニプロ」</v>
      </c>
      <c r="D73" s="15" t="str">
        <f>薬品マスタリスト_20260130100542!B71</f>
        <v>ｱﾘﾋﾟﾌﾟﾗｿﾞｰﾙﾅｲﾖｳｴｷﾌﾞﾝﾎﾟｳ6mg｢ﾆﾌﾟﾛ｣</v>
      </c>
      <c r="E73" s="15">
        <f>薬品マスタリスト_20260130100542!C71</f>
        <v>7</v>
      </c>
      <c r="F73" s="206" t="str">
        <f>薬品マスタリスト_20260130100542!D71</f>
        <v>液（内用）</v>
      </c>
      <c r="G73" s="208" t="str">
        <f>match_results!C70</f>
        <v>アリピプラゾールＯＤ錠６ｍｇ「ニプロ」</v>
      </c>
      <c r="H73" s="208">
        <f>match_results!D70</f>
        <v>504</v>
      </c>
      <c r="I73" s="218">
        <f>match_results!E70</f>
        <v>80</v>
      </c>
      <c r="J73" s="225"/>
      <c r="K73" s="15" t="str">
        <f ca="1">IF($J73="〇",OFFSET(集計!B$3,合体!$H73,0),"")</f>
        <v/>
      </c>
      <c r="L73" s="15" t="str">
        <f ca="1">IF($J73="〇",OFFSET(集計!C$3,合体!$H73,0),"")</f>
        <v/>
      </c>
      <c r="M73" s="202" t="str">
        <f ca="1">IF($J73="〇",OFFSET(集計!D$3,合体!$H73,0),"")</f>
        <v/>
      </c>
    </row>
    <row r="74" spans="2:13" x14ac:dyDescent="0.2">
      <c r="B74" s="201">
        <f t="shared" si="1"/>
        <v>70</v>
      </c>
      <c r="C74" s="15" t="str">
        <f>薬品マスタリスト_20260130100542!A72</f>
        <v>アリピプラゾールＯＤ錠６ｍｇ「ヨシトミ」</v>
      </c>
      <c r="D74" s="15" t="str">
        <f>薬品マスタリスト_20260130100542!B72</f>
        <v>ｱﾘﾋﾟﾌﾟﾗｿﾞｰﾙODｼﾞｮｳ6mg｢ﾖｼﾄﾐ｣</v>
      </c>
      <c r="E74" s="15">
        <f>薬品マスタリスト_20260130100542!C72</f>
        <v>1</v>
      </c>
      <c r="F74" s="206" t="str">
        <f>薬品マスタリスト_20260130100542!D72</f>
        <v>錠剤</v>
      </c>
      <c r="G74" s="208" t="str">
        <f>match_results!C71</f>
        <v>アリピプラゾールＯＤ錠６ｍｇ「ニプロ」</v>
      </c>
      <c r="H74" s="208">
        <f>match_results!D71</f>
        <v>504</v>
      </c>
      <c r="I74" s="218">
        <f>match_results!E71</f>
        <v>82.051282051282001</v>
      </c>
      <c r="J74" s="225"/>
      <c r="K74" s="15" t="str">
        <f ca="1">IF($J74="〇",OFFSET(集計!B$3,合体!$H74,0),"")</f>
        <v/>
      </c>
      <c r="L74" s="15" t="str">
        <f ca="1">IF($J74="〇",OFFSET(集計!C$3,合体!$H74,0),"")</f>
        <v/>
      </c>
      <c r="M74" s="202" t="str">
        <f ca="1">IF($J74="〇",OFFSET(集計!D$3,合体!$H74,0),"")</f>
        <v/>
      </c>
    </row>
    <row r="75" spans="2:13" x14ac:dyDescent="0.2">
      <c r="B75" s="201">
        <f t="shared" si="1"/>
        <v>71</v>
      </c>
      <c r="C75" s="15" t="str">
        <f>薬品マスタリスト_20260130100542!A73</f>
        <v>アリピプラゾール散１％「ヨシトミ」</v>
      </c>
      <c r="D75" s="15" t="str">
        <f>薬品マスタリスト_20260130100542!B73</f>
        <v>ｱﾘﾋﾟﾌﾟﾗｿﾞｰﾙｻﾝ1%｢ﾖｼﾄﾐ｣</v>
      </c>
      <c r="E75" s="15">
        <f>薬品マスタリスト_20260130100542!C73</f>
        <v>3</v>
      </c>
      <c r="F75" s="206" t="str">
        <f>薬品マスタリスト_20260130100542!D73</f>
        <v>散</v>
      </c>
      <c r="G75" s="208" t="str">
        <f>match_results!C72</f>
        <v>アリピプラゾール散１％「ニプロ」</v>
      </c>
      <c r="H75" s="208">
        <f>match_results!D72</f>
        <v>125</v>
      </c>
      <c r="I75" s="218">
        <f>match_results!E72</f>
        <v>78.787878787878697</v>
      </c>
      <c r="J75" s="225"/>
      <c r="K75" s="15" t="str">
        <f ca="1">IF($J75="〇",OFFSET(集計!B$3,合体!$H75,0),"")</f>
        <v/>
      </c>
      <c r="L75" s="15" t="str">
        <f ca="1">IF($J75="〇",OFFSET(集計!C$3,合体!$H75,0),"")</f>
        <v/>
      </c>
      <c r="M75" s="202" t="str">
        <f ca="1">IF($J75="〇",OFFSET(集計!D$3,合体!$H75,0),"")</f>
        <v/>
      </c>
    </row>
    <row r="76" spans="2:13" x14ac:dyDescent="0.2">
      <c r="B76" s="201">
        <f t="shared" si="1"/>
        <v>72</v>
      </c>
      <c r="C76" s="15" t="str">
        <f>薬品マスタリスト_20260130100542!A74</f>
        <v>アリピプラゾールＯＤ錠１２ｍｇ「ヨシトミ」</v>
      </c>
      <c r="D76" s="15" t="str">
        <f>薬品マスタリスト_20260130100542!B74</f>
        <v>ｱﾘﾋﾟﾌﾟﾗｿﾞｰﾙODｼﾞｮｳ12mg｢ﾖｼﾄﾐ｣</v>
      </c>
      <c r="E76" s="15">
        <f>薬品マスタリスト_20260130100542!C74</f>
        <v>1</v>
      </c>
      <c r="F76" s="206" t="str">
        <f>薬品マスタリスト_20260130100542!D74</f>
        <v>錠剤</v>
      </c>
      <c r="G76" s="208" t="str">
        <f>match_results!C73</f>
        <v>アリピプラゾールＯＤ錠１２ｍｇ「ニプロ」</v>
      </c>
      <c r="H76" s="208">
        <f>match_results!D73</f>
        <v>612</v>
      </c>
      <c r="I76" s="218">
        <f>match_results!E73</f>
        <v>82.926829268292593</v>
      </c>
      <c r="J76" s="225"/>
      <c r="K76" s="15" t="str">
        <f ca="1">IF($J76="〇",OFFSET(集計!B$3,合体!$H76,0),"")</f>
        <v/>
      </c>
      <c r="L76" s="15" t="str">
        <f ca="1">IF($J76="〇",OFFSET(集計!C$3,合体!$H76,0),"")</f>
        <v/>
      </c>
      <c r="M76" s="202" t="str">
        <f ca="1">IF($J76="〇",OFFSET(集計!D$3,合体!$H76,0),"")</f>
        <v/>
      </c>
    </row>
    <row r="77" spans="2:13" x14ac:dyDescent="0.2">
      <c r="B77" s="201">
        <f t="shared" si="1"/>
        <v>73</v>
      </c>
      <c r="C77" s="15" t="str">
        <f>薬品マスタリスト_20260130100542!A75</f>
        <v>アリピプラゾールＯＤ錠３ｍｇ「ニプロ」</v>
      </c>
      <c r="D77" s="15" t="str">
        <f>薬品マスタリスト_20260130100542!B75</f>
        <v>ｱﾘﾋﾟﾌﾟﾗｿﾞ-ﾙODｼﾞﾖｳ3MGﾆﾌﾟﾛ</v>
      </c>
      <c r="E77" s="15">
        <f>薬品マスタリスト_20260130100542!C75</f>
        <v>1</v>
      </c>
      <c r="F77" s="206" t="str">
        <f>薬品マスタリスト_20260130100542!D75</f>
        <v>錠剤</v>
      </c>
      <c r="G77" s="208" t="str">
        <f>match_results!C74</f>
        <v>アリピプラゾールＯＤ錠３ｍｇ「ニプロ」</v>
      </c>
      <c r="H77" s="208">
        <f>match_results!D74</f>
        <v>492</v>
      </c>
      <c r="I77" s="218">
        <f>match_results!E74</f>
        <v>100</v>
      </c>
      <c r="J77" s="225" t="s">
        <v>3917</v>
      </c>
      <c r="K77" s="15">
        <f ca="1">IF($J77="〇",OFFSET(集計!B$3,合体!$H77,0),"")</f>
        <v>5.88</v>
      </c>
      <c r="L77" s="15">
        <f ca="1">IF($J77="〇",OFFSET(集計!C$3,合体!$H77,0),"")</f>
        <v>2215.7777777777778</v>
      </c>
      <c r="M77" s="202">
        <f ca="1">IF($J77="〇",OFFSET(集計!D$3,合体!$H77,0),"")</f>
        <v>13028.773333333333</v>
      </c>
    </row>
    <row r="78" spans="2:13" x14ac:dyDescent="0.2">
      <c r="B78" s="201">
        <f t="shared" si="1"/>
        <v>74</v>
      </c>
      <c r="C78" s="15" t="str">
        <f>薬品マスタリスト_20260130100542!A76</f>
        <v>アリピプラゾールＯＤ錠１２ｍｇ「ニプロ」</v>
      </c>
      <c r="D78" s="15" t="str">
        <f>薬品マスタリスト_20260130100542!B76</f>
        <v>ｱﾘﾋﾟﾌﾟﾗｿﾞ-ﾙODｼﾞﾖｳ12MGﾆﾌﾟﾛ</v>
      </c>
      <c r="E78" s="15">
        <f>薬品マスタリスト_20260130100542!C76</f>
        <v>1</v>
      </c>
      <c r="F78" s="206" t="str">
        <f>薬品マスタリスト_20260130100542!D76</f>
        <v>錠剤</v>
      </c>
      <c r="G78" s="208" t="str">
        <f>match_results!C75</f>
        <v>アリピプラゾールＯＤ錠１２ｍｇ「ニプロ」</v>
      </c>
      <c r="H78" s="208">
        <f>match_results!D75</f>
        <v>612</v>
      </c>
      <c r="I78" s="218">
        <f>match_results!E75</f>
        <v>100</v>
      </c>
      <c r="J78" s="225" t="s">
        <v>3917</v>
      </c>
      <c r="K78" s="15">
        <f ca="1">IF($J78="〇",OFFSET(集計!B$3,合体!$H78,0),"")</f>
        <v>21.12</v>
      </c>
      <c r="L78" s="15">
        <f ca="1">IF($J78="〇",OFFSET(集計!C$3,合体!$H78,0),"")</f>
        <v>1904</v>
      </c>
      <c r="M78" s="202">
        <f ca="1">IF($J78="〇",OFFSET(集計!D$3,合体!$H78,0),"")</f>
        <v>40212.480000000003</v>
      </c>
    </row>
    <row r="79" spans="2:13" x14ac:dyDescent="0.2">
      <c r="B79" s="201">
        <f t="shared" si="1"/>
        <v>75</v>
      </c>
      <c r="C79" s="15" t="str">
        <f>薬品マスタリスト_20260130100542!A77</f>
        <v>アリピプラゾールＯＤ錠６ｍｇ「ニプロ」</v>
      </c>
      <c r="D79" s="15" t="str">
        <f>薬品マスタリスト_20260130100542!B77</f>
        <v>ｱﾘﾋﾟﾌﾟﾗｿﾞ-ﾙODｼﾞﾖｳ6MGﾆﾌﾟﾛ</v>
      </c>
      <c r="E79" s="15">
        <f>薬品マスタリスト_20260130100542!C77</f>
        <v>1</v>
      </c>
      <c r="F79" s="206" t="str">
        <f>薬品マスタリスト_20260130100542!D77</f>
        <v>錠剤</v>
      </c>
      <c r="G79" s="208" t="str">
        <f>match_results!C76</f>
        <v>アリピプラゾールＯＤ錠６ｍｇ「ニプロ」</v>
      </c>
      <c r="H79" s="208">
        <f>match_results!D76</f>
        <v>504</v>
      </c>
      <c r="I79" s="218">
        <f>match_results!E76</f>
        <v>100</v>
      </c>
      <c r="J79" s="225" t="s">
        <v>3917</v>
      </c>
      <c r="K79" s="15">
        <f ca="1">IF($J79="〇",OFFSET(集計!B$3,合体!$H79,0),"")</f>
        <v>10.96</v>
      </c>
      <c r="L79" s="15">
        <f ca="1">IF($J79="〇",OFFSET(集計!C$3,合体!$H79,0),"")</f>
        <v>1290</v>
      </c>
      <c r="M79" s="202">
        <f ca="1">IF($J79="〇",OFFSET(集計!D$3,合体!$H79,0),"")</f>
        <v>14138.400000000001</v>
      </c>
    </row>
    <row r="80" spans="2:13" x14ac:dyDescent="0.2">
      <c r="B80" s="201">
        <f t="shared" si="1"/>
        <v>76</v>
      </c>
      <c r="C80" s="15" t="str">
        <f>薬品マスタリスト_20260130100542!A78</f>
        <v>アリピプラゾール散１％「ニプロ」</v>
      </c>
      <c r="D80" s="15" t="str">
        <f>薬品マスタリスト_20260130100542!B78</f>
        <v>ｱﾘﾋﾟﾌﾟﾗｿﾞ-ﾙｻﾝ1%ﾆﾌﾟﾛ</v>
      </c>
      <c r="E80" s="15">
        <f>薬品マスタリスト_20260130100542!C78</f>
        <v>3</v>
      </c>
      <c r="F80" s="206" t="str">
        <f>薬品マスタリスト_20260130100542!D78</f>
        <v>散</v>
      </c>
      <c r="G80" s="208" t="str">
        <f>match_results!C77</f>
        <v>アリピプラゾール散１％「ニプロ」</v>
      </c>
      <c r="H80" s="208">
        <f>match_results!D77</f>
        <v>125</v>
      </c>
      <c r="I80" s="218">
        <f>match_results!E77</f>
        <v>100</v>
      </c>
      <c r="J80" s="225" t="s">
        <v>3917</v>
      </c>
      <c r="K80" s="15">
        <f ca="1">IF($J80="〇",OFFSET(集計!B$3,合体!$H80,0),"")</f>
        <v>17.2</v>
      </c>
      <c r="L80" s="15">
        <f ca="1">IF($J80="〇",OFFSET(集計!C$3,合体!$H80,0),"")</f>
        <v>102</v>
      </c>
      <c r="M80" s="202">
        <f ca="1">IF($J80="〇",OFFSET(集計!D$3,合体!$H80,0),"")</f>
        <v>1754.3999999999999</v>
      </c>
    </row>
    <row r="81" spans="2:13" x14ac:dyDescent="0.2">
      <c r="B81" s="201">
        <f t="shared" si="1"/>
        <v>77</v>
      </c>
      <c r="C81" s="15" t="str">
        <f>薬品マスタリスト_20260130100542!A79</f>
        <v>アリピプラゾール錠１ｍｇ「サワイ」</v>
      </c>
      <c r="D81" s="15" t="str">
        <f>薬品マスタリスト_20260130100542!B79</f>
        <v>ｱﾘﾋﾟﾌﾟﾗｿﾞ-ﾙｼﾞﾖｳ1MGｻﾜｲ</v>
      </c>
      <c r="E81" s="15">
        <f>薬品マスタリスト_20260130100542!C79</f>
        <v>1</v>
      </c>
      <c r="F81" s="206" t="str">
        <f>薬品マスタリスト_20260130100542!D79</f>
        <v>錠剤</v>
      </c>
      <c r="G81" s="208" t="str">
        <f>match_results!C78</f>
        <v>アリピプラゾール錠１ｍｇ「サワイ」</v>
      </c>
      <c r="H81" s="208">
        <f>match_results!D78</f>
        <v>313</v>
      </c>
      <c r="I81" s="218">
        <f>match_results!E78</f>
        <v>100</v>
      </c>
      <c r="J81" s="225" t="s">
        <v>3917</v>
      </c>
      <c r="K81" s="15">
        <f ca="1">IF($J81="〇",OFFSET(集計!B$3,合体!$H81,0),"")</f>
        <v>5.3</v>
      </c>
      <c r="L81" s="15">
        <f ca="1">IF($J81="〇",OFFSET(集計!C$3,合体!$H81,0),"")</f>
        <v>944</v>
      </c>
      <c r="M81" s="202">
        <f ca="1">IF($J81="〇",OFFSET(集計!D$3,合体!$H81,0),"")</f>
        <v>5003.2</v>
      </c>
    </row>
    <row r="82" spans="2:13" x14ac:dyDescent="0.2">
      <c r="B82" s="201">
        <f t="shared" si="1"/>
        <v>78</v>
      </c>
      <c r="C82" s="15" t="str">
        <f>薬品マスタリスト_20260130100542!A80</f>
        <v>アルサルミン液</v>
      </c>
      <c r="D82" s="15" t="str">
        <f>薬品マスタリスト_20260130100542!B80</f>
        <v>ｱﾙｻﾙﾐﾝｴｷ</v>
      </c>
      <c r="E82" s="15">
        <f>薬品マスタリスト_20260130100542!C80</f>
        <v>7</v>
      </c>
      <c r="F82" s="206" t="str">
        <f>薬品マスタリスト_20260130100542!D80</f>
        <v>液（内用）</v>
      </c>
      <c r="G82" s="208" t="str">
        <f>match_results!C79</f>
        <v>アジルサルタンＯＤ２０ｍｇ</v>
      </c>
      <c r="H82" s="208">
        <f>match_results!D79</f>
        <v>601</v>
      </c>
      <c r="I82" s="218">
        <f>match_results!E79</f>
        <v>50</v>
      </c>
      <c r="J82" s="225"/>
      <c r="K82" s="15" t="str">
        <f ca="1">IF($J82="〇",OFFSET(集計!B$3,合体!$H82,0),"")</f>
        <v/>
      </c>
      <c r="L82" s="15" t="str">
        <f ca="1">IF($J82="〇",OFFSET(集計!C$3,合体!$H82,0),"")</f>
        <v/>
      </c>
      <c r="M82" s="202" t="str">
        <f ca="1">IF($J82="〇",OFFSET(集計!D$3,合体!$H82,0),"")</f>
        <v/>
      </c>
    </row>
    <row r="83" spans="2:13" x14ac:dyDescent="0.2">
      <c r="B83" s="201">
        <f t="shared" si="1"/>
        <v>79</v>
      </c>
      <c r="C83" s="15" t="str">
        <f>薬品マスタリスト_20260130100542!A81</f>
        <v>アルダクトンＡ錠２５ｍｇ</v>
      </c>
      <c r="D83" s="15" t="str">
        <f>薬品マスタリスト_20260130100542!B81</f>
        <v>ｱﾙﾀﾞｸﾄﾝAｼﾞｮｳ25mg</v>
      </c>
      <c r="E83" s="15">
        <f>薬品マスタリスト_20260130100542!C81</f>
        <v>1</v>
      </c>
      <c r="F83" s="206" t="str">
        <f>薬品マスタリスト_20260130100542!D81</f>
        <v>錠剤</v>
      </c>
      <c r="G83" s="208" t="str">
        <f>match_results!C80</f>
        <v>アルダクトンＡ錠２５ｍｇ</v>
      </c>
      <c r="H83" s="208">
        <f>match_results!D80</f>
        <v>240</v>
      </c>
      <c r="I83" s="218">
        <f>match_results!E80</f>
        <v>100</v>
      </c>
      <c r="J83" s="225" t="s">
        <v>3917</v>
      </c>
      <c r="K83" s="15">
        <f ca="1">IF($J83="〇",OFFSET(集計!B$3,合体!$H83,0),"")</f>
        <v>12.59</v>
      </c>
      <c r="L83" s="15">
        <f ca="1">IF($J83="〇",OFFSET(集計!C$3,合体!$H83,0),"")</f>
        <v>270</v>
      </c>
      <c r="M83" s="202">
        <f ca="1">IF($J83="〇",OFFSET(集計!D$3,合体!$H83,0),"")</f>
        <v>3399.3</v>
      </c>
    </row>
    <row r="84" spans="2:13" x14ac:dyDescent="0.2">
      <c r="B84" s="201">
        <f t="shared" si="1"/>
        <v>80</v>
      </c>
      <c r="C84" s="15" t="str">
        <f>薬品マスタリスト_20260130100542!A82</f>
        <v>アルファカルシドールカプセル０．５μｇ「サワイ」</v>
      </c>
      <c r="D84" s="15" t="str">
        <f>薬品マスタリスト_20260130100542!B82</f>
        <v>ｱﾙﾌｧｶﾙｼﾄﾞｰﾙｶﾌﾟｾﾙ0.5μg｢ｻﾜｲ｣</v>
      </c>
      <c r="E84" s="15">
        <f>薬品マスタリスト_20260130100542!C82</f>
        <v>2</v>
      </c>
      <c r="F84" s="206" t="str">
        <f>薬品マスタリスト_20260130100542!D82</f>
        <v>カプセル</v>
      </c>
      <c r="G84" s="208" t="str">
        <f>match_results!C81</f>
        <v>アルファカルシドール０．５「フソー」</v>
      </c>
      <c r="H84" s="208">
        <f>match_results!D81</f>
        <v>470</v>
      </c>
      <c r="I84" s="218">
        <f>match_results!E81</f>
        <v>71.428571428571402</v>
      </c>
      <c r="J84" s="225"/>
      <c r="K84" s="15" t="str">
        <f ca="1">IF($J84="〇",OFFSET(集計!B$3,合体!$H84,0),"")</f>
        <v/>
      </c>
      <c r="L84" s="15" t="str">
        <f ca="1">IF($J84="〇",OFFSET(集計!C$3,合体!$H84,0),"")</f>
        <v/>
      </c>
      <c r="M84" s="202" t="str">
        <f ca="1">IF($J84="〇",OFFSET(集計!D$3,合体!$H84,0),"")</f>
        <v/>
      </c>
    </row>
    <row r="85" spans="2:13" x14ac:dyDescent="0.2">
      <c r="B85" s="201">
        <f t="shared" si="1"/>
        <v>81</v>
      </c>
      <c r="C85" s="15" t="str">
        <f>薬品マスタリスト_20260130100542!A83</f>
        <v>アルブミナー２５％静注１２．５ｇ／５０ｍＬ</v>
      </c>
      <c r="D85" s="15" t="str">
        <f>薬品マスタリスト_20260130100542!B83</f>
        <v>ｱﾙﾌﾞﾐﾅｰ25%ｼﾞｮｳﾁｭｳ12.5g/50mL</v>
      </c>
      <c r="E85" s="15">
        <f>薬品マスタリスト_20260130100542!C83</f>
        <v>25</v>
      </c>
      <c r="F85" s="206" t="str">
        <f>薬品マスタリスト_20260130100542!D83</f>
        <v>注射剤</v>
      </c>
      <c r="G85" s="208" t="str">
        <f>match_results!C82</f>
        <v>アルブミナ－　２５％静注１２．５Ｇ／５０ＭＬ</v>
      </c>
      <c r="H85" s="208">
        <f>match_results!D82</f>
        <v>270</v>
      </c>
      <c r="I85" s="218">
        <f>match_results!E82</f>
        <v>83.720930232558104</v>
      </c>
      <c r="J85" s="225"/>
      <c r="K85" s="15" t="str">
        <f ca="1">IF($J85="〇",OFFSET(集計!B$3,合体!$H85,0),"")</f>
        <v/>
      </c>
      <c r="L85" s="15" t="str">
        <f ca="1">IF($J85="〇",OFFSET(集計!C$3,合体!$H85,0),"")</f>
        <v/>
      </c>
      <c r="M85" s="202" t="str">
        <f ca="1">IF($J85="〇",OFFSET(集計!D$3,合体!$H85,0),"")</f>
        <v/>
      </c>
    </row>
    <row r="86" spans="2:13" x14ac:dyDescent="0.2">
      <c r="B86" s="201">
        <f t="shared" si="1"/>
        <v>82</v>
      </c>
      <c r="C86" s="15" t="str">
        <f>薬品マスタリスト_20260130100542!A84</f>
        <v>アルファカルシドールカプセル０．５μｇ「フソー」</v>
      </c>
      <c r="D86" s="15" t="str">
        <f>薬品マスタリスト_20260130100542!B84</f>
        <v>ｱﾙﾌｱｶﾙｼﾄﾞ-ﾙｶﾌﾟｾﾙ0.5ﾏｲｸﾛGﾌｿ-</v>
      </c>
      <c r="E86" s="15">
        <f>薬品マスタリスト_20260130100542!C84</f>
        <v>2</v>
      </c>
      <c r="F86" s="206" t="str">
        <f>薬品マスタリスト_20260130100542!D84</f>
        <v>カプセル</v>
      </c>
      <c r="G86" s="208" t="str">
        <f>match_results!C83</f>
        <v>アルファカルシドール０．５「フソー」</v>
      </c>
      <c r="H86" s="208">
        <f>match_results!D83</f>
        <v>470</v>
      </c>
      <c r="I86" s="218">
        <f>match_results!E83</f>
        <v>85.714285714285694</v>
      </c>
      <c r="J86" s="225"/>
      <c r="K86" s="15" t="str">
        <f ca="1">IF($J86="〇",OFFSET(集計!B$3,合体!$H86,0),"")</f>
        <v/>
      </c>
      <c r="L86" s="15" t="str">
        <f ca="1">IF($J86="〇",OFFSET(集計!C$3,合体!$H86,0),"")</f>
        <v/>
      </c>
      <c r="M86" s="202" t="str">
        <f ca="1">IF($J86="〇",OFFSET(集計!D$3,合体!$H86,0),"")</f>
        <v/>
      </c>
    </row>
    <row r="87" spans="2:13" x14ac:dyDescent="0.2">
      <c r="B87" s="201">
        <f t="shared" si="1"/>
        <v>83</v>
      </c>
      <c r="C87" s="15" t="str">
        <f>薬品マスタリスト_20260130100542!A85</f>
        <v>アルメタ軟膏</v>
      </c>
      <c r="D87" s="15" t="str">
        <f>薬品マスタリスト_20260130100542!B85</f>
        <v>ｱﾙﾒﾀﾅﾝｺｳ</v>
      </c>
      <c r="E87" s="15">
        <f>薬品マスタリスト_20260130100542!C85</f>
        <v>14</v>
      </c>
      <c r="F87" s="206" t="str">
        <f>薬品マスタリスト_20260130100542!D85</f>
        <v>軟膏</v>
      </c>
      <c r="G87" s="208" t="str">
        <f>match_results!C84</f>
        <v>ボアラ軟膏</v>
      </c>
      <c r="H87" s="208">
        <f>match_results!D84</f>
        <v>265</v>
      </c>
      <c r="I87" s="218">
        <f>match_results!E84</f>
        <v>54.545454545454497</v>
      </c>
      <c r="J87" s="225"/>
      <c r="K87" s="15" t="str">
        <f ca="1">IF($J87="〇",OFFSET(集計!B$3,合体!$H87,0),"")</f>
        <v/>
      </c>
      <c r="L87" s="15" t="str">
        <f ca="1">IF($J87="〇",OFFSET(集計!C$3,合体!$H87,0),"")</f>
        <v/>
      </c>
      <c r="M87" s="202" t="str">
        <f ca="1">IF($J87="〇",OFFSET(集計!D$3,合体!$H87,0),"")</f>
        <v/>
      </c>
    </row>
    <row r="88" spans="2:13" x14ac:dyDescent="0.2">
      <c r="B88" s="201">
        <f t="shared" si="1"/>
        <v>84</v>
      </c>
      <c r="C88" s="15" t="str">
        <f>薬品マスタリスト_20260130100542!A86</f>
        <v>アレギサール点眼液０．１％</v>
      </c>
      <c r="D88" s="15" t="str">
        <f>薬品マスタリスト_20260130100542!B86</f>
        <v>ｱﾚｷﾞｻｰﾙﾃﾝｶﾞﾝｴｷ0.1%</v>
      </c>
      <c r="E88" s="15">
        <f>薬品マスタリスト_20260130100542!C86</f>
        <v>21</v>
      </c>
      <c r="F88" s="206" t="str">
        <f>薬品マスタリスト_20260130100542!D86</f>
        <v>点眼剤</v>
      </c>
      <c r="G88" s="208" t="str">
        <f>match_results!C85</f>
        <v>アレギサール点眼液０．１％　５ｍｌ／本</v>
      </c>
      <c r="H88" s="208">
        <f>match_results!D85</f>
        <v>468</v>
      </c>
      <c r="I88" s="218">
        <f>match_results!E85</f>
        <v>81.25</v>
      </c>
      <c r="J88" s="225"/>
      <c r="K88" s="15" t="str">
        <f ca="1">IF($J88="〇",OFFSET(集計!B$3,合体!$H88,0),"")</f>
        <v/>
      </c>
      <c r="L88" s="15" t="str">
        <f ca="1">IF($J88="〇",OFFSET(集計!C$3,合体!$H88,0),"")</f>
        <v/>
      </c>
      <c r="M88" s="202" t="str">
        <f ca="1">IF($J88="〇",OFFSET(集計!D$3,合体!$H88,0),"")</f>
        <v/>
      </c>
    </row>
    <row r="89" spans="2:13" x14ac:dyDescent="0.2">
      <c r="B89" s="201">
        <f t="shared" si="1"/>
        <v>85</v>
      </c>
      <c r="C89" s="15" t="str">
        <f>薬品マスタリスト_20260130100542!A87</f>
        <v>アレビアチン散１０％</v>
      </c>
      <c r="D89" s="15" t="str">
        <f>薬品マスタリスト_20260130100542!B87</f>
        <v>ｱﾚﾋﾞｱﾁﾝｻﾝ10%</v>
      </c>
      <c r="E89" s="15">
        <f>薬品マスタリスト_20260130100542!C87</f>
        <v>3</v>
      </c>
      <c r="F89" s="206" t="str">
        <f>薬品マスタリスト_20260130100542!D87</f>
        <v>散</v>
      </c>
      <c r="G89" s="208" t="str">
        <f>match_results!C86</f>
        <v>アレビアチン散１０％　</v>
      </c>
      <c r="H89" s="208">
        <f>match_results!D86</f>
        <v>256</v>
      </c>
      <c r="I89" s="218">
        <f>match_results!E86</f>
        <v>100</v>
      </c>
      <c r="J89" s="225" t="s">
        <v>3917</v>
      </c>
      <c r="K89" s="15">
        <f ca="1">IF($J89="〇",OFFSET(集計!B$3,合体!$H89,0),"")</f>
        <v>10.79</v>
      </c>
      <c r="L89" s="15">
        <f ca="1">IF($J89="〇",OFFSET(集計!C$3,合体!$H89,0),"")</f>
        <v>339</v>
      </c>
      <c r="M89" s="202">
        <f ca="1">IF($J89="〇",OFFSET(集計!D$3,合体!$H89,0),"")</f>
        <v>3657.8099999999995</v>
      </c>
    </row>
    <row r="90" spans="2:13" x14ac:dyDescent="0.2">
      <c r="B90" s="201">
        <f t="shared" si="1"/>
        <v>86</v>
      </c>
      <c r="C90" s="15" t="str">
        <f>薬品マスタリスト_20260130100542!A88</f>
        <v>アレビアチン注射液</v>
      </c>
      <c r="D90" s="15" t="str">
        <f>薬品マスタリスト_20260130100542!B88</f>
        <v>ｱﾚﾋﾞｱﾁﾝﾁｭｳｼｬｴｷ</v>
      </c>
      <c r="E90" s="15">
        <f>薬品マスタリスト_20260130100542!C88</f>
        <v>25</v>
      </c>
      <c r="F90" s="206" t="str">
        <f>薬品マスタリスト_20260130100542!D88</f>
        <v>注射剤</v>
      </c>
      <c r="G90" s="208" t="str">
        <f>match_results!C87</f>
        <v>アレビアチン散１０％　</v>
      </c>
      <c r="H90" s="208">
        <f>match_results!D87</f>
        <v>256</v>
      </c>
      <c r="I90" s="218">
        <f>match_results!E87</f>
        <v>63.157894736842103</v>
      </c>
      <c r="J90" s="225"/>
      <c r="K90" s="15" t="str">
        <f ca="1">IF($J90="〇",OFFSET(集計!B$3,合体!$H90,0),"")</f>
        <v/>
      </c>
      <c r="L90" s="15" t="str">
        <f ca="1">IF($J90="〇",OFFSET(集計!C$3,合体!$H90,0),"")</f>
        <v/>
      </c>
      <c r="M90" s="202" t="str">
        <f ca="1">IF($J90="〇",OFFSET(集計!D$3,合体!$H90,0),"")</f>
        <v/>
      </c>
    </row>
    <row r="91" spans="2:13" x14ac:dyDescent="0.2">
      <c r="B91" s="201">
        <f t="shared" si="1"/>
        <v>87</v>
      </c>
      <c r="C91" s="15" t="str">
        <f>薬品マスタリスト_20260130100542!A89</f>
        <v>アレンドロン酸点滴静注バッグ９００μｇ「ＨＫ」</v>
      </c>
      <c r="D91" s="15" t="str">
        <f>薬品マスタリスト_20260130100542!B89</f>
        <v>ｱﾚﾝﾄﾞﾛﾝｻﾝﾃﾝﾃｷｼﾞｮｳﾁｭｳﾊﾞｯｸﾞ900μg｢HK｣</v>
      </c>
      <c r="E91" s="15">
        <f>薬品マスタリスト_20260130100542!C89</f>
        <v>25</v>
      </c>
      <c r="F91" s="206" t="str">
        <f>薬品マスタリスト_20260130100542!D89</f>
        <v>注射剤</v>
      </c>
      <c r="G91" s="208" t="str">
        <f>match_results!C88</f>
        <v>レボフロキサシン点滴静注バッグ</v>
      </c>
      <c r="H91" s="208">
        <f>match_results!D88</f>
        <v>481</v>
      </c>
      <c r="I91" s="218">
        <f>match_results!E88</f>
        <v>52.631578947368403</v>
      </c>
      <c r="J91" s="225"/>
      <c r="K91" s="15" t="str">
        <f ca="1">IF($J91="〇",OFFSET(集計!B$3,合体!$H91,0),"")</f>
        <v/>
      </c>
      <c r="L91" s="15" t="str">
        <f ca="1">IF($J91="〇",OFFSET(集計!C$3,合体!$H91,0),"")</f>
        <v/>
      </c>
      <c r="M91" s="202" t="str">
        <f ca="1">IF($J91="〇",OFFSET(集計!D$3,合体!$H91,0),"")</f>
        <v/>
      </c>
    </row>
    <row r="92" spans="2:13" x14ac:dyDescent="0.2">
      <c r="B92" s="201">
        <f t="shared" si="1"/>
        <v>88</v>
      </c>
      <c r="C92" s="15" t="str">
        <f>薬品マスタリスト_20260130100542!A90</f>
        <v>アロプリノール錠１００ｍｇ「サワイ」</v>
      </c>
      <c r="D92" s="15" t="str">
        <f>薬品マスタリスト_20260130100542!B90</f>
        <v>ｱﾛﾌﾟﾘﾉｰﾙｼﾞｮｳ100mg｢ｻﾜｲ｣</v>
      </c>
      <c r="E92" s="15">
        <f>薬品マスタリスト_20260130100542!C90</f>
        <v>1</v>
      </c>
      <c r="F92" s="206" t="str">
        <f>薬品マスタリスト_20260130100542!D90</f>
        <v>錠剤</v>
      </c>
      <c r="G92" s="208" t="str">
        <f>match_results!C89</f>
        <v>アロプリノール錠１００ｍｇ</v>
      </c>
      <c r="H92" s="208">
        <f>match_results!D89</f>
        <v>520</v>
      </c>
      <c r="I92" s="218">
        <f>match_results!E89</f>
        <v>83.870967741935402</v>
      </c>
      <c r="J92" s="225"/>
      <c r="K92" s="15" t="str">
        <f ca="1">IF($J92="〇",OFFSET(集計!B$3,合体!$H92,0),"")</f>
        <v/>
      </c>
      <c r="L92" s="15" t="str">
        <f ca="1">IF($J92="〇",OFFSET(集計!C$3,合体!$H92,0),"")</f>
        <v/>
      </c>
      <c r="M92" s="202" t="str">
        <f ca="1">IF($J92="〇",OFFSET(集計!D$3,合体!$H92,0),"")</f>
        <v/>
      </c>
    </row>
    <row r="93" spans="2:13" x14ac:dyDescent="0.2">
      <c r="B93" s="201">
        <f t="shared" si="1"/>
        <v>89</v>
      </c>
      <c r="C93" s="15" t="str">
        <f>薬品マスタリスト_20260130100542!A91</f>
        <v>アンテベート軟膏０．０５％</v>
      </c>
      <c r="D93" s="15" t="str">
        <f>薬品マスタリスト_20260130100542!B91</f>
        <v>ｱﾝﾃﾍﾞｰﾄﾅﾝｺｳ0.05%</v>
      </c>
      <c r="E93" s="15">
        <f>薬品マスタリスト_20260130100542!C91</f>
        <v>14</v>
      </c>
      <c r="F93" s="206" t="str">
        <f>薬品マスタリスト_20260130100542!D91</f>
        <v>軟膏</v>
      </c>
      <c r="G93" s="208" t="str">
        <f>match_results!C90</f>
        <v>デルモベ－ト軟膏０．０５％　５ｇ／本</v>
      </c>
      <c r="H93" s="208">
        <f>match_results!D90</f>
        <v>168</v>
      </c>
      <c r="I93" s="218">
        <f>match_results!E90</f>
        <v>58.064516129032199</v>
      </c>
      <c r="J93" s="225"/>
      <c r="K93" s="15" t="str">
        <f ca="1">IF($J93="〇",OFFSET(集計!B$3,合体!$H93,0),"")</f>
        <v/>
      </c>
      <c r="L93" s="15" t="str">
        <f ca="1">IF($J93="〇",OFFSET(集計!C$3,合体!$H93,0),"")</f>
        <v/>
      </c>
      <c r="M93" s="202" t="str">
        <f ca="1">IF($J93="〇",OFFSET(集計!D$3,合体!$H93,0),"")</f>
        <v/>
      </c>
    </row>
    <row r="94" spans="2:13" x14ac:dyDescent="0.2">
      <c r="B94" s="201">
        <f t="shared" si="1"/>
        <v>90</v>
      </c>
      <c r="C94" s="15" t="str">
        <f>薬品マスタリスト_20260130100542!A92</f>
        <v>アンヒバ坐剤小児用２００ｍｇ</v>
      </c>
      <c r="D94" s="15" t="str">
        <f>薬品マスタリスト_20260130100542!B92</f>
        <v>ｱﾝﾋﾊﾞｻﾞｻﾞｲｼｮｳﾆﾖｳ200mg</v>
      </c>
      <c r="E94" s="15">
        <f>薬品マスタリスト_20260130100542!C92</f>
        <v>12</v>
      </c>
      <c r="F94" s="206" t="str">
        <f>薬品マスタリスト_20260130100542!D92</f>
        <v>坐剤</v>
      </c>
      <c r="G94" s="208" t="str">
        <f>match_results!C91</f>
        <v>クエチアピン錠２００ｍｇ</v>
      </c>
      <c r="H94" s="208">
        <f>match_results!D91</f>
        <v>596</v>
      </c>
      <c r="I94" s="218">
        <f>match_results!E91</f>
        <v>53.846153846153797</v>
      </c>
      <c r="J94" s="225"/>
      <c r="K94" s="15" t="str">
        <f ca="1">IF($J94="〇",OFFSET(集計!B$3,合体!$H94,0),"")</f>
        <v/>
      </c>
      <c r="L94" s="15" t="str">
        <f ca="1">IF($J94="〇",OFFSET(集計!C$3,合体!$H94,0),"")</f>
        <v/>
      </c>
      <c r="M94" s="202" t="str">
        <f ca="1">IF($J94="〇",OFFSET(集計!D$3,合体!$H94,0),"")</f>
        <v/>
      </c>
    </row>
    <row r="95" spans="2:13" x14ac:dyDescent="0.2">
      <c r="B95" s="201">
        <f t="shared" si="1"/>
        <v>91</v>
      </c>
      <c r="C95" s="15" t="str">
        <f>薬品マスタリスト_20260130100542!A93</f>
        <v>イグザレルト錠１０ｍｇ</v>
      </c>
      <c r="D95" s="15" t="str">
        <f>薬品マスタリスト_20260130100542!B93</f>
        <v>ｲｸﾞｻﾞﾚﾙﾄｼﾞｮｳ10mg</v>
      </c>
      <c r="E95" s="15">
        <f>薬品マスタリスト_20260130100542!C93</f>
        <v>1</v>
      </c>
      <c r="F95" s="206" t="str">
        <f>薬品マスタリスト_20260130100542!D93</f>
        <v>錠剤</v>
      </c>
      <c r="G95" s="208" t="str">
        <f>match_results!C92</f>
        <v>インデラル錠１０ｍｇ</v>
      </c>
      <c r="H95" s="208">
        <f>match_results!D92</f>
        <v>370</v>
      </c>
      <c r="I95" s="218">
        <f>match_results!E92</f>
        <v>66.6666666666666</v>
      </c>
      <c r="J95" s="225"/>
      <c r="K95" s="15" t="str">
        <f ca="1">IF($J95="〇",OFFSET(集計!B$3,合体!$H95,0),"")</f>
        <v/>
      </c>
      <c r="L95" s="15" t="str">
        <f ca="1">IF($J95="〇",OFFSET(集計!C$3,合体!$H95,0),"")</f>
        <v/>
      </c>
      <c r="M95" s="202" t="str">
        <f ca="1">IF($J95="〇",OFFSET(集計!D$3,合体!$H95,0),"")</f>
        <v/>
      </c>
    </row>
    <row r="96" spans="2:13" x14ac:dyDescent="0.2">
      <c r="B96" s="201">
        <f t="shared" si="1"/>
        <v>92</v>
      </c>
      <c r="C96" s="15" t="str">
        <f>薬品マスタリスト_20260130100542!A94</f>
        <v>イグザレルトＯＤ錠１０ｍｇ</v>
      </c>
      <c r="D96" s="15" t="str">
        <f>薬品マスタリスト_20260130100542!B94</f>
        <v>ｲｸﾞｻﾞﾚﾙﾄODｼﾞﾖｳ10MG</v>
      </c>
      <c r="E96" s="15">
        <f>薬品マスタリスト_20260130100542!C94</f>
        <v>1</v>
      </c>
      <c r="F96" s="206" t="str">
        <f>薬品マスタリスト_20260130100542!D94</f>
        <v>錠剤</v>
      </c>
      <c r="G96" s="208" t="str">
        <f>match_results!C93</f>
        <v>レキサルティＯＤ錠１ｍｇ</v>
      </c>
      <c r="H96" s="208">
        <f>match_results!D93</f>
        <v>662</v>
      </c>
      <c r="I96" s="218">
        <f>match_results!E93</f>
        <v>64</v>
      </c>
      <c r="J96" s="225"/>
      <c r="K96" s="15" t="str">
        <f ca="1">IF($J96="〇",OFFSET(集計!B$3,合体!$H96,0),"")</f>
        <v/>
      </c>
      <c r="L96" s="15" t="str">
        <f ca="1">IF($J96="〇",OFFSET(集計!C$3,合体!$H96,0),"")</f>
        <v/>
      </c>
      <c r="M96" s="202" t="str">
        <f ca="1">IF($J96="〇",OFFSET(集計!D$3,合体!$H96,0),"")</f>
        <v/>
      </c>
    </row>
    <row r="97" spans="2:13" x14ac:dyDescent="0.2">
      <c r="B97" s="201">
        <f t="shared" si="1"/>
        <v>93</v>
      </c>
      <c r="C97" s="15" t="str">
        <f>薬品マスタリスト_20260130100542!A95</f>
        <v>イーケプラ錠２５０ｍｇ</v>
      </c>
      <c r="D97" s="15" t="str">
        <f>薬品マスタリスト_20260130100542!B95</f>
        <v>ｲｰｹﾌﾟﾗｼﾞｮｳ250mg</v>
      </c>
      <c r="E97" s="15">
        <f>薬品マスタリスト_20260130100542!C95</f>
        <v>1</v>
      </c>
      <c r="F97" s="206" t="str">
        <f>薬品マスタリスト_20260130100542!D95</f>
        <v>錠剤</v>
      </c>
      <c r="G97" s="208" t="str">
        <f>match_results!C94</f>
        <v>フラジール錠２５０ｍｇ</v>
      </c>
      <c r="H97" s="208">
        <f>match_results!D94</f>
        <v>85</v>
      </c>
      <c r="I97" s="218">
        <f>match_results!E94</f>
        <v>63.636363636363598</v>
      </c>
      <c r="J97" s="225"/>
      <c r="K97" s="15" t="str">
        <f ca="1">IF($J97="〇",OFFSET(集計!B$3,合体!$H97,0),"")</f>
        <v/>
      </c>
      <c r="L97" s="15" t="str">
        <f ca="1">IF($J97="〇",OFFSET(集計!C$3,合体!$H97,0),"")</f>
        <v/>
      </c>
      <c r="M97" s="202" t="str">
        <f ca="1">IF($J97="〇",OFFSET(集計!D$3,合体!$H97,0),"")</f>
        <v/>
      </c>
    </row>
    <row r="98" spans="2:13" x14ac:dyDescent="0.2">
      <c r="B98" s="201">
        <f t="shared" si="1"/>
        <v>94</v>
      </c>
      <c r="C98" s="15" t="str">
        <f>薬品マスタリスト_20260130100542!A96</f>
        <v>イーケプラドライシロップ５０％</v>
      </c>
      <c r="D98" s="15" t="str">
        <f>薬品マスタリスト_20260130100542!B96</f>
        <v>ｲｰｹﾌﾟﾗﾄﾞﾗｲｼﾛｯﾌﾟ50%</v>
      </c>
      <c r="E98" s="15">
        <f>薬品マスタリスト_20260130100542!C96</f>
        <v>3</v>
      </c>
      <c r="F98" s="206" t="str">
        <f>薬品マスタリスト_20260130100542!D96</f>
        <v>散</v>
      </c>
      <c r="G98" s="208" t="str">
        <f>match_results!C95</f>
        <v>レベチラセタムドライシロップ５０％「明治」</v>
      </c>
      <c r="H98" s="208">
        <f>match_results!D95</f>
        <v>194</v>
      </c>
      <c r="I98" s="218">
        <f>match_results!E95</f>
        <v>61.1111111111111</v>
      </c>
      <c r="J98" s="225"/>
      <c r="K98" s="15" t="str">
        <f ca="1">IF($J98="〇",OFFSET(集計!B$3,合体!$H98,0),"")</f>
        <v/>
      </c>
      <c r="L98" s="15" t="str">
        <f ca="1">IF($J98="〇",OFFSET(集計!C$3,合体!$H98,0),"")</f>
        <v/>
      </c>
      <c r="M98" s="202" t="str">
        <f ca="1">IF($J98="〇",OFFSET(集計!D$3,合体!$H98,0),"")</f>
        <v/>
      </c>
    </row>
    <row r="99" spans="2:13" x14ac:dyDescent="0.2">
      <c r="B99" s="201">
        <f t="shared" si="1"/>
        <v>95</v>
      </c>
      <c r="C99" s="15" t="str">
        <f>薬品マスタリスト_20260130100542!A97</f>
        <v>イーケプラ点滴静注５００ｍｇ</v>
      </c>
      <c r="D99" s="15" t="str">
        <f>薬品マスタリスト_20260130100542!B97</f>
        <v>ｲｰｹﾌﾟﾗﾃﾝﾃｷｼﾞｮｳﾁｭｳ500mg</v>
      </c>
      <c r="E99" s="15">
        <f>薬品マスタリスト_20260130100542!C97</f>
        <v>25</v>
      </c>
      <c r="F99" s="206" t="str">
        <f>薬品マスタリスト_20260130100542!D97</f>
        <v>注射剤</v>
      </c>
      <c r="G99" s="208" t="str">
        <f>match_results!C96</f>
        <v>ベクルリー点滴静注用１００ｍｇ</v>
      </c>
      <c r="H99" s="208">
        <f>match_results!D96</f>
        <v>664</v>
      </c>
      <c r="I99" s="218">
        <f>match_results!E96</f>
        <v>62.068965517241303</v>
      </c>
      <c r="J99" s="225"/>
      <c r="K99" s="15" t="str">
        <f ca="1">IF($J99="〇",OFFSET(集計!B$3,合体!$H99,0),"")</f>
        <v/>
      </c>
      <c r="L99" s="15" t="str">
        <f ca="1">IF($J99="〇",OFFSET(集計!C$3,合体!$H99,0),"")</f>
        <v/>
      </c>
      <c r="M99" s="202" t="str">
        <f ca="1">IF($J99="〇",OFFSET(集計!D$3,合体!$H99,0),"")</f>
        <v/>
      </c>
    </row>
    <row r="100" spans="2:13" x14ac:dyDescent="0.2">
      <c r="B100" s="201">
        <f t="shared" si="1"/>
        <v>96</v>
      </c>
      <c r="C100" s="15" t="str">
        <f>薬品マスタリスト_20260130100542!A98</f>
        <v>イコサペント酸エチルカプセル３００ｍｇ「日医工」</v>
      </c>
      <c r="D100" s="15" t="str">
        <f>薬品マスタリスト_20260130100542!B98</f>
        <v>ｲｺｻﾍﾟﾝﾄｻﾝｴﾁﾙｶﾌﾟｾﾙ300mg｢ﾆﾁｲｺｳ｣</v>
      </c>
      <c r="E100" s="15">
        <f>薬品マスタリスト_20260130100542!C98</f>
        <v>2</v>
      </c>
      <c r="F100" s="206" t="str">
        <f>薬品マスタリスト_20260130100542!D98</f>
        <v>カプセル</v>
      </c>
      <c r="G100" s="208" t="str">
        <f>match_results!C97</f>
        <v>イコサペント酸エチルカプセル　３００</v>
      </c>
      <c r="H100" s="208">
        <f>match_results!D97</f>
        <v>326</v>
      </c>
      <c r="I100" s="218">
        <f>match_results!E97</f>
        <v>80.952380952380906</v>
      </c>
      <c r="J100" s="225"/>
      <c r="K100" s="15" t="str">
        <f ca="1">IF($J100="〇",OFFSET(集計!B$3,合体!$H100,0),"")</f>
        <v/>
      </c>
      <c r="L100" s="15" t="str">
        <f ca="1">IF($J100="〇",OFFSET(集計!C$3,合体!$H100,0),"")</f>
        <v/>
      </c>
      <c r="M100" s="202" t="str">
        <f ca="1">IF($J100="〇",OFFSET(集計!D$3,合体!$H100,0),"")</f>
        <v/>
      </c>
    </row>
    <row r="101" spans="2:13" x14ac:dyDescent="0.2">
      <c r="B101" s="201">
        <f t="shared" si="1"/>
        <v>97</v>
      </c>
      <c r="C101" s="15" t="str">
        <f>薬品マスタリスト_20260130100542!A99</f>
        <v>胃散(院内製剤)</v>
      </c>
      <c r="D101" s="15" t="str">
        <f>薬品マスタリスト_20260130100542!B99</f>
        <v>ｲｻﾝ(院ﾅｲｾｲｻﾞｲ)</v>
      </c>
      <c r="E101" s="15">
        <f>薬品マスタリスト_20260130100542!C99</f>
        <v>3</v>
      </c>
      <c r="F101" s="206" t="str">
        <f>薬品マスタリスト_20260130100542!D99</f>
        <v>散</v>
      </c>
      <c r="G101" s="208" t="str">
        <f>match_results!C98</f>
        <v>モビコール配合内用剤ＬＤ</v>
      </c>
      <c r="H101" s="208">
        <f>match_results!D98</f>
        <v>440</v>
      </c>
      <c r="I101" s="218">
        <f>match_results!E98</f>
        <v>19.999999999999901</v>
      </c>
      <c r="J101" s="225"/>
      <c r="K101" s="15" t="str">
        <f ca="1">IF($J101="〇",OFFSET(集計!B$3,合体!$H101,0),"")</f>
        <v/>
      </c>
      <c r="L101" s="15" t="str">
        <f ca="1">IF($J101="〇",OFFSET(集計!C$3,合体!$H101,0),"")</f>
        <v/>
      </c>
      <c r="M101" s="202" t="str">
        <f ca="1">IF($J101="〇",OFFSET(集計!D$3,合体!$H101,0),"")</f>
        <v/>
      </c>
    </row>
    <row r="102" spans="2:13" x14ac:dyDescent="0.2">
      <c r="B102" s="201">
        <f t="shared" si="1"/>
        <v>98</v>
      </c>
      <c r="C102" s="15" t="str">
        <f>薬品マスタリスト_20260130100542!A100</f>
        <v>イスコチン錠１００ｍｇ</v>
      </c>
      <c r="D102" s="15" t="str">
        <f>薬品マスタリスト_20260130100542!B100</f>
        <v>ｲｽｺﾁﾝｼﾞｮｳ100mg</v>
      </c>
      <c r="E102" s="15">
        <f>薬品マスタリスト_20260130100542!C100</f>
        <v>1</v>
      </c>
      <c r="F102" s="206" t="str">
        <f>薬品マスタリスト_20260130100542!D100</f>
        <v>錠剤</v>
      </c>
      <c r="G102" s="208" t="str">
        <f>match_results!C99</f>
        <v>バナン錠１００ｍｇ　</v>
      </c>
      <c r="H102" s="208">
        <f>match_results!D99</f>
        <v>395</v>
      </c>
      <c r="I102" s="218">
        <f>match_results!E99</f>
        <v>70</v>
      </c>
      <c r="J102" s="225"/>
      <c r="K102" s="15" t="str">
        <f ca="1">IF($J102="〇",OFFSET(集計!B$3,合体!$H102,0),"")</f>
        <v/>
      </c>
      <c r="L102" s="15" t="str">
        <f ca="1">IF($J102="〇",OFFSET(集計!C$3,合体!$H102,0),"")</f>
        <v/>
      </c>
      <c r="M102" s="202" t="str">
        <f ca="1">IF($J102="〇",OFFSET(集計!D$3,合体!$H102,0),"")</f>
        <v/>
      </c>
    </row>
    <row r="103" spans="2:13" x14ac:dyDescent="0.2">
      <c r="B103" s="201">
        <f t="shared" si="1"/>
        <v>99</v>
      </c>
      <c r="C103" s="15" t="str">
        <f>薬品マスタリスト_20260130100542!A101</f>
        <v>イスコチン注１００ｍｇ</v>
      </c>
      <c r="D103" s="15" t="str">
        <f>薬品マスタリスト_20260130100542!B101</f>
        <v>ｲｽｺﾁﾝﾁｭｳ100mg</v>
      </c>
      <c r="E103" s="15">
        <f>薬品マスタリスト_20260130100542!C101</f>
        <v>25</v>
      </c>
      <c r="F103" s="206" t="str">
        <f>薬品マスタリスト_20260130100542!D101</f>
        <v>注射剤</v>
      </c>
      <c r="G103" s="208" t="str">
        <f>match_results!C100</f>
        <v>トリメブチン錠１００ｍｇ</v>
      </c>
      <c r="H103" s="208">
        <f>match_results!D100</f>
        <v>364</v>
      </c>
      <c r="I103" s="218">
        <f>match_results!E100</f>
        <v>60.869565217391298</v>
      </c>
      <c r="J103" s="225"/>
      <c r="K103" s="15" t="str">
        <f ca="1">IF($J103="〇",OFFSET(集計!B$3,合体!$H103,0),"")</f>
        <v/>
      </c>
      <c r="L103" s="15" t="str">
        <f ca="1">IF($J103="〇",OFFSET(集計!C$3,合体!$H103,0),"")</f>
        <v/>
      </c>
      <c r="M103" s="202" t="str">
        <f ca="1">IF($J103="〇",OFFSET(集計!D$3,合体!$H103,0),"")</f>
        <v/>
      </c>
    </row>
    <row r="104" spans="2:13" x14ac:dyDescent="0.2">
      <c r="B104" s="201">
        <f t="shared" si="1"/>
        <v>100</v>
      </c>
      <c r="C104" s="15" t="str">
        <f>薬品マスタリスト_20260130100542!A102</f>
        <v>イノソリッド配合経腸用半固形剤</v>
      </c>
      <c r="D104" s="15" t="str">
        <f>薬品マスタリスト_20260130100542!B102</f>
        <v>ｲﾉｿﾘﾂﾄﾞﾊｲｺﾞｳｹｲﾁﾖｳﾖｳﾊﾝｺｹｲｻﾞｲ</v>
      </c>
      <c r="E104" s="15">
        <f>薬品マスタリスト_20260130100542!C102</f>
        <v>24</v>
      </c>
      <c r="F104" s="206" t="str">
        <f>薬品マスタリスト_20260130100542!D102</f>
        <v>その他</v>
      </c>
      <c r="G104" s="208" t="str">
        <f>match_results!C101</f>
        <v>ラコールＮＦ配合経腸用半固形剤</v>
      </c>
      <c r="H104" s="208">
        <f>match_results!D101</f>
        <v>185</v>
      </c>
      <c r="I104" s="218">
        <f>match_results!E101</f>
        <v>60</v>
      </c>
      <c r="J104" s="225"/>
      <c r="K104" s="15" t="str">
        <f ca="1">IF($J104="〇",OFFSET(集計!B$3,合体!$H104,0),"")</f>
        <v/>
      </c>
      <c r="L104" s="15" t="str">
        <f ca="1">IF($J104="〇",OFFSET(集計!C$3,合体!$H104,0),"")</f>
        <v/>
      </c>
      <c r="M104" s="202" t="str">
        <f ca="1">IF($J104="〇",OFFSET(集計!D$3,合体!$H104,0),"")</f>
        <v/>
      </c>
    </row>
    <row r="105" spans="2:13" x14ac:dyDescent="0.2">
      <c r="B105" s="201">
        <f t="shared" si="1"/>
        <v>101</v>
      </c>
      <c r="C105" s="15" t="str">
        <f>薬品マスタリスト_20260130100542!A103</f>
        <v>イノラス配合経腸用液</v>
      </c>
      <c r="D105" s="15" t="str">
        <f>薬品マスタリスト_20260130100542!B103</f>
        <v>ｲﾉﾗｽﾊｲｺﾞｳｹｲﾁﾖｳﾖｳｴｷ</v>
      </c>
      <c r="E105" s="15">
        <f>薬品マスタリスト_20260130100542!C103</f>
        <v>7</v>
      </c>
      <c r="F105" s="206" t="str">
        <f>薬品マスタリスト_20260130100542!D103</f>
        <v>液（内用）</v>
      </c>
      <c r="G105" s="208" t="str">
        <f>match_results!C102</f>
        <v>ラコールＮＦ配合経腸用半固形剤</v>
      </c>
      <c r="H105" s="208">
        <f>match_results!D102</f>
        <v>185</v>
      </c>
      <c r="I105" s="218">
        <f>match_results!E102</f>
        <v>48</v>
      </c>
      <c r="J105" s="225"/>
      <c r="K105" s="15" t="str">
        <f ca="1">IF($J105="〇",OFFSET(集計!B$3,合体!$H105,0),"")</f>
        <v/>
      </c>
      <c r="L105" s="15" t="str">
        <f ca="1">IF($J105="〇",OFFSET(集計!C$3,合体!$H105,0),"")</f>
        <v/>
      </c>
      <c r="M105" s="202" t="str">
        <f ca="1">IF($J105="〇",OFFSET(集計!D$3,合体!$H105,0),"")</f>
        <v/>
      </c>
    </row>
    <row r="106" spans="2:13" x14ac:dyDescent="0.2">
      <c r="B106" s="201">
        <f t="shared" si="1"/>
        <v>102</v>
      </c>
      <c r="C106" s="15" t="str">
        <f>薬品マスタリスト_20260130100542!A104</f>
        <v>イバンドロン酸静注１ｍｇシリンジ「トーワ」</v>
      </c>
      <c r="D106" s="15" t="str">
        <f>薬品マスタリスト_20260130100542!B104</f>
        <v>ｲﾊﾞﾝﾄﾞﾛﾝｻﾝｼﾞｮｳﾁｭｳ1mgｼﾘﾝｼﾞ｢ﾄｰﾜ｣</v>
      </c>
      <c r="E106" s="15">
        <f>薬品マスタリスト_20260130100542!C104</f>
        <v>25</v>
      </c>
      <c r="F106" s="206" t="str">
        <f>薬品マスタリスト_20260130100542!D104</f>
        <v>注射剤</v>
      </c>
      <c r="G106" s="208" t="str">
        <f>match_results!C103</f>
        <v>イバンドロン酸１㎖シリンジ</v>
      </c>
      <c r="H106" s="208">
        <f>match_results!D103</f>
        <v>4</v>
      </c>
      <c r="I106" s="218">
        <f>match_results!E103</f>
        <v>70.588235294117595</v>
      </c>
      <c r="J106" s="225"/>
      <c r="K106" s="15" t="str">
        <f ca="1">IF($J106="〇",OFFSET(集計!B$3,合体!$H106,0),"")</f>
        <v/>
      </c>
      <c r="L106" s="15" t="str">
        <f ca="1">IF($J106="〇",OFFSET(集計!C$3,合体!$H106,0),"")</f>
        <v/>
      </c>
      <c r="M106" s="202" t="str">
        <f ca="1">IF($J106="〇",OFFSET(集計!D$3,合体!$H106,0),"")</f>
        <v/>
      </c>
    </row>
    <row r="107" spans="2:13" x14ac:dyDescent="0.2">
      <c r="B107" s="201">
        <f t="shared" si="1"/>
        <v>103</v>
      </c>
      <c r="C107" s="15" t="str">
        <f>薬品マスタリスト_20260130100542!A105</f>
        <v>ＥＰＬカプセル２５０ｍｇ</v>
      </c>
      <c r="D107" s="15" t="str">
        <f>薬品マスタリスト_20260130100542!B105</f>
        <v>EPLｶﾌﾟｾﾙ250mg</v>
      </c>
      <c r="E107" s="15">
        <f>薬品マスタリスト_20260130100542!C105</f>
        <v>2</v>
      </c>
      <c r="F107" s="206" t="str">
        <f>薬品マスタリスト_20260130100542!D105</f>
        <v>カプセル</v>
      </c>
      <c r="G107" s="208" t="str">
        <f>match_results!C104</f>
        <v>ＥＰＬカプセル２５０ｍｇ　バラ　４００Ｐ</v>
      </c>
      <c r="H107" s="208">
        <f>match_results!D104</f>
        <v>39</v>
      </c>
      <c r="I107" s="218">
        <f>match_results!E104</f>
        <v>75</v>
      </c>
      <c r="J107" s="225"/>
      <c r="K107" s="15" t="str">
        <f ca="1">IF($J107="〇",OFFSET(集計!B$3,合体!$H107,0),"")</f>
        <v/>
      </c>
      <c r="L107" s="15" t="str">
        <f ca="1">IF($J107="〇",OFFSET(集計!C$3,合体!$H107,0),"")</f>
        <v/>
      </c>
      <c r="M107" s="202" t="str">
        <f ca="1">IF($J107="〇",OFFSET(集計!D$3,合体!$H107,0),"")</f>
        <v/>
      </c>
    </row>
    <row r="108" spans="2:13" x14ac:dyDescent="0.2">
      <c r="B108" s="201">
        <f t="shared" si="1"/>
        <v>104</v>
      </c>
      <c r="C108" s="15" t="str">
        <f>薬品マスタリスト_20260130100542!A106</f>
        <v>イフェクサーＳＲカプセル３７．５ｍｇ</v>
      </c>
      <c r="D108" s="15" t="str">
        <f>薬品マスタリスト_20260130100542!B106</f>
        <v>ｲﾌｪｸｻｰSRｶﾌﾟｾﾙ37.5mg</v>
      </c>
      <c r="E108" s="15">
        <f>薬品マスタリスト_20260130100542!C106</f>
        <v>2</v>
      </c>
      <c r="F108" s="206" t="str">
        <f>薬品マスタリスト_20260130100542!D106</f>
        <v>カプセル</v>
      </c>
      <c r="G108" s="208" t="str">
        <f>match_results!C105</f>
        <v>イフェクサーＳＲカプセル３７．５ｍｇ</v>
      </c>
      <c r="H108" s="208">
        <f>match_results!D105</f>
        <v>637</v>
      </c>
      <c r="I108" s="218">
        <f>match_results!E105</f>
        <v>100</v>
      </c>
      <c r="J108" s="225" t="s">
        <v>3917</v>
      </c>
      <c r="K108" s="15">
        <f ca="1">IF($J108="〇",OFFSET(集計!B$3,合体!$H108,0),"")</f>
        <v>93.22</v>
      </c>
      <c r="L108" s="15">
        <f ca="1">IF($J108="〇",OFFSET(集計!C$3,合体!$H108,0),"")</f>
        <v>675</v>
      </c>
      <c r="M108" s="202">
        <f ca="1">IF($J108="〇",OFFSET(集計!D$3,合体!$H108,0),"")</f>
        <v>62923.5</v>
      </c>
    </row>
    <row r="109" spans="2:13" x14ac:dyDescent="0.2">
      <c r="B109" s="201">
        <f t="shared" si="1"/>
        <v>105</v>
      </c>
      <c r="C109" s="15" t="str">
        <f>薬品マスタリスト_20260130100542!A107</f>
        <v>イフェクサーＳＲカプセル７５ｍｇ</v>
      </c>
      <c r="D109" s="15" t="str">
        <f>薬品マスタリスト_20260130100542!B107</f>
        <v>ｲﾌｪｸｻｰSRｶﾌﾟｾﾙ75mg</v>
      </c>
      <c r="E109" s="15">
        <f>薬品マスタリスト_20260130100542!C107</f>
        <v>2</v>
      </c>
      <c r="F109" s="206" t="str">
        <f>薬品マスタリスト_20260130100542!D107</f>
        <v>カプセル</v>
      </c>
      <c r="G109" s="208" t="str">
        <f>match_results!C106</f>
        <v>イフェクサーＳＲカプセル７５ｍｇ</v>
      </c>
      <c r="H109" s="208">
        <f>match_results!D106</f>
        <v>661</v>
      </c>
      <c r="I109" s="218">
        <f>match_results!E106</f>
        <v>100</v>
      </c>
      <c r="J109" s="225" t="s">
        <v>3917</v>
      </c>
      <c r="K109" s="15">
        <f ca="1">IF($J109="〇",OFFSET(集計!B$3,合体!$H109,0),"")</f>
        <v>154.03</v>
      </c>
      <c r="L109" s="15">
        <f ca="1">IF($J109="〇",OFFSET(集計!C$3,合体!$H109,0),"")</f>
        <v>763.5</v>
      </c>
      <c r="M109" s="202">
        <f ca="1">IF($J109="〇",OFFSET(集計!D$3,合体!$H109,0),"")</f>
        <v>117601.905</v>
      </c>
    </row>
    <row r="110" spans="2:13" x14ac:dyDescent="0.2">
      <c r="B110" s="201">
        <f t="shared" si="1"/>
        <v>106</v>
      </c>
      <c r="C110" s="15" t="str">
        <f>薬品マスタリスト_20260130100542!A108</f>
        <v>イベニティ皮下注１０５ｍｇシリンジ</v>
      </c>
      <c r="D110" s="15" t="str">
        <f>薬品マスタリスト_20260130100542!B108</f>
        <v>ｲﾍﾞﾆﾃｨﾋｶﾁｭｳ105mgｼﾘﾝｼﾞ</v>
      </c>
      <c r="E110" s="15">
        <f>薬品マスタリスト_20260130100542!C108</f>
        <v>25</v>
      </c>
      <c r="F110" s="206" t="str">
        <f>薬品マスタリスト_20260130100542!D108</f>
        <v>注射剤</v>
      </c>
      <c r="G110" s="208" t="str">
        <f>match_results!C107</f>
        <v>イベニティ皮下注１０５ｍｇシリンジ</v>
      </c>
      <c r="H110" s="208">
        <f>match_results!D107</f>
        <v>5</v>
      </c>
      <c r="I110" s="218">
        <f>match_results!E107</f>
        <v>100</v>
      </c>
      <c r="J110" s="225" t="s">
        <v>3917</v>
      </c>
      <c r="K110" s="15">
        <f ca="1">IF($J110="〇",OFFSET(集計!B$3,合体!$H110,0),"")</f>
        <v>43356</v>
      </c>
      <c r="L110" s="15">
        <f ca="1">IF($J110="〇",OFFSET(集計!C$3,合体!$H110,0),"")</f>
        <v>0</v>
      </c>
      <c r="M110" s="202">
        <f ca="1">IF($J110="〇",OFFSET(集計!D$3,合体!$H110,0),"")</f>
        <v>0</v>
      </c>
    </row>
    <row r="111" spans="2:13" x14ac:dyDescent="0.2">
      <c r="B111" s="201">
        <f t="shared" si="1"/>
        <v>107</v>
      </c>
      <c r="C111" s="15" t="str">
        <f>薬品マスタリスト_20260130100542!A109</f>
        <v>イリボー錠５μｇ</v>
      </c>
      <c r="D111" s="15" t="str">
        <f>薬品マスタリスト_20260130100542!B109</f>
        <v>ｲﾘﾎﾞｰｼﾞｮｳ5μg</v>
      </c>
      <c r="E111" s="15">
        <f>薬品マスタリスト_20260130100542!C109</f>
        <v>1</v>
      </c>
      <c r="F111" s="206" t="str">
        <f>薬品マスタリスト_20260130100542!D109</f>
        <v>錠剤</v>
      </c>
      <c r="G111" s="208" t="str">
        <f>match_results!C108</f>
        <v>マイスリー錠５ｍｇ　</v>
      </c>
      <c r="H111" s="208">
        <f>match_results!D108</f>
        <v>419</v>
      </c>
      <c r="I111" s="218">
        <f>match_results!E108</f>
        <v>70.588235294117595</v>
      </c>
      <c r="J111" s="225"/>
      <c r="K111" s="15" t="str">
        <f ca="1">IF($J111="〇",OFFSET(集計!B$3,合体!$H111,0),"")</f>
        <v/>
      </c>
      <c r="L111" s="15" t="str">
        <f ca="1">IF($J111="〇",OFFSET(集計!C$3,合体!$H111,0),"")</f>
        <v/>
      </c>
      <c r="M111" s="202" t="str">
        <f ca="1">IF($J111="〇",OFFSET(集計!D$3,合体!$H111,0),"")</f>
        <v/>
      </c>
    </row>
    <row r="112" spans="2:13" x14ac:dyDescent="0.2">
      <c r="B112" s="201">
        <f t="shared" si="1"/>
        <v>108</v>
      </c>
      <c r="C112" s="15" t="str">
        <f>薬品マスタリスト_20260130100542!A110</f>
        <v>イルベサルタン錠５０ｍｇ「ニプロ」</v>
      </c>
      <c r="D112" s="15" t="str">
        <f>薬品マスタリスト_20260130100542!B110</f>
        <v>ｲﾙﾍﾞｻﾙﾀﾝｼﾞｮｳ50mg｢ﾆﾌﾟﾛ｣</v>
      </c>
      <c r="E112" s="15">
        <f>薬品マスタリスト_20260130100542!C110</f>
        <v>1</v>
      </c>
      <c r="F112" s="206" t="str">
        <f>薬品マスタリスト_20260130100542!D110</f>
        <v>錠剤</v>
      </c>
      <c r="G112" s="208" t="str">
        <f>match_results!C109</f>
        <v>イルベサルタン錠５０ｍｇ「サワイ」</v>
      </c>
      <c r="H112" s="208">
        <f>match_results!D109</f>
        <v>654</v>
      </c>
      <c r="I112" s="218">
        <f>match_results!E109</f>
        <v>82.352941176470495</v>
      </c>
      <c r="J112" s="225"/>
      <c r="K112" s="15" t="str">
        <f ca="1">IF($J112="〇",OFFSET(集計!B$3,合体!$H112,0),"")</f>
        <v/>
      </c>
      <c r="L112" s="15" t="str">
        <f ca="1">IF($J112="〇",OFFSET(集計!C$3,合体!$H112,0),"")</f>
        <v/>
      </c>
      <c r="M112" s="202" t="str">
        <f ca="1">IF($J112="〇",OFFSET(集計!D$3,合体!$H112,0),"")</f>
        <v/>
      </c>
    </row>
    <row r="113" spans="2:13" x14ac:dyDescent="0.2">
      <c r="B113" s="201">
        <f t="shared" si="1"/>
        <v>109</v>
      </c>
      <c r="C113" s="15" t="str">
        <f>薬品マスタリスト_20260130100542!A111</f>
        <v>イルベサルタン錠５０ｍｇ「サワイ」</v>
      </c>
      <c r="D113" s="15" t="str">
        <f>薬品マスタリスト_20260130100542!B111</f>
        <v>ｲﾙﾍﾞｻﾙﾀﾝｼﾞｮｳ50mg｢ｻﾜｲ｣</v>
      </c>
      <c r="E113" s="15">
        <f>薬品マスタリスト_20260130100542!C111</f>
        <v>1</v>
      </c>
      <c r="F113" s="206" t="str">
        <f>薬品マスタリスト_20260130100542!D111</f>
        <v>錠剤</v>
      </c>
      <c r="G113" s="208" t="str">
        <f>match_results!C110</f>
        <v>イルベサルタン錠５０ｍｇ「サワイ」</v>
      </c>
      <c r="H113" s="208">
        <f>match_results!D110</f>
        <v>654</v>
      </c>
      <c r="I113" s="218">
        <f>match_results!E110</f>
        <v>100</v>
      </c>
      <c r="J113" s="225" t="s">
        <v>3917</v>
      </c>
      <c r="K113" s="15">
        <f ca="1">IF($J113="〇",OFFSET(集計!B$3,合体!$H113,0),"")</f>
        <v>8.6999999999999993</v>
      </c>
      <c r="L113" s="15">
        <f ca="1">IF($J113="〇",OFFSET(集計!C$3,合体!$H113,0),"")</f>
        <v>9549</v>
      </c>
      <c r="M113" s="202">
        <f ca="1">IF($J113="〇",OFFSET(集計!D$3,合体!$H113,0),"")</f>
        <v>83076.299999999988</v>
      </c>
    </row>
    <row r="114" spans="2:13" x14ac:dyDescent="0.2">
      <c r="B114" s="201">
        <f t="shared" si="1"/>
        <v>110</v>
      </c>
      <c r="C114" s="15" t="str">
        <f>薬品マスタリスト_20260130100542!A112</f>
        <v>インヴェガ錠３ｍｇ</v>
      </c>
      <c r="D114" s="15" t="str">
        <f>薬品マスタリスト_20260130100542!B112</f>
        <v>ｲﾝｳﾞｪｶﾞｼﾞｮｳ3mg</v>
      </c>
      <c r="E114" s="15">
        <f>薬品マスタリスト_20260130100542!C112</f>
        <v>1</v>
      </c>
      <c r="F114" s="206" t="str">
        <f>薬品マスタリスト_20260130100542!D112</f>
        <v>錠剤</v>
      </c>
      <c r="G114" s="208" t="str">
        <f>match_results!C111</f>
        <v>インヴェガ錠３ｍｇ</v>
      </c>
      <c r="H114" s="208">
        <f>match_results!D111</f>
        <v>646</v>
      </c>
      <c r="I114" s="218">
        <f>match_results!E111</f>
        <v>100</v>
      </c>
      <c r="J114" s="225" t="s">
        <v>3917</v>
      </c>
      <c r="K114" s="15">
        <f ca="1">IF($J114="〇",OFFSET(集計!B$3,合体!$H114,0),"")</f>
        <v>201.6</v>
      </c>
      <c r="L114" s="15">
        <f ca="1">IF($J114="〇",OFFSET(集計!C$3,合体!$H114,0),"")</f>
        <v>344.14285714285717</v>
      </c>
      <c r="M114" s="202">
        <f ca="1">IF($J114="〇",OFFSET(集計!D$3,合体!$H114,0),"")</f>
        <v>69379.199999999997</v>
      </c>
    </row>
    <row r="115" spans="2:13" x14ac:dyDescent="0.2">
      <c r="B115" s="201">
        <f t="shared" si="1"/>
        <v>111</v>
      </c>
      <c r="C115" s="15" t="str">
        <f>薬品マスタリスト_20260130100542!A113</f>
        <v>インヴェガ錠６ｍｇ</v>
      </c>
      <c r="D115" s="15" t="str">
        <f>薬品マスタリスト_20260130100542!B113</f>
        <v>ｲﾝｳﾞｪｶﾞｼﾞｮｳ6mg</v>
      </c>
      <c r="E115" s="15">
        <f>薬品マスタリスト_20260130100542!C113</f>
        <v>1</v>
      </c>
      <c r="F115" s="206" t="str">
        <f>薬品マスタリスト_20260130100542!D113</f>
        <v>錠剤</v>
      </c>
      <c r="G115" s="208" t="str">
        <f>match_results!C112</f>
        <v>インヴェガ錠６ｍｇ</v>
      </c>
      <c r="H115" s="208">
        <f>match_results!D112</f>
        <v>665</v>
      </c>
      <c r="I115" s="218">
        <f>match_results!E112</f>
        <v>100</v>
      </c>
      <c r="J115" s="225" t="s">
        <v>3917</v>
      </c>
      <c r="K115" s="15">
        <f ca="1">IF($J115="〇",OFFSET(集計!B$3,合体!$H115,0),"")</f>
        <v>371.36</v>
      </c>
      <c r="L115" s="15">
        <f ca="1">IF($J115="〇",OFFSET(集計!C$3,合体!$H115,0),"")</f>
        <v>666.66666666666663</v>
      </c>
      <c r="M115" s="202">
        <f ca="1">IF($J115="〇",OFFSET(集計!D$3,合体!$H115,0),"")</f>
        <v>247573.33333333331</v>
      </c>
    </row>
    <row r="116" spans="2:13" x14ac:dyDescent="0.2">
      <c r="B116" s="201">
        <f t="shared" si="1"/>
        <v>112</v>
      </c>
      <c r="C116" s="15" t="str">
        <f>薬品マスタリスト_20260130100542!A114</f>
        <v>インチュニブ錠１ｍｇ</v>
      </c>
      <c r="D116" s="15" t="str">
        <f>薬品マスタリスト_20260130100542!B114</f>
        <v>ｲﾝﾁｭﾆﾌﾞｼﾞｮｳ1mg</v>
      </c>
      <c r="E116" s="15">
        <f>薬品マスタリスト_20260130100542!C114</f>
        <v>1</v>
      </c>
      <c r="F116" s="206" t="str">
        <f>薬品マスタリスト_20260130100542!D114</f>
        <v>錠剤</v>
      </c>
      <c r="G116" s="208" t="str">
        <f>match_results!C113</f>
        <v>チザニジン錠１ｍｇ</v>
      </c>
      <c r="H116" s="208">
        <f>match_results!D113</f>
        <v>229</v>
      </c>
      <c r="I116" s="218">
        <f>match_results!E113</f>
        <v>63.157894736842103</v>
      </c>
      <c r="J116" s="225"/>
      <c r="K116" s="15" t="str">
        <f ca="1">IF($J116="〇",OFFSET(集計!B$3,合体!$H116,0),"")</f>
        <v/>
      </c>
      <c r="L116" s="15" t="str">
        <f ca="1">IF($J116="〇",OFFSET(集計!C$3,合体!$H116,0),"")</f>
        <v/>
      </c>
      <c r="M116" s="202" t="str">
        <f ca="1">IF($J116="〇",OFFSET(集計!D$3,合体!$H116,0),"")</f>
        <v/>
      </c>
    </row>
    <row r="117" spans="2:13" x14ac:dyDescent="0.2">
      <c r="B117" s="201">
        <f t="shared" si="1"/>
        <v>113</v>
      </c>
      <c r="C117" s="15" t="str">
        <f>薬品マスタリスト_20260130100542!A115</f>
        <v>インチュニブ錠３ｍｇ</v>
      </c>
      <c r="D117" s="15" t="str">
        <f>薬品マスタリスト_20260130100542!B115</f>
        <v>ｲﾝﾁｭﾆﾌﾞｼﾞｮｳ3mg</v>
      </c>
      <c r="E117" s="15">
        <f>薬品マスタリスト_20260130100542!C115</f>
        <v>1</v>
      </c>
      <c r="F117" s="206" t="str">
        <f>薬品マスタリスト_20260130100542!D115</f>
        <v>錠剤</v>
      </c>
      <c r="G117" s="208" t="str">
        <f>match_results!C114</f>
        <v>インヴェガ錠３ｍｇ</v>
      </c>
      <c r="H117" s="208">
        <f>match_results!D114</f>
        <v>646</v>
      </c>
      <c r="I117" s="218">
        <f>match_results!E114</f>
        <v>63.157894736842103</v>
      </c>
      <c r="J117" s="225"/>
      <c r="K117" s="15" t="str">
        <f ca="1">IF($J117="〇",OFFSET(集計!B$3,合体!$H117,0),"")</f>
        <v/>
      </c>
      <c r="L117" s="15" t="str">
        <f ca="1">IF($J117="〇",OFFSET(集計!C$3,合体!$H117,0),"")</f>
        <v/>
      </c>
      <c r="M117" s="202" t="str">
        <f ca="1">IF($J117="〇",OFFSET(集計!D$3,合体!$H117,0),"")</f>
        <v/>
      </c>
    </row>
    <row r="118" spans="2:13" x14ac:dyDescent="0.2">
      <c r="B118" s="201">
        <f t="shared" si="1"/>
        <v>114</v>
      </c>
      <c r="C118" s="15" t="str">
        <f>薬品マスタリスト_20260130100542!A116</f>
        <v>インテバン軟膏１％</v>
      </c>
      <c r="D118" s="15" t="str">
        <f>薬品マスタリスト_20260130100542!B116</f>
        <v>ｲﾝﾃﾊﾞﾝﾅﾝｺｳ1%</v>
      </c>
      <c r="E118" s="15">
        <f>薬品マスタリスト_20260130100542!C116</f>
        <v>14</v>
      </c>
      <c r="F118" s="206" t="str">
        <f>薬品マスタリスト_20260130100542!D116</f>
        <v>軟膏</v>
      </c>
      <c r="G118" s="208" t="str">
        <f>match_results!C115</f>
        <v>インテバン軟膏１％　２５ｇ／本</v>
      </c>
      <c r="H118" s="208">
        <f>match_results!D115</f>
        <v>82</v>
      </c>
      <c r="I118" s="218">
        <f>match_results!E115</f>
        <v>75</v>
      </c>
      <c r="J118" s="225"/>
      <c r="K118" s="15" t="str">
        <f ca="1">IF($J118="〇",OFFSET(集計!B$3,合体!$H118,0),"")</f>
        <v/>
      </c>
      <c r="L118" s="15" t="str">
        <f ca="1">IF($J118="〇",OFFSET(集計!C$3,合体!$H118,0),"")</f>
        <v/>
      </c>
      <c r="M118" s="202" t="str">
        <f ca="1">IF($J118="〇",OFFSET(集計!D$3,合体!$H118,0),"")</f>
        <v/>
      </c>
    </row>
    <row r="119" spans="2:13" x14ac:dyDescent="0.2">
      <c r="B119" s="201">
        <f t="shared" si="1"/>
        <v>115</v>
      </c>
      <c r="C119" s="15" t="str">
        <f>薬品マスタリスト_20260130100542!A117</f>
        <v>インテバン外用液１％</v>
      </c>
      <c r="D119" s="15" t="str">
        <f>薬品マスタリスト_20260130100542!B117</f>
        <v>ｲﾝﾃﾊﾞﾝｶﾞｲﾖｳｴｷ1%</v>
      </c>
      <c r="E119" s="15">
        <f>薬品マスタリスト_20260130100542!C117</f>
        <v>17</v>
      </c>
      <c r="F119" s="206" t="str">
        <f>薬品マスタリスト_20260130100542!D117</f>
        <v>外用液剤</v>
      </c>
      <c r="G119" s="208" t="str">
        <f>match_results!C116</f>
        <v>インテバン外用液１％　５０ｇ／本</v>
      </c>
      <c r="H119" s="208">
        <f>match_results!D116</f>
        <v>334</v>
      </c>
      <c r="I119" s="218">
        <f>match_results!E116</f>
        <v>76.923076923076906</v>
      </c>
      <c r="J119" s="225"/>
      <c r="K119" s="15" t="str">
        <f ca="1">IF($J119="〇",OFFSET(集計!B$3,合体!$H119,0),"")</f>
        <v/>
      </c>
      <c r="L119" s="15" t="str">
        <f ca="1">IF($J119="〇",OFFSET(集計!C$3,合体!$H119,0),"")</f>
        <v/>
      </c>
      <c r="M119" s="202" t="str">
        <f ca="1">IF($J119="〇",OFFSET(集計!D$3,合体!$H119,0),"")</f>
        <v/>
      </c>
    </row>
    <row r="120" spans="2:13" x14ac:dyDescent="0.2">
      <c r="B120" s="201">
        <f t="shared" si="1"/>
        <v>116</v>
      </c>
      <c r="C120" s="15" t="str">
        <f>薬品マスタリスト_20260130100542!A118</f>
        <v>インデラル錠１０ｍｇ</v>
      </c>
      <c r="D120" s="15" t="str">
        <f>薬品マスタリスト_20260130100542!B118</f>
        <v>ｲﾝﾃﾞﾗﾙｼﾞﾖｳ10MG</v>
      </c>
      <c r="E120" s="15">
        <f>薬品マスタリスト_20260130100542!C118</f>
        <v>1</v>
      </c>
      <c r="F120" s="206" t="str">
        <f>薬品マスタリスト_20260130100542!D118</f>
        <v>錠剤</v>
      </c>
      <c r="G120" s="208" t="str">
        <f>match_results!C117</f>
        <v>インデラル錠１０ｍｇ</v>
      </c>
      <c r="H120" s="208">
        <f>match_results!D117</f>
        <v>370</v>
      </c>
      <c r="I120" s="218">
        <f>match_results!E117</f>
        <v>100</v>
      </c>
      <c r="J120" s="225" t="s">
        <v>3917</v>
      </c>
      <c r="K120" s="15">
        <f ca="1">IF($J120="〇",OFFSET(集計!B$3,合体!$H120,0),"")</f>
        <v>8.7899999999999991</v>
      </c>
      <c r="L120" s="15">
        <f ca="1">IF($J120="〇",OFFSET(集計!C$3,合体!$H120,0),"")</f>
        <v>780</v>
      </c>
      <c r="M120" s="202">
        <f ca="1">IF($J120="〇",OFFSET(集計!D$3,合体!$H120,0),"")</f>
        <v>6856.1999999999989</v>
      </c>
    </row>
    <row r="121" spans="2:13" x14ac:dyDescent="0.2">
      <c r="B121" s="201">
        <f t="shared" si="1"/>
        <v>117</v>
      </c>
      <c r="C121" s="15" t="str">
        <f>薬品マスタリスト_20260130100542!A119</f>
        <v>インテバンクリーム１％</v>
      </c>
      <c r="D121" s="15" t="str">
        <f>薬品マスタリスト_20260130100542!B119</f>
        <v>ｲﾝﾃﾊﾞﾝｸﾘ-ﾑ1%</v>
      </c>
      <c r="E121" s="15">
        <f>薬品マスタリスト_20260130100542!C119</f>
        <v>15</v>
      </c>
      <c r="F121" s="206" t="str">
        <f>薬品マスタリスト_20260130100542!D119</f>
        <v>クリーム</v>
      </c>
      <c r="G121" s="208" t="str">
        <f>match_results!C118</f>
        <v>インテバン軟膏１％　２５ｇ／本</v>
      </c>
      <c r="H121" s="208">
        <f>match_results!D118</f>
        <v>82</v>
      </c>
      <c r="I121" s="218">
        <f>match_results!E118</f>
        <v>53.846153846153797</v>
      </c>
      <c r="J121" s="225"/>
      <c r="K121" s="15" t="str">
        <f ca="1">IF($J121="〇",OFFSET(集計!B$3,合体!$H121,0),"")</f>
        <v/>
      </c>
      <c r="L121" s="15" t="str">
        <f ca="1">IF($J121="〇",OFFSET(集計!C$3,合体!$H121,0),"")</f>
        <v/>
      </c>
      <c r="M121" s="202" t="str">
        <f ca="1">IF($J121="〇",OFFSET(集計!D$3,合体!$H121,0),"")</f>
        <v/>
      </c>
    </row>
    <row r="122" spans="2:13" x14ac:dyDescent="0.2">
      <c r="B122" s="201">
        <f t="shared" si="1"/>
        <v>118</v>
      </c>
      <c r="C122" s="15" t="str">
        <f>薬品マスタリスト_20260130100542!A120</f>
        <v>イントラリポス輸液２０％</v>
      </c>
      <c r="D122" s="15" t="str">
        <f>薬品マスタリスト_20260130100542!B120</f>
        <v>ｲﾝﾄﾗﾘﾎﾟｽﾕｴｷ20%</v>
      </c>
      <c r="E122" s="15">
        <f>薬品マスタリスト_20260130100542!C120</f>
        <v>25</v>
      </c>
      <c r="F122" s="206" t="str">
        <f>薬品マスタリスト_20260130100542!D120</f>
        <v>注射剤</v>
      </c>
      <c r="G122" s="208" t="str">
        <f>match_results!C119</f>
        <v>イントラリポス輸液２０％１００ｍｌ</v>
      </c>
      <c r="H122" s="208">
        <f>match_results!D119</f>
        <v>6</v>
      </c>
      <c r="I122" s="218">
        <f>match_results!E119</f>
        <v>82.758620689655103</v>
      </c>
      <c r="J122" s="225"/>
      <c r="K122" s="15" t="str">
        <f ca="1">IF($J122="〇",OFFSET(集計!B$3,合体!$H122,0),"")</f>
        <v/>
      </c>
      <c r="L122" s="15" t="str">
        <f ca="1">IF($J122="〇",OFFSET(集計!C$3,合体!$H122,0),"")</f>
        <v/>
      </c>
      <c r="M122" s="202" t="str">
        <f ca="1">IF($J122="〇",OFFSET(集計!D$3,合体!$H122,0),"")</f>
        <v/>
      </c>
    </row>
    <row r="123" spans="2:13" x14ac:dyDescent="0.2">
      <c r="B123" s="201">
        <f t="shared" si="1"/>
        <v>119</v>
      </c>
      <c r="C123" s="15" t="str">
        <f>薬品マスタリスト_20260130100542!A121</f>
        <v>ウインタミン細粒（１０％）</v>
      </c>
      <c r="D123" s="15" t="str">
        <f>薬品マスタリスト_20260130100542!B121</f>
        <v>ｳｲﾝﾀﾐﾝｻｲﾘｭｳ(10%)</v>
      </c>
      <c r="E123" s="15">
        <f>薬品マスタリスト_20260130100542!C121</f>
        <v>3</v>
      </c>
      <c r="F123" s="206" t="str">
        <f>薬品マスタリスト_20260130100542!D121</f>
        <v>散</v>
      </c>
      <c r="G123" s="208" t="str">
        <f>match_results!C120</f>
        <v>ウインタミン細粒（１０％）　</v>
      </c>
      <c r="H123" s="208">
        <f>match_results!D120</f>
        <v>27</v>
      </c>
      <c r="I123" s="218">
        <f>match_results!E120</f>
        <v>100</v>
      </c>
      <c r="J123" s="225" t="s">
        <v>3917</v>
      </c>
      <c r="K123" s="15">
        <f ca="1">IF($J123="〇",OFFSET(集計!B$3,合体!$H123,0),"")</f>
        <v>8.91</v>
      </c>
      <c r="L123" s="15">
        <f ca="1">IF($J123="〇",OFFSET(集計!C$3,合体!$H123,0),"")</f>
        <v>24</v>
      </c>
      <c r="M123" s="202">
        <f ca="1">IF($J123="〇",OFFSET(集計!D$3,合体!$H123,0),"")</f>
        <v>213.84</v>
      </c>
    </row>
    <row r="124" spans="2:13" x14ac:dyDescent="0.2">
      <c r="B124" s="201">
        <f t="shared" si="1"/>
        <v>120</v>
      </c>
      <c r="C124" s="15" t="str">
        <f>薬品マスタリスト_20260130100542!A122</f>
        <v>ウルソデオキシコール酸錠１００ｍｇ「サワイ」</v>
      </c>
      <c r="D124" s="15" t="str">
        <f>薬品マスタリスト_20260130100542!B122</f>
        <v>ｳﾙｿﾃﾞｵｷｼｺｰﾙｻﾝｼﾞｮｳ100mg｢ｻﾜｲ｣</v>
      </c>
      <c r="E124" s="15">
        <f>薬品マスタリスト_20260130100542!C122</f>
        <v>1</v>
      </c>
      <c r="F124" s="206" t="str">
        <f>薬品マスタリスト_20260130100542!D122</f>
        <v>錠剤</v>
      </c>
      <c r="G124" s="208" t="str">
        <f>match_results!C121</f>
        <v>ウルソデオキシコール酸錠１００ｍｇ　</v>
      </c>
      <c r="H124" s="208">
        <f>match_results!D121</f>
        <v>284</v>
      </c>
      <c r="I124" s="218">
        <f>match_results!E121</f>
        <v>87.179487179487097</v>
      </c>
      <c r="J124" s="225"/>
      <c r="K124" s="15" t="str">
        <f ca="1">IF($J124="〇",OFFSET(集計!B$3,合体!$H124,0),"")</f>
        <v/>
      </c>
      <c r="L124" s="15" t="str">
        <f ca="1">IF($J124="〇",OFFSET(集計!C$3,合体!$H124,0),"")</f>
        <v/>
      </c>
      <c r="M124" s="202" t="str">
        <f ca="1">IF($J124="〇",OFFSET(集計!D$3,合体!$H124,0),"")</f>
        <v/>
      </c>
    </row>
    <row r="125" spans="2:13" x14ac:dyDescent="0.2">
      <c r="B125" s="201">
        <f t="shared" si="1"/>
        <v>121</v>
      </c>
      <c r="C125" s="15" t="str">
        <f>薬品マスタリスト_20260130100542!A123</f>
        <v>ウレパールクリーム１０％</v>
      </c>
      <c r="D125" s="15" t="str">
        <f>薬品マスタリスト_20260130100542!B123</f>
        <v>ｳﾚﾊﾟ-ﾙｸﾘ-ﾑ10%</v>
      </c>
      <c r="E125" s="15">
        <f>薬品マスタリスト_20260130100542!C123</f>
        <v>15</v>
      </c>
      <c r="F125" s="206" t="str">
        <f>薬品マスタリスト_20260130100542!D123</f>
        <v>クリーム</v>
      </c>
      <c r="G125" s="208" t="str">
        <f>match_results!C122</f>
        <v>ウレパールクリーム１０％</v>
      </c>
      <c r="H125" s="208">
        <f>match_results!D122</f>
        <v>36</v>
      </c>
      <c r="I125" s="218">
        <f>match_results!E122</f>
        <v>100</v>
      </c>
      <c r="J125" s="225" t="s">
        <v>3917</v>
      </c>
      <c r="K125" s="15">
        <f ca="1">IF($J125="〇",OFFSET(集計!B$3,合体!$H125,0),"")</f>
        <v>73</v>
      </c>
      <c r="L125" s="15">
        <f ca="1">IF($J125="〇",OFFSET(集計!C$3,合体!$H125,0),"")</f>
        <v>5</v>
      </c>
      <c r="M125" s="202">
        <f ca="1">IF($J125="〇",OFFSET(集計!D$3,合体!$H125,0),"")</f>
        <v>365</v>
      </c>
    </row>
    <row r="126" spans="2:13" x14ac:dyDescent="0.2">
      <c r="B126" s="201">
        <f t="shared" si="1"/>
        <v>122</v>
      </c>
      <c r="C126" s="15" t="str">
        <f>薬品マスタリスト_20260130100542!A124</f>
        <v>エイゾプト懸濁性点眼液１％</v>
      </c>
      <c r="D126" s="15" t="str">
        <f>薬品マスタリスト_20260130100542!B124</f>
        <v>ｴｲｿﾞﾌﾟﾄｹﾝﾀﾞｸｾｲﾃﾝｶﾞﾝｴｷ1%</v>
      </c>
      <c r="E126" s="15">
        <f>薬品マスタリスト_20260130100542!C124</f>
        <v>21</v>
      </c>
      <c r="F126" s="206" t="str">
        <f>薬品マスタリスト_20260130100542!D124</f>
        <v>点眼剤</v>
      </c>
      <c r="G126" s="208" t="str">
        <f>match_results!C123</f>
        <v>エイゾプト懸濁性点眼液１％　５ｍＬＸ１０</v>
      </c>
      <c r="H126" s="208">
        <f>match_results!D123</f>
        <v>450</v>
      </c>
      <c r="I126" s="218">
        <f>match_results!E123</f>
        <v>78.787878787878697</v>
      </c>
      <c r="J126" s="225"/>
      <c r="K126" s="15" t="str">
        <f ca="1">IF($J126="〇",OFFSET(集計!B$3,合体!$H126,0),"")</f>
        <v/>
      </c>
      <c r="L126" s="15" t="str">
        <f ca="1">IF($J126="〇",OFFSET(集計!C$3,合体!$H126,0),"")</f>
        <v/>
      </c>
      <c r="M126" s="202" t="str">
        <f ca="1">IF($J126="〇",OFFSET(集計!D$3,合体!$H126,0),"")</f>
        <v/>
      </c>
    </row>
    <row r="127" spans="2:13" x14ac:dyDescent="0.2">
      <c r="B127" s="201">
        <f t="shared" si="1"/>
        <v>123</v>
      </c>
      <c r="C127" s="15" t="str">
        <f>薬品マスタリスト_20260130100542!A125</f>
        <v>エサンブトール錠２５０ｍｇ</v>
      </c>
      <c r="D127" s="15" t="str">
        <f>薬品マスタリスト_20260130100542!B125</f>
        <v>ｴｻﾝﾌﾞﾄｰﾙｼﾞｮｳ250mg</v>
      </c>
      <c r="E127" s="15">
        <f>薬品マスタリスト_20260130100542!C125</f>
        <v>1</v>
      </c>
      <c r="F127" s="206" t="str">
        <f>薬品マスタリスト_20260130100542!D125</f>
        <v>錠剤</v>
      </c>
      <c r="G127" s="208" t="str">
        <f>match_results!C124</f>
        <v>フラジール錠２５０ｍｇ</v>
      </c>
      <c r="H127" s="208">
        <f>match_results!D124</f>
        <v>85</v>
      </c>
      <c r="I127" s="218">
        <f>match_results!E124</f>
        <v>66.6666666666666</v>
      </c>
      <c r="J127" s="225"/>
      <c r="K127" s="15" t="str">
        <f ca="1">IF($J127="〇",OFFSET(集計!B$3,合体!$H127,0),"")</f>
        <v/>
      </c>
      <c r="L127" s="15" t="str">
        <f ca="1">IF($J127="〇",OFFSET(集計!C$3,合体!$H127,0),"")</f>
        <v/>
      </c>
      <c r="M127" s="202" t="str">
        <f ca="1">IF($J127="〇",OFFSET(集計!D$3,合体!$H127,0),"")</f>
        <v/>
      </c>
    </row>
    <row r="128" spans="2:13" x14ac:dyDescent="0.2">
      <c r="B128" s="201">
        <f t="shared" si="1"/>
        <v>124</v>
      </c>
      <c r="C128" s="15" t="str">
        <f>薬品マスタリスト_20260130100542!A126</f>
        <v>エスシタロプラムＯＤ錠１０ｍｇ「トーワ」</v>
      </c>
      <c r="D128" s="15" t="str">
        <f>薬品マスタリスト_20260130100542!B126</f>
        <v>ｴｽｼﾀﾛﾌﾟﾗﾑODｼﾞｮｳ10mg｢ﾄｰﾜ｣</v>
      </c>
      <c r="E128" s="15">
        <f>薬品マスタリスト_20260130100542!C126</f>
        <v>1</v>
      </c>
      <c r="F128" s="206" t="str">
        <f>薬品マスタリスト_20260130100542!D126</f>
        <v>錠剤</v>
      </c>
      <c r="G128" s="208" t="str">
        <f>match_results!C125</f>
        <v>エスシタロプラムＯＤ錠「トーワ」　</v>
      </c>
      <c r="H128" s="208">
        <f>match_results!D125</f>
        <v>649</v>
      </c>
      <c r="I128" s="218">
        <f>match_results!E125</f>
        <v>88.8888888888888</v>
      </c>
      <c r="J128" s="225"/>
      <c r="K128" s="15" t="str">
        <f ca="1">IF($J128="〇",OFFSET(集計!B$3,合体!$H128,0),"")</f>
        <v/>
      </c>
      <c r="L128" s="15" t="str">
        <f ca="1">IF($J128="〇",OFFSET(集計!C$3,合体!$H128,0),"")</f>
        <v/>
      </c>
      <c r="M128" s="202" t="str">
        <f ca="1">IF($J128="〇",OFFSET(集計!D$3,合体!$H128,0),"")</f>
        <v/>
      </c>
    </row>
    <row r="129" spans="2:13" x14ac:dyDescent="0.2">
      <c r="B129" s="201">
        <f t="shared" si="1"/>
        <v>125</v>
      </c>
      <c r="C129" s="15" t="str">
        <f>薬品マスタリスト_20260130100542!A127</f>
        <v>エスゾピクロン錠１ｍｇ「トーワ」</v>
      </c>
      <c r="D129" s="15" t="str">
        <f>薬品マスタリスト_20260130100542!B127</f>
        <v>ｴｽｿﾞﾋﾟｸﾛﾝｼﾞｮｳ1mg｢ﾄｰﾜ｣</v>
      </c>
      <c r="E129" s="15">
        <f>薬品マスタリスト_20260130100542!C127</f>
        <v>1</v>
      </c>
      <c r="F129" s="206" t="str">
        <f>薬品マスタリスト_20260130100542!D127</f>
        <v>錠剤</v>
      </c>
      <c r="G129" s="208" t="str">
        <f>match_results!C126</f>
        <v>エスゾピクロン錠１ｍｇ「トーワ」</v>
      </c>
      <c r="H129" s="208">
        <f>match_results!D126</f>
        <v>366</v>
      </c>
      <c r="I129" s="218">
        <f>match_results!E126</f>
        <v>100</v>
      </c>
      <c r="J129" s="225" t="s">
        <v>3917</v>
      </c>
      <c r="K129" s="15">
        <f ca="1">IF($J129="〇",OFFSET(集計!B$3,合体!$H129,0),"")</f>
        <v>7.12</v>
      </c>
      <c r="L129" s="15">
        <f ca="1">IF($J129="〇",OFFSET(集計!C$3,合体!$H129,0),"")</f>
        <v>944</v>
      </c>
      <c r="M129" s="202">
        <f ca="1">IF($J129="〇",OFFSET(集計!D$3,合体!$H129,0),"")</f>
        <v>6721.28</v>
      </c>
    </row>
    <row r="130" spans="2:13" x14ac:dyDescent="0.2">
      <c r="B130" s="201">
        <f t="shared" si="1"/>
        <v>126</v>
      </c>
      <c r="C130" s="15" t="str">
        <f>薬品マスタリスト_20260130100542!A128</f>
        <v>ＳＰトローチ０．２５ｍｇ「明治」</v>
      </c>
      <c r="D130" s="15" t="str">
        <f>薬品マスタリスト_20260130100542!B128</f>
        <v>SPﾄﾛｰﾁ0.25mg｢ﾒｲｼﾞ｣</v>
      </c>
      <c r="E130" s="15">
        <f>薬品マスタリスト_20260130100542!C128</f>
        <v>8</v>
      </c>
      <c r="F130" s="206" t="str">
        <f>薬品マスタリスト_20260130100542!D128</f>
        <v>トローチ</v>
      </c>
      <c r="G130" s="208" t="str">
        <f>match_results!C127</f>
        <v>ブロチゾラム錠０．２５ｍｇ</v>
      </c>
      <c r="H130" s="208">
        <f>match_results!D127</f>
        <v>553</v>
      </c>
      <c r="I130" s="218">
        <f>match_results!E127</f>
        <v>55.172413793103402</v>
      </c>
      <c r="J130" s="225"/>
      <c r="K130" s="15" t="str">
        <f ca="1">IF($J130="〇",OFFSET(集計!B$3,合体!$H130,0),"")</f>
        <v/>
      </c>
      <c r="L130" s="15" t="str">
        <f ca="1">IF($J130="〇",OFFSET(集計!C$3,合体!$H130,0),"")</f>
        <v/>
      </c>
      <c r="M130" s="202" t="str">
        <f ca="1">IF($J130="〇",OFFSET(集計!D$3,合体!$H130,0),"")</f>
        <v/>
      </c>
    </row>
    <row r="131" spans="2:13" x14ac:dyDescent="0.2">
      <c r="B131" s="201">
        <f t="shared" si="1"/>
        <v>127</v>
      </c>
      <c r="C131" s="15" t="str">
        <f>薬品マスタリスト_20260130100542!A129</f>
        <v>エゼチミブＯＤ錠１０ｍｇ「トーワ」</v>
      </c>
      <c r="D131" s="15" t="str">
        <f>薬品マスタリスト_20260130100542!B129</f>
        <v>ｴｾﾞﾁﾐﾌﾞODｼﾞﾖｳ10MGﾄ-ﾜ</v>
      </c>
      <c r="E131" s="15">
        <f>薬品マスタリスト_20260130100542!C129</f>
        <v>1</v>
      </c>
      <c r="F131" s="206" t="str">
        <f>薬品マスタリスト_20260130100542!D129</f>
        <v>錠剤</v>
      </c>
      <c r="G131" s="208" t="str">
        <f>match_results!C128</f>
        <v>エゼチミブＯＤ１０ｍｇ「トーワ」</v>
      </c>
      <c r="H131" s="208">
        <f>match_results!D128</f>
        <v>140</v>
      </c>
      <c r="I131" s="218">
        <f>match_results!E128</f>
        <v>96.969696969696898</v>
      </c>
      <c r="J131" s="225"/>
      <c r="K131" s="15" t="str">
        <f ca="1">IF($J131="〇",OFFSET(集計!B$3,合体!$H131,0),"")</f>
        <v/>
      </c>
      <c r="L131" s="15" t="str">
        <f ca="1">IF($J131="〇",OFFSET(集計!C$3,合体!$H131,0),"")</f>
        <v/>
      </c>
      <c r="M131" s="202" t="str">
        <f ca="1">IF($J131="〇",OFFSET(集計!D$3,合体!$H131,0),"")</f>
        <v/>
      </c>
    </row>
    <row r="132" spans="2:13" x14ac:dyDescent="0.2">
      <c r="B132" s="201">
        <f t="shared" si="1"/>
        <v>128</v>
      </c>
      <c r="C132" s="15" t="str">
        <f>薬品マスタリスト_20260130100542!A130</f>
        <v>エソメプラゾールカプセル２０ｍｇ「ニプロ」</v>
      </c>
      <c r="D132" s="15" t="str">
        <f>薬品マスタリスト_20260130100542!B130</f>
        <v>ｴｿﾒﾌﾟﾗｿﾞ-ﾙｶﾌﾟｾﾙ20MGﾆﾌﾟﾛ</v>
      </c>
      <c r="E132" s="15">
        <f>薬品マスタリスト_20260130100542!C130</f>
        <v>2</v>
      </c>
      <c r="F132" s="206" t="str">
        <f>薬品マスタリスト_20260130100542!D130</f>
        <v>カプセル</v>
      </c>
      <c r="G132" s="208" t="str">
        <f>match_results!C129</f>
        <v>エソメプラゾールカプセル（２０）</v>
      </c>
      <c r="H132" s="208">
        <f>match_results!D129</f>
        <v>641</v>
      </c>
      <c r="I132" s="218">
        <f>match_results!E129</f>
        <v>75.675675675675606</v>
      </c>
      <c r="J132" s="225"/>
      <c r="K132" s="15" t="str">
        <f ca="1">IF($J132="〇",OFFSET(集計!B$3,合体!$H132,0),"")</f>
        <v/>
      </c>
      <c r="L132" s="15" t="str">
        <f ca="1">IF($J132="〇",OFFSET(集計!C$3,合体!$H132,0),"")</f>
        <v/>
      </c>
      <c r="M132" s="202" t="str">
        <f ca="1">IF($J132="〇",OFFSET(集計!D$3,合体!$H132,0),"")</f>
        <v/>
      </c>
    </row>
    <row r="133" spans="2:13" x14ac:dyDescent="0.2">
      <c r="B133" s="201">
        <f t="shared" si="1"/>
        <v>129</v>
      </c>
      <c r="C133" s="15" t="str">
        <f>薬品マスタリスト_20260130100542!A131</f>
        <v>エチゾラム錠０．５ｍｇ「アメル」</v>
      </c>
      <c r="D133" s="15" t="str">
        <f>薬品マスタリスト_20260130100542!B131</f>
        <v>ｴﾁｿﾞﾗﾑｼﾞｮｳ0.5mg｢ｱﾒﾙ｣</v>
      </c>
      <c r="E133" s="15">
        <f>薬品マスタリスト_20260130100542!C131</f>
        <v>1</v>
      </c>
      <c r="F133" s="206" t="str">
        <f>薬品マスタリスト_20260130100542!D131</f>
        <v>錠剤</v>
      </c>
      <c r="G133" s="208" t="str">
        <f>match_results!C130</f>
        <v>エチゾラム錠０．５ｍｇ「アメル」</v>
      </c>
      <c r="H133" s="208">
        <f>match_results!D130</f>
        <v>497</v>
      </c>
      <c r="I133" s="218">
        <f>match_results!E130</f>
        <v>100</v>
      </c>
      <c r="J133" s="225" t="s">
        <v>3917</v>
      </c>
      <c r="K133" s="15">
        <f ca="1">IF($J133="〇",OFFSET(集計!B$3,合体!$H133,0),"")</f>
        <v>5.4</v>
      </c>
      <c r="L133" s="15">
        <f ca="1">IF($J133="〇",OFFSET(集計!C$3,合体!$H133,0),"")</f>
        <v>2504.272727272727</v>
      </c>
      <c r="M133" s="202">
        <f ca="1">IF($J133="〇",OFFSET(集計!D$3,合体!$H133,0),"")</f>
        <v>13523.072727272727</v>
      </c>
    </row>
    <row r="134" spans="2:13" x14ac:dyDescent="0.2">
      <c r="B134" s="201">
        <f t="shared" si="1"/>
        <v>130</v>
      </c>
      <c r="C134" s="15" t="str">
        <f>薬品マスタリスト_20260130100542!A132</f>
        <v>エチゾラム錠１ｍｇ「アメル」</v>
      </c>
      <c r="D134" s="15" t="str">
        <f>薬品マスタリスト_20260130100542!B132</f>
        <v>ｴﾁｿﾞﾗﾑｼﾞｮｳ1mg｢ｱﾒﾙ｣</v>
      </c>
      <c r="E134" s="15">
        <f>薬品マスタリスト_20260130100542!C132</f>
        <v>1</v>
      </c>
      <c r="F134" s="206" t="str">
        <f>薬品マスタリスト_20260130100542!D132</f>
        <v>錠剤</v>
      </c>
      <c r="G134" s="208" t="str">
        <f>match_results!C131</f>
        <v>エチゾラム錠１ｍｇ「アメル」</v>
      </c>
      <c r="H134" s="208">
        <f>match_results!D131</f>
        <v>570</v>
      </c>
      <c r="I134" s="218">
        <f>match_results!E131</f>
        <v>100</v>
      </c>
      <c r="J134" s="225" t="s">
        <v>3917</v>
      </c>
      <c r="K134" s="15">
        <f ca="1">IF($J134="〇",OFFSET(集計!B$3,合体!$H134,0),"")</f>
        <v>8.3000000000000007</v>
      </c>
      <c r="L134" s="15">
        <f ca="1">IF($J134="〇",OFFSET(集計!C$3,合体!$H134,0),"")</f>
        <v>3032.9230769230771</v>
      </c>
      <c r="M134" s="202">
        <f ca="1">IF($J134="〇",OFFSET(集計!D$3,合体!$H134,0),"")</f>
        <v>25173.261538461542</v>
      </c>
    </row>
    <row r="135" spans="2:13" x14ac:dyDescent="0.2">
      <c r="B135" s="201">
        <f t="shared" ref="B135:B198" si="2">B134+1</f>
        <v>131</v>
      </c>
      <c r="C135" s="15" t="str">
        <f>薬品マスタリスト_20260130100542!A133</f>
        <v>エチゾラム細粒１％「ＪＧ」</v>
      </c>
      <c r="D135" s="15" t="str">
        <f>薬品マスタリスト_20260130100542!B133</f>
        <v>ｴﾁｿﾞﾗﾑｻｲﾘｭｳ1%｢JG｣</v>
      </c>
      <c r="E135" s="15">
        <f>薬品マスタリスト_20260130100542!C133</f>
        <v>3</v>
      </c>
      <c r="F135" s="206" t="str">
        <f>薬品マスタリスト_20260130100542!D133</f>
        <v>散</v>
      </c>
      <c r="G135" s="208" t="str">
        <f>match_results!C132</f>
        <v>エチゾラム錠１ｍｇ「アメル」</v>
      </c>
      <c r="H135" s="208">
        <f>match_results!D132</f>
        <v>570</v>
      </c>
      <c r="I135" s="218">
        <f>match_results!E132</f>
        <v>59.259259259259203</v>
      </c>
      <c r="J135" s="225"/>
      <c r="K135" s="15" t="str">
        <f ca="1">IF($J135="〇",OFFSET(集計!B$3,合体!$H135,0),"")</f>
        <v/>
      </c>
      <c r="L135" s="15" t="str">
        <f ca="1">IF($J135="〇",OFFSET(集計!C$3,合体!$H135,0),"")</f>
        <v/>
      </c>
      <c r="M135" s="202" t="str">
        <f ca="1">IF($J135="〇",OFFSET(集計!D$3,合体!$H135,0),"")</f>
        <v/>
      </c>
    </row>
    <row r="136" spans="2:13" x14ac:dyDescent="0.2">
      <c r="B136" s="201">
        <f t="shared" si="2"/>
        <v>132</v>
      </c>
      <c r="C136" s="15" t="str">
        <f>薬品マスタリスト_20260130100542!A134</f>
        <v>エトドラク錠２００ｍｇ「タイヨー」</v>
      </c>
      <c r="D136" s="15" t="str">
        <f>薬品マスタリスト_20260130100542!B134</f>
        <v>ｴﾄﾄﾞﾗｸｼﾞｮｳ200mg｢ﾀｲﾖｰ｣</v>
      </c>
      <c r="E136" s="15">
        <f>薬品マスタリスト_20260130100542!C134</f>
        <v>1</v>
      </c>
      <c r="F136" s="206" t="str">
        <f>薬品マスタリスト_20260130100542!D134</f>
        <v>錠剤</v>
      </c>
      <c r="G136" s="208" t="str">
        <f>match_results!C133</f>
        <v>スルピリド錠２００ｍｇ「アメル」　</v>
      </c>
      <c r="H136" s="208">
        <f>match_results!D133</f>
        <v>324</v>
      </c>
      <c r="I136" s="218">
        <f>match_results!E133</f>
        <v>54.545454545454497</v>
      </c>
      <c r="J136" s="225"/>
      <c r="K136" s="15" t="str">
        <f ca="1">IF($J136="〇",OFFSET(集計!B$3,合体!$H136,0),"")</f>
        <v/>
      </c>
      <c r="L136" s="15" t="str">
        <f ca="1">IF($J136="〇",OFFSET(集計!C$3,合体!$H136,0),"")</f>
        <v/>
      </c>
      <c r="M136" s="202" t="str">
        <f ca="1">IF($J136="〇",OFFSET(集計!D$3,合体!$H136,0),"")</f>
        <v/>
      </c>
    </row>
    <row r="137" spans="2:13" x14ac:dyDescent="0.2">
      <c r="B137" s="201">
        <f t="shared" si="2"/>
        <v>133</v>
      </c>
      <c r="C137" s="15" t="str">
        <f>薬品マスタリスト_20260130100542!A135</f>
        <v>エナラプリルマレイン酸塩錠５ｍｇ「日新」</v>
      </c>
      <c r="D137" s="15" t="str">
        <f>薬品マスタリスト_20260130100542!B135</f>
        <v>ｴﾅﾗﾌﾟﾘﾙﾏﾚｲﾝｻﾝｴﾝｼﾞｮｳ5mg｢ﾆｯｼﾝ｣</v>
      </c>
      <c r="E137" s="15">
        <f>薬品マスタリスト_20260130100542!C135</f>
        <v>1</v>
      </c>
      <c r="F137" s="206" t="str">
        <f>薬品マスタリスト_20260130100542!D135</f>
        <v>錠剤</v>
      </c>
      <c r="G137" s="208" t="str">
        <f>match_results!C134</f>
        <v>エナラプリルマレイン酸塩酸錠５</v>
      </c>
      <c r="H137" s="208">
        <f>match_results!D134</f>
        <v>455</v>
      </c>
      <c r="I137" s="218">
        <f>match_results!E134</f>
        <v>80</v>
      </c>
      <c r="J137" s="225"/>
      <c r="K137" s="15" t="str">
        <f ca="1">IF($J137="〇",OFFSET(集計!B$3,合体!$H137,0),"")</f>
        <v/>
      </c>
      <c r="L137" s="15" t="str">
        <f ca="1">IF($J137="〇",OFFSET(集計!C$3,合体!$H137,0),"")</f>
        <v/>
      </c>
      <c r="M137" s="202" t="str">
        <f ca="1">IF($J137="〇",OFFSET(集計!D$3,合体!$H137,0),"")</f>
        <v/>
      </c>
    </row>
    <row r="138" spans="2:13" x14ac:dyDescent="0.2">
      <c r="B138" s="201">
        <f t="shared" si="2"/>
        <v>134</v>
      </c>
      <c r="C138" s="15" t="str">
        <f>薬品マスタリスト_20260130100542!A136</f>
        <v>エナラプリルマレイン酸塩錠５ｍｇ「サワイ」</v>
      </c>
      <c r="D138" s="15" t="str">
        <f>薬品マスタリスト_20260130100542!B136</f>
        <v>ｴﾅﾗﾌﾟﾘﾙﾏﾚｲﾝｻﾝｴﾝｼﾞﾖｳ5MGｻﾜｲ</v>
      </c>
      <c r="E138" s="15">
        <f>薬品マスタリスト_20260130100542!C136</f>
        <v>1</v>
      </c>
      <c r="F138" s="206" t="str">
        <f>薬品マスタリスト_20260130100542!D136</f>
        <v>錠剤</v>
      </c>
      <c r="G138" s="208" t="str">
        <f>match_results!C135</f>
        <v>エナラプリルマレイン酸塩酸錠５</v>
      </c>
      <c r="H138" s="208">
        <f>match_results!D135</f>
        <v>455</v>
      </c>
      <c r="I138" s="218">
        <f>match_results!E135</f>
        <v>77.7777777777777</v>
      </c>
      <c r="J138" s="225"/>
      <c r="K138" s="15" t="str">
        <f ca="1">IF($J138="〇",OFFSET(集計!B$3,合体!$H138,0),"")</f>
        <v/>
      </c>
      <c r="L138" s="15" t="str">
        <f ca="1">IF($J138="〇",OFFSET(集計!C$3,合体!$H138,0),"")</f>
        <v/>
      </c>
      <c r="M138" s="202" t="str">
        <f ca="1">IF($J138="〇",OFFSET(集計!D$3,合体!$H138,0),"")</f>
        <v/>
      </c>
    </row>
    <row r="139" spans="2:13" x14ac:dyDescent="0.2">
      <c r="B139" s="201">
        <f t="shared" si="2"/>
        <v>135</v>
      </c>
      <c r="C139" s="15" t="str">
        <f>薬品マスタリスト_20260130100542!A137</f>
        <v>エネフリード輸液</v>
      </c>
      <c r="D139" s="15" t="str">
        <f>薬品マスタリスト_20260130100542!B137</f>
        <v>ｴﾈﾌﾘｰﾄﾞﾕｴｷ</v>
      </c>
      <c r="E139" s="15">
        <f>薬品マスタリスト_20260130100542!C137</f>
        <v>25</v>
      </c>
      <c r="F139" s="206" t="str">
        <f>薬品マスタリスト_20260130100542!D137</f>
        <v>注射剤</v>
      </c>
      <c r="G139" s="208" t="str">
        <f>match_results!C136</f>
        <v>トリフリ－ド輸液</v>
      </c>
      <c r="H139" s="208">
        <f>match_results!D136</f>
        <v>517</v>
      </c>
      <c r="I139" s="218">
        <f>match_results!E136</f>
        <v>62.5</v>
      </c>
      <c r="J139" s="225"/>
      <c r="K139" s="15" t="str">
        <f ca="1">IF($J139="〇",OFFSET(集計!B$3,合体!$H139,0),"")</f>
        <v/>
      </c>
      <c r="L139" s="15" t="str">
        <f ca="1">IF($J139="〇",OFFSET(集計!C$3,合体!$H139,0),"")</f>
        <v/>
      </c>
      <c r="M139" s="202" t="str">
        <f ca="1">IF($J139="〇",OFFSET(集計!D$3,合体!$H139,0),"")</f>
        <v/>
      </c>
    </row>
    <row r="140" spans="2:13" x14ac:dyDescent="0.2">
      <c r="B140" s="201">
        <f t="shared" si="2"/>
        <v>136</v>
      </c>
      <c r="C140" s="15" t="str">
        <f>薬品マスタリスト_20260130100542!A138</f>
        <v>エバステル錠５ｍｇ</v>
      </c>
      <c r="D140" s="15" t="str">
        <f>薬品マスタリスト_20260130100542!B138</f>
        <v>ｴﾊﾞｽﾃﾙｼﾞｮｳ5mg</v>
      </c>
      <c r="E140" s="15">
        <f>薬品マスタリスト_20260130100542!C138</f>
        <v>1</v>
      </c>
      <c r="F140" s="206" t="str">
        <f>薬品マスタリスト_20260130100542!D138</f>
        <v>錠剤</v>
      </c>
      <c r="G140" s="208" t="str">
        <f>match_results!C137</f>
        <v>エバスチンＯＤ錠５ｍｇ</v>
      </c>
      <c r="H140" s="208">
        <f>match_results!D137</f>
        <v>232</v>
      </c>
      <c r="I140" s="218">
        <f>match_results!E137</f>
        <v>70</v>
      </c>
      <c r="J140" s="225"/>
      <c r="K140" s="15" t="str">
        <f ca="1">IF($J140="〇",OFFSET(集計!B$3,合体!$H140,0),"")</f>
        <v/>
      </c>
      <c r="L140" s="15" t="str">
        <f ca="1">IF($J140="〇",OFFSET(集計!C$3,合体!$H140,0),"")</f>
        <v/>
      </c>
      <c r="M140" s="202" t="str">
        <f ca="1">IF($J140="〇",OFFSET(集計!D$3,合体!$H140,0),"")</f>
        <v/>
      </c>
    </row>
    <row r="141" spans="2:13" x14ac:dyDescent="0.2">
      <c r="B141" s="201">
        <f t="shared" si="2"/>
        <v>137</v>
      </c>
      <c r="C141" s="15" t="str">
        <f>薬品マスタリスト_20260130100542!A139</f>
        <v>エバスチンＯＤ錠５ｍｇ「杏林」</v>
      </c>
      <c r="D141" s="15" t="str">
        <f>薬品マスタリスト_20260130100542!B139</f>
        <v>ｴﾊﾞｽﾁﾝODｼﾞﾖｳ5MGｷﾖｳﾘﾝ</v>
      </c>
      <c r="E141" s="15">
        <f>薬品マスタリスト_20260130100542!C139</f>
        <v>1</v>
      </c>
      <c r="F141" s="206" t="str">
        <f>薬品マスタリスト_20260130100542!D139</f>
        <v>錠剤</v>
      </c>
      <c r="G141" s="208" t="str">
        <f>match_results!C138</f>
        <v>エバスチンＯＤ錠５ｍｇ</v>
      </c>
      <c r="H141" s="208">
        <f>match_results!D138</f>
        <v>232</v>
      </c>
      <c r="I141" s="218">
        <f>match_results!E138</f>
        <v>84.615384615384599</v>
      </c>
      <c r="J141" s="225"/>
      <c r="K141" s="15" t="str">
        <f ca="1">IF($J141="〇",OFFSET(集計!B$3,合体!$H141,0),"")</f>
        <v/>
      </c>
      <c r="L141" s="15" t="str">
        <f ca="1">IF($J141="〇",OFFSET(集計!C$3,合体!$H141,0),"")</f>
        <v/>
      </c>
      <c r="M141" s="202" t="str">
        <f ca="1">IF($J141="〇",OFFSET(集計!D$3,合体!$H141,0),"")</f>
        <v/>
      </c>
    </row>
    <row r="142" spans="2:13" x14ac:dyDescent="0.2">
      <c r="B142" s="201">
        <f t="shared" si="2"/>
        <v>138</v>
      </c>
      <c r="C142" s="15" t="str">
        <f>薬品マスタリスト_20260130100542!A140</f>
        <v>エバスチンＯＤ錠５ｍｇ「サワイ」</v>
      </c>
      <c r="D142" s="15" t="str">
        <f>薬品マスタリスト_20260130100542!B140</f>
        <v>ｴﾊﾞｽﾁﾝODｼﾞﾖｳ5MGｻﾜｲ</v>
      </c>
      <c r="E142" s="15">
        <f>薬品マスタリスト_20260130100542!C140</f>
        <v>1</v>
      </c>
      <c r="F142" s="206" t="str">
        <f>薬品マスタリスト_20260130100542!D140</f>
        <v>錠剤</v>
      </c>
      <c r="G142" s="208" t="str">
        <f>match_results!C139</f>
        <v>エバスチンＯＤ錠５ｍｇ</v>
      </c>
      <c r="H142" s="208">
        <f>match_results!D139</f>
        <v>232</v>
      </c>
      <c r="I142" s="218">
        <f>match_results!E139</f>
        <v>81.481481481481495</v>
      </c>
      <c r="J142" s="225"/>
      <c r="K142" s="15" t="str">
        <f ca="1">IF($J142="〇",OFFSET(集計!B$3,合体!$H142,0),"")</f>
        <v/>
      </c>
      <c r="L142" s="15" t="str">
        <f ca="1">IF($J142="〇",OFFSET(集計!C$3,合体!$H142,0),"")</f>
        <v/>
      </c>
      <c r="M142" s="202" t="str">
        <f ca="1">IF($J142="〇",OFFSET(集計!D$3,合体!$H142,0),"")</f>
        <v/>
      </c>
    </row>
    <row r="143" spans="2:13" x14ac:dyDescent="0.2">
      <c r="B143" s="201">
        <f t="shared" si="2"/>
        <v>139</v>
      </c>
      <c r="C143" s="15" t="str">
        <f>薬品マスタリスト_20260130100542!A141</f>
        <v>エビスタ錠６０ｍｇ</v>
      </c>
      <c r="D143" s="15" t="str">
        <f>薬品マスタリスト_20260130100542!B141</f>
        <v>ｴﾋﾞｽﾀｼﾞｮｳ60mg</v>
      </c>
      <c r="E143" s="15">
        <f>薬品マスタリスト_20260130100542!C141</f>
        <v>1</v>
      </c>
      <c r="F143" s="206" t="str">
        <f>薬品マスタリスト_20260130100542!D141</f>
        <v>錠剤</v>
      </c>
      <c r="G143" s="208" t="str">
        <f>match_results!C140</f>
        <v>エビスタ錠６０ｍｇ</v>
      </c>
      <c r="H143" s="208">
        <f>match_results!D140</f>
        <v>319</v>
      </c>
      <c r="I143" s="218">
        <f>match_results!E140</f>
        <v>100</v>
      </c>
      <c r="J143" s="225" t="s">
        <v>3917</v>
      </c>
      <c r="K143" s="15">
        <f ca="1">IF($J143="〇",OFFSET(集計!B$3,合体!$H143,0),"")</f>
        <v>51.7</v>
      </c>
      <c r="L143" s="15">
        <f ca="1">IF($J143="〇",OFFSET(集計!C$3,合体!$H143,0),"")</f>
        <v>100</v>
      </c>
      <c r="M143" s="202">
        <f ca="1">IF($J143="〇",OFFSET(集計!D$3,合体!$H143,0),"")</f>
        <v>5170</v>
      </c>
    </row>
    <row r="144" spans="2:13" x14ac:dyDescent="0.2">
      <c r="B144" s="201">
        <f t="shared" si="2"/>
        <v>140</v>
      </c>
      <c r="C144" s="15" t="str">
        <f>薬品マスタリスト_20260130100542!A142</f>
        <v>エピナスチン塩酸塩錠２０ｍｇ「ＪＧ」</v>
      </c>
      <c r="D144" s="15" t="str">
        <f>薬品マスタリスト_20260130100542!B142</f>
        <v>ｴﾋﾟﾅｽﾁﾝｴﾝｻﾝｴﾝｼﾞｮｳ20mg｢JG｣</v>
      </c>
      <c r="E144" s="15">
        <f>薬品マスタリスト_20260130100542!C142</f>
        <v>1</v>
      </c>
      <c r="F144" s="206" t="str">
        <f>薬品マスタリスト_20260130100542!D142</f>
        <v>錠剤</v>
      </c>
      <c r="G144" s="208" t="str">
        <f>match_results!C141</f>
        <v>エピナスチン錠２０ｍｇ「トーワ」</v>
      </c>
      <c r="H144" s="208">
        <f>match_results!D141</f>
        <v>443</v>
      </c>
      <c r="I144" s="218">
        <f>match_results!E141</f>
        <v>76.470588235294102</v>
      </c>
      <c r="J144" s="225"/>
      <c r="K144" s="15" t="str">
        <f ca="1">IF($J144="〇",OFFSET(集計!B$3,合体!$H144,0),"")</f>
        <v/>
      </c>
      <c r="L144" s="15" t="str">
        <f ca="1">IF($J144="〇",OFFSET(集計!C$3,合体!$H144,0),"")</f>
        <v/>
      </c>
      <c r="M144" s="202" t="str">
        <f ca="1">IF($J144="〇",OFFSET(集計!D$3,合体!$H144,0),"")</f>
        <v/>
      </c>
    </row>
    <row r="145" spans="2:13" x14ac:dyDescent="0.2">
      <c r="B145" s="201">
        <f t="shared" si="2"/>
        <v>141</v>
      </c>
      <c r="C145" s="15" t="str">
        <f>薬品マスタリスト_20260130100542!A143</f>
        <v>エピナスチン塩酸塩錠２０ｍｇ「トーワ」</v>
      </c>
      <c r="D145" s="15" t="str">
        <f>薬品マスタリスト_20260130100542!B143</f>
        <v>ｴﾋﾟﾅｽﾁﾝｴﾝｻﾝｴﾝｼﾞｮｳ20mg｢ﾄｰﾜ｣</v>
      </c>
      <c r="E145" s="15">
        <f>薬品マスタリスト_20260130100542!C143</f>
        <v>1</v>
      </c>
      <c r="F145" s="206" t="str">
        <f>薬品マスタリスト_20260130100542!D143</f>
        <v>錠剤</v>
      </c>
      <c r="G145" s="208" t="str">
        <f>match_results!C142</f>
        <v>エピナスチン錠２０ｍｇ「トーワ」</v>
      </c>
      <c r="H145" s="208">
        <f>match_results!D142</f>
        <v>443</v>
      </c>
      <c r="I145" s="218">
        <f>match_results!E142</f>
        <v>91.428571428571402</v>
      </c>
      <c r="J145" s="225"/>
      <c r="K145" s="15" t="str">
        <f ca="1">IF($J145="〇",OFFSET(集計!B$3,合体!$H145,0),"")</f>
        <v/>
      </c>
      <c r="L145" s="15" t="str">
        <f ca="1">IF($J145="〇",OFFSET(集計!C$3,合体!$H145,0),"")</f>
        <v/>
      </c>
      <c r="M145" s="202" t="str">
        <f ca="1">IF($J145="〇",OFFSET(集計!D$3,合体!$H145,0),"")</f>
        <v/>
      </c>
    </row>
    <row r="146" spans="2:13" x14ac:dyDescent="0.2">
      <c r="B146" s="201">
        <f t="shared" si="2"/>
        <v>142</v>
      </c>
      <c r="C146" s="15" t="str">
        <f>薬品マスタリスト_20260130100542!A144</f>
        <v>エビプロスタット配合錠ＤＢ</v>
      </c>
      <c r="D146" s="15" t="str">
        <f>薬品マスタリスト_20260130100542!B144</f>
        <v>ｴﾋﾞﾌﾟﾛｽﾀｯﾄﾊｲｺﾞｳｼﾞｮｳDB</v>
      </c>
      <c r="E146" s="15">
        <f>薬品マスタリスト_20260130100542!C144</f>
        <v>1</v>
      </c>
      <c r="F146" s="206" t="str">
        <f>薬品マスタリスト_20260130100542!D144</f>
        <v>錠剤</v>
      </c>
      <c r="G146" s="208" t="str">
        <f>match_results!C143</f>
        <v>セレスタミン配合錠</v>
      </c>
      <c r="H146" s="208">
        <f>match_results!D143</f>
        <v>30</v>
      </c>
      <c r="I146" s="218">
        <f>match_results!E143</f>
        <v>45.454545454545404</v>
      </c>
      <c r="J146" s="225"/>
      <c r="K146" s="15" t="str">
        <f ca="1">IF($J146="〇",OFFSET(集計!B$3,合体!$H146,0),"")</f>
        <v/>
      </c>
      <c r="L146" s="15" t="str">
        <f ca="1">IF($J146="〇",OFFSET(集計!C$3,合体!$H146,0),"")</f>
        <v/>
      </c>
      <c r="M146" s="202" t="str">
        <f ca="1">IF($J146="〇",OFFSET(集計!D$3,合体!$H146,0),"")</f>
        <v/>
      </c>
    </row>
    <row r="147" spans="2:13" x14ac:dyDescent="0.2">
      <c r="B147" s="201">
        <f t="shared" si="2"/>
        <v>143</v>
      </c>
      <c r="C147" s="15" t="str">
        <f>薬品マスタリスト_20260130100542!A145</f>
        <v>エビリファイ錠１ｍｇ</v>
      </c>
      <c r="D147" s="15" t="str">
        <f>薬品マスタリスト_20260130100542!B145</f>
        <v>ｴﾋﾞﾘﾌｧｲｼﾞｮｳ1mg</v>
      </c>
      <c r="E147" s="15">
        <f>薬品マスタリスト_20260130100542!C145</f>
        <v>1</v>
      </c>
      <c r="F147" s="206" t="str">
        <f>薬品マスタリスト_20260130100542!D145</f>
        <v>錠剤</v>
      </c>
      <c r="G147" s="208" t="str">
        <f>match_results!C144</f>
        <v>エビリファイ内用液分包３ｍｇ</v>
      </c>
      <c r="H147" s="208">
        <f>match_results!D144</f>
        <v>344</v>
      </c>
      <c r="I147" s="218">
        <f>match_results!E144</f>
        <v>66.6666666666666</v>
      </c>
      <c r="J147" s="225"/>
      <c r="K147" s="15" t="str">
        <f ca="1">IF($J147="〇",OFFSET(集計!B$3,合体!$H147,0),"")</f>
        <v/>
      </c>
      <c r="L147" s="15" t="str">
        <f ca="1">IF($J147="〇",OFFSET(集計!C$3,合体!$H147,0),"")</f>
        <v/>
      </c>
      <c r="M147" s="202" t="str">
        <f ca="1">IF($J147="〇",OFFSET(集計!D$3,合体!$H147,0),"")</f>
        <v/>
      </c>
    </row>
    <row r="148" spans="2:13" x14ac:dyDescent="0.2">
      <c r="B148" s="201">
        <f t="shared" si="2"/>
        <v>144</v>
      </c>
      <c r="C148" s="15" t="str">
        <f>薬品マスタリスト_20260130100542!A146</f>
        <v>エビリファイ錠３ｍｇ</v>
      </c>
      <c r="D148" s="15" t="str">
        <f>薬品マスタリスト_20260130100542!B146</f>
        <v>ｴﾋﾞﾘﾌｧｲｼﾞｮｳ3mg</v>
      </c>
      <c r="E148" s="15">
        <f>薬品マスタリスト_20260130100542!C146</f>
        <v>1</v>
      </c>
      <c r="F148" s="206" t="str">
        <f>薬品マスタリスト_20260130100542!D146</f>
        <v>錠剤</v>
      </c>
      <c r="G148" s="208" t="str">
        <f>match_results!C145</f>
        <v>エビリファイ内用液分包３ｍｇ</v>
      </c>
      <c r="H148" s="208">
        <f>match_results!D145</f>
        <v>344</v>
      </c>
      <c r="I148" s="218">
        <f>match_results!E145</f>
        <v>75</v>
      </c>
      <c r="J148" s="225"/>
      <c r="K148" s="15" t="str">
        <f ca="1">IF($J148="〇",OFFSET(集計!B$3,合体!$H148,0),"")</f>
        <v/>
      </c>
      <c r="L148" s="15" t="str">
        <f ca="1">IF($J148="〇",OFFSET(集計!C$3,合体!$H148,0),"")</f>
        <v/>
      </c>
      <c r="M148" s="202" t="str">
        <f ca="1">IF($J148="〇",OFFSET(集計!D$3,合体!$H148,0),"")</f>
        <v/>
      </c>
    </row>
    <row r="149" spans="2:13" x14ac:dyDescent="0.2">
      <c r="B149" s="201">
        <f t="shared" si="2"/>
        <v>145</v>
      </c>
      <c r="C149" s="15" t="str">
        <f>薬品マスタリスト_20260130100542!A147</f>
        <v>エビリファイ錠６ｍｇ</v>
      </c>
      <c r="D149" s="15" t="str">
        <f>薬品マスタリスト_20260130100542!B147</f>
        <v>ｴﾋﾞﾘﾌｧｲｼﾞｮｳ6mg</v>
      </c>
      <c r="E149" s="15">
        <f>薬品マスタリスト_20260130100542!C147</f>
        <v>1</v>
      </c>
      <c r="F149" s="206" t="str">
        <f>薬品マスタリスト_20260130100542!D147</f>
        <v>錠剤</v>
      </c>
      <c r="G149" s="208" t="str">
        <f>match_results!C146</f>
        <v>エビリファイ内用液分包６ｍｇ</v>
      </c>
      <c r="H149" s="208">
        <f>match_results!D146</f>
        <v>466</v>
      </c>
      <c r="I149" s="218">
        <f>match_results!E146</f>
        <v>75</v>
      </c>
      <c r="J149" s="225"/>
      <c r="K149" s="15" t="str">
        <f ca="1">IF($J149="〇",OFFSET(集計!B$3,合体!$H149,0),"")</f>
        <v/>
      </c>
      <c r="L149" s="15" t="str">
        <f ca="1">IF($J149="〇",OFFSET(集計!C$3,合体!$H149,0),"")</f>
        <v/>
      </c>
      <c r="M149" s="202" t="str">
        <f ca="1">IF($J149="〇",OFFSET(集計!D$3,合体!$H149,0),"")</f>
        <v/>
      </c>
    </row>
    <row r="150" spans="2:13" x14ac:dyDescent="0.2">
      <c r="B150" s="201">
        <f t="shared" si="2"/>
        <v>146</v>
      </c>
      <c r="C150" s="15" t="str">
        <f>薬品マスタリスト_20260130100542!A148</f>
        <v>エビリファイ散１％</v>
      </c>
      <c r="D150" s="15" t="str">
        <f>薬品マスタリスト_20260130100542!B148</f>
        <v>ｴﾋﾞﾘﾌｧｲｻﾝ1%</v>
      </c>
      <c r="E150" s="15">
        <f>薬品マスタリスト_20260130100542!C148</f>
        <v>3</v>
      </c>
      <c r="F150" s="206" t="str">
        <f>薬品マスタリスト_20260130100542!D148</f>
        <v>散</v>
      </c>
      <c r="G150" s="208" t="str">
        <f>match_results!C147</f>
        <v>ファモチジン散１０％　　　　　　　　　　　</v>
      </c>
      <c r="H150" s="208">
        <f>match_results!D147</f>
        <v>336</v>
      </c>
      <c r="I150" s="218">
        <f>match_results!E147</f>
        <v>52.631578947368403</v>
      </c>
      <c r="J150" s="225"/>
      <c r="K150" s="15" t="str">
        <f ca="1">IF($J150="〇",OFFSET(集計!B$3,合体!$H150,0),"")</f>
        <v/>
      </c>
      <c r="L150" s="15" t="str">
        <f ca="1">IF($J150="〇",OFFSET(集計!C$3,合体!$H150,0),"")</f>
        <v/>
      </c>
      <c r="M150" s="202" t="str">
        <f ca="1">IF($J150="〇",OFFSET(集計!D$3,合体!$H150,0),"")</f>
        <v/>
      </c>
    </row>
    <row r="151" spans="2:13" x14ac:dyDescent="0.2">
      <c r="B151" s="201">
        <f t="shared" si="2"/>
        <v>147</v>
      </c>
      <c r="C151" s="15" t="str">
        <f>薬品マスタリスト_20260130100542!A149</f>
        <v>エビリファイ錠１２ｍｇ</v>
      </c>
      <c r="D151" s="15" t="str">
        <f>薬品マスタリスト_20260130100542!B149</f>
        <v>ｴﾋﾞﾘﾌｧｲｼﾞｮｳ12mg</v>
      </c>
      <c r="E151" s="15">
        <f>薬品マスタリスト_20260130100542!C149</f>
        <v>1</v>
      </c>
      <c r="F151" s="206" t="str">
        <f>薬品マスタリスト_20260130100542!D149</f>
        <v>錠剤</v>
      </c>
      <c r="G151" s="208" t="str">
        <f>match_results!C148</f>
        <v>エビリファイ内用液分包３ｍｇ</v>
      </c>
      <c r="H151" s="208">
        <f>match_results!D148</f>
        <v>344</v>
      </c>
      <c r="I151" s="218">
        <f>match_results!E148</f>
        <v>64</v>
      </c>
      <c r="J151" s="225"/>
      <c r="K151" s="15" t="str">
        <f ca="1">IF($J151="〇",OFFSET(集計!B$3,合体!$H151,0),"")</f>
        <v/>
      </c>
      <c r="L151" s="15" t="str">
        <f ca="1">IF($J151="〇",OFFSET(集計!C$3,合体!$H151,0),"")</f>
        <v/>
      </c>
      <c r="M151" s="202" t="str">
        <f ca="1">IF($J151="〇",OFFSET(集計!D$3,合体!$H151,0),"")</f>
        <v/>
      </c>
    </row>
    <row r="152" spans="2:13" x14ac:dyDescent="0.2">
      <c r="B152" s="201">
        <f t="shared" si="2"/>
        <v>148</v>
      </c>
      <c r="C152" s="15" t="str">
        <f>薬品マスタリスト_20260130100542!A150</f>
        <v>エビリファイ持続性水懸筋注用３００ｍｇシリンジ</v>
      </c>
      <c r="D152" s="15" t="str">
        <f>薬品マスタリスト_20260130100542!B150</f>
        <v>ｴﾋﾞﾘﾌｧｲ持続ｾｲｽｲ懸ｷﾝﾁｭｳﾖｳ300mgｼﾘﾝｼﾞ</v>
      </c>
      <c r="E152" s="15">
        <f>薬品マスタリスト_20260130100542!C150</f>
        <v>25</v>
      </c>
      <c r="F152" s="206" t="str">
        <f>薬品マスタリスト_20260130100542!D150</f>
        <v>注射剤</v>
      </c>
      <c r="G152" s="208" t="str">
        <f>match_results!C149</f>
        <v>エビリファイ水懸筋注用３００</v>
      </c>
      <c r="H152" s="208">
        <f>match_results!D149</f>
        <v>587</v>
      </c>
      <c r="I152" s="218">
        <f>match_results!E149</f>
        <v>75.675675675675606</v>
      </c>
      <c r="J152" s="225"/>
      <c r="K152" s="15" t="str">
        <f ca="1">IF($J152="〇",OFFSET(集計!B$3,合体!$H152,0),"")</f>
        <v/>
      </c>
      <c r="L152" s="15" t="str">
        <f ca="1">IF($J152="〇",OFFSET(集計!C$3,合体!$H152,0),"")</f>
        <v/>
      </c>
      <c r="M152" s="202" t="str">
        <f ca="1">IF($J152="〇",OFFSET(集計!D$3,合体!$H152,0),"")</f>
        <v/>
      </c>
    </row>
    <row r="153" spans="2:13" x14ac:dyDescent="0.2">
      <c r="B153" s="201">
        <f t="shared" si="2"/>
        <v>149</v>
      </c>
      <c r="C153" s="15" t="str">
        <f>薬品マスタリスト_20260130100542!A151</f>
        <v>エビリファイ持続性水懸筋注用４００ｍｇシリンジ外来用</v>
      </c>
      <c r="D153" s="15" t="str">
        <f>薬品マスタリスト_20260130100542!B151</f>
        <v>ｴﾋﾞﾘﾌｧｲ持続ｾｲｽｲ懸ｷﾝﾁｭｳﾖｳ400mgｼﾘﾝｼﾞ</v>
      </c>
      <c r="E153" s="15">
        <f>薬品マスタリスト_20260130100542!C151</f>
        <v>25</v>
      </c>
      <c r="F153" s="206" t="str">
        <f>薬品マスタリスト_20260130100542!D151</f>
        <v>注射剤</v>
      </c>
      <c r="G153" s="208" t="str">
        <f>match_results!C150</f>
        <v>エビリファイ水懸筋注用４００</v>
      </c>
      <c r="H153" s="208">
        <f>match_results!D150</f>
        <v>648</v>
      </c>
      <c r="I153" s="218">
        <f>match_results!E150</f>
        <v>70</v>
      </c>
      <c r="J153" s="225"/>
      <c r="K153" s="15" t="str">
        <f ca="1">IF($J153="〇",OFFSET(集計!B$3,合体!$H153,0),"")</f>
        <v/>
      </c>
      <c r="L153" s="15" t="str">
        <f ca="1">IF($J153="〇",OFFSET(集計!C$3,合体!$H153,0),"")</f>
        <v/>
      </c>
      <c r="M153" s="202" t="str">
        <f ca="1">IF($J153="〇",OFFSET(集計!D$3,合体!$H153,0),"")</f>
        <v/>
      </c>
    </row>
    <row r="154" spans="2:13" x14ac:dyDescent="0.2">
      <c r="B154" s="201">
        <f t="shared" si="2"/>
        <v>150</v>
      </c>
      <c r="C154" s="15" t="str">
        <f>薬品マスタリスト_20260130100542!A152</f>
        <v>エビリファイ内用液0.1％　3ml</v>
      </c>
      <c r="D154" s="15" t="str">
        <f>薬品マスタリスト_20260130100542!B152</f>
        <v>ｴﾋﾞﾘﾌｱｲﾅｲﾖｳｴｷ0.1%</v>
      </c>
      <c r="E154" s="15">
        <f>薬品マスタリスト_20260130100542!C152</f>
        <v>7</v>
      </c>
      <c r="F154" s="206" t="str">
        <f>薬品マスタリスト_20260130100542!D152</f>
        <v>液（内用）</v>
      </c>
      <c r="G154" s="208" t="str">
        <f>match_results!C151</f>
        <v>エビリファイ内用液分包３ｍｇ</v>
      </c>
      <c r="H154" s="208">
        <f>match_results!D151</f>
        <v>344</v>
      </c>
      <c r="I154" s="218">
        <f>match_results!E151</f>
        <v>58.064516129032199</v>
      </c>
      <c r="J154" s="225"/>
      <c r="K154" s="15" t="str">
        <f ca="1">IF($J154="〇",OFFSET(集計!B$3,合体!$H154,0),"")</f>
        <v/>
      </c>
      <c r="L154" s="15" t="str">
        <f ca="1">IF($J154="〇",OFFSET(集計!C$3,合体!$H154,0),"")</f>
        <v/>
      </c>
      <c r="M154" s="202" t="str">
        <f ca="1">IF($J154="〇",OFFSET(集計!D$3,合体!$H154,0),"")</f>
        <v/>
      </c>
    </row>
    <row r="155" spans="2:13" x14ac:dyDescent="0.2">
      <c r="B155" s="201">
        <f t="shared" si="2"/>
        <v>151</v>
      </c>
      <c r="C155" s="15" t="str">
        <f>薬品マスタリスト_20260130100542!A153</f>
        <v>エビリファイ内用液0.1％　6ml</v>
      </c>
      <c r="D155" s="15" t="str">
        <f>薬品マスタリスト_20260130100542!B153</f>
        <v>エビリファイ内用液0.1％　6ml</v>
      </c>
      <c r="E155" s="15">
        <f>薬品マスタリスト_20260130100542!C153</f>
        <v>7</v>
      </c>
      <c r="F155" s="206" t="str">
        <f>薬品マスタリスト_20260130100542!D153</f>
        <v>液（内用）</v>
      </c>
      <c r="G155" s="208" t="str">
        <f>match_results!C152</f>
        <v>エビリファイ内用液分包３ｍｇ</v>
      </c>
      <c r="H155" s="208">
        <f>match_results!D152</f>
        <v>344</v>
      </c>
      <c r="I155" s="218">
        <f>match_results!E152</f>
        <v>58.064516129032199</v>
      </c>
      <c r="J155" s="225"/>
      <c r="K155" s="15" t="str">
        <f ca="1">IF($J155="〇",OFFSET(集計!B$3,合体!$H155,0),"")</f>
        <v/>
      </c>
      <c r="L155" s="15" t="str">
        <f ca="1">IF($J155="〇",OFFSET(集計!C$3,合体!$H155,0),"")</f>
        <v/>
      </c>
      <c r="M155" s="202" t="str">
        <f ca="1">IF($J155="〇",OFFSET(集計!D$3,合体!$H155,0),"")</f>
        <v/>
      </c>
    </row>
    <row r="156" spans="2:13" x14ac:dyDescent="0.2">
      <c r="B156" s="201">
        <f t="shared" si="2"/>
        <v>152</v>
      </c>
      <c r="C156" s="15" t="str">
        <f>薬品マスタリスト_20260130100542!A154</f>
        <v>エフィエント錠２．５ｍｇ</v>
      </c>
      <c r="D156" s="15" t="str">
        <f>薬品マスタリスト_20260130100542!B154</f>
        <v>ｴﾌｨｴﾝﾄｼﾞｮｳ2.5mg</v>
      </c>
      <c r="E156" s="15">
        <f>薬品マスタリスト_20260130100542!C154</f>
        <v>1</v>
      </c>
      <c r="F156" s="206" t="str">
        <f>薬品マスタリスト_20260130100542!D154</f>
        <v>錠剤</v>
      </c>
      <c r="G156" s="208" t="str">
        <f>match_results!C153</f>
        <v>エフィエント錠２．５ｍｇ</v>
      </c>
      <c r="H156" s="208">
        <f>match_results!D153</f>
        <v>305</v>
      </c>
      <c r="I156" s="218">
        <f>match_results!E153</f>
        <v>100</v>
      </c>
      <c r="J156" s="225" t="s">
        <v>3917</v>
      </c>
      <c r="K156" s="15">
        <f ca="1">IF($J156="〇",OFFSET(集計!B$3,合体!$H156,0),"")</f>
        <v>159.6</v>
      </c>
      <c r="L156" s="15">
        <f ca="1">IF($J156="〇",OFFSET(集計!C$3,合体!$H156,0),"")</f>
        <v>30</v>
      </c>
      <c r="M156" s="202">
        <f ca="1">IF($J156="〇",OFFSET(集計!D$3,合体!$H156,0),"")</f>
        <v>4788</v>
      </c>
    </row>
    <row r="157" spans="2:13" x14ac:dyDescent="0.2">
      <c r="B157" s="201">
        <f t="shared" si="2"/>
        <v>153</v>
      </c>
      <c r="C157" s="15" t="str">
        <f>薬品マスタリスト_20260130100542!A155</f>
        <v>エフィナコナゾール爪外用液１０％「サワイ」</v>
      </c>
      <c r="D157" s="15" t="str">
        <f>薬品マスタリスト_20260130100542!B155</f>
        <v>ｴﾌｲﾅｺﾅｿﾞ-ﾙﾂﾒｶﾞｲﾖｳｴｷ10%ｻﾜｲ</v>
      </c>
      <c r="E157" s="15">
        <f>薬品マスタリスト_20260130100542!C155</f>
        <v>17</v>
      </c>
      <c r="F157" s="206" t="str">
        <f>薬品マスタリスト_20260130100542!D155</f>
        <v>外用液剤</v>
      </c>
      <c r="G157" s="208" t="str">
        <f>match_results!C154</f>
        <v>フルコナゾール（１００）</v>
      </c>
      <c r="H157" s="208">
        <f>match_results!D154</f>
        <v>383</v>
      </c>
      <c r="I157" s="218">
        <f>match_results!E154</f>
        <v>48.484848484848399</v>
      </c>
      <c r="J157" s="225"/>
      <c r="K157" s="15" t="str">
        <f ca="1">IF($J157="〇",OFFSET(集計!B$3,合体!$H157,0),"")</f>
        <v/>
      </c>
      <c r="L157" s="15" t="str">
        <f ca="1">IF($J157="〇",OFFSET(集計!C$3,合体!$H157,0),"")</f>
        <v/>
      </c>
      <c r="M157" s="202" t="str">
        <f ca="1">IF($J157="〇",OFFSET(集計!D$3,合体!$H157,0),"")</f>
        <v/>
      </c>
    </row>
    <row r="158" spans="2:13" x14ac:dyDescent="0.2">
      <c r="B158" s="201">
        <f t="shared" si="2"/>
        <v>154</v>
      </c>
      <c r="C158" s="15" t="str">
        <f>薬品マスタリスト_20260130100542!A156</f>
        <v>エブランチルカプセル１５ｍｇ</v>
      </c>
      <c r="D158" s="15" t="str">
        <f>薬品マスタリスト_20260130100542!B156</f>
        <v>ｴﾌﾞﾗﾝﾁﾙｶﾌﾟｾﾙ15mg</v>
      </c>
      <c r="E158" s="15">
        <f>薬品マスタリスト_20260130100542!C156</f>
        <v>2</v>
      </c>
      <c r="F158" s="206" t="str">
        <f>薬品マスタリスト_20260130100542!D156</f>
        <v>カプセル</v>
      </c>
      <c r="G158" s="208" t="str">
        <f>match_results!C155</f>
        <v>エブランチルカプセル１５ｍｇ</v>
      </c>
      <c r="H158" s="208">
        <f>match_results!D155</f>
        <v>382</v>
      </c>
      <c r="I158" s="218">
        <f>match_results!E155</f>
        <v>100</v>
      </c>
      <c r="J158" s="225" t="s">
        <v>3917</v>
      </c>
      <c r="K158" s="15">
        <f ca="1">IF($J158="〇",OFFSET(集計!B$3,合体!$H158,0),"")</f>
        <v>14.7</v>
      </c>
      <c r="L158" s="15">
        <f ca="1">IF($J158="〇",OFFSET(集計!C$3,合体!$H158,0),"")</f>
        <v>483.33333333333337</v>
      </c>
      <c r="M158" s="202">
        <f ca="1">IF($J158="〇",OFFSET(集計!D$3,合体!$H158,0),"")</f>
        <v>7105</v>
      </c>
    </row>
    <row r="159" spans="2:13" x14ac:dyDescent="0.2">
      <c r="B159" s="201">
        <f t="shared" si="2"/>
        <v>155</v>
      </c>
      <c r="C159" s="15" t="str">
        <f>薬品マスタリスト_20260130100542!A157</f>
        <v>エペリゾン塩酸塩錠５０ｍｇ「日医工」</v>
      </c>
      <c r="D159" s="15" t="str">
        <f>薬品マスタリスト_20260130100542!B157</f>
        <v>ｴﾍﾟﾘｿﾞﾝｴﾝｻﾝｴﾝｼﾞｮｳ50mg｢ﾆﾁｲｺｳ｣</v>
      </c>
      <c r="E159" s="15">
        <f>薬品マスタリスト_20260130100542!C157</f>
        <v>1</v>
      </c>
      <c r="F159" s="206" t="str">
        <f>薬品マスタリスト_20260130100542!D157</f>
        <v>錠剤</v>
      </c>
      <c r="G159" s="208" t="str">
        <f>match_results!C156</f>
        <v>エペリゾン錠５０ｍｇ　バラ　１０００錠</v>
      </c>
      <c r="H159" s="208">
        <f>match_results!D156</f>
        <v>88</v>
      </c>
      <c r="I159" s="218">
        <f>match_results!E156</f>
        <v>54.054054054053999</v>
      </c>
      <c r="J159" s="225"/>
      <c r="K159" s="15" t="str">
        <f ca="1">IF($J159="〇",OFFSET(集計!B$3,合体!$H159,0),"")</f>
        <v/>
      </c>
      <c r="L159" s="15" t="str">
        <f ca="1">IF($J159="〇",OFFSET(集計!C$3,合体!$H159,0),"")</f>
        <v/>
      </c>
      <c r="M159" s="202" t="str">
        <f ca="1">IF($J159="〇",OFFSET(集計!D$3,合体!$H159,0),"")</f>
        <v/>
      </c>
    </row>
    <row r="160" spans="2:13" x14ac:dyDescent="0.2">
      <c r="B160" s="201">
        <f t="shared" si="2"/>
        <v>156</v>
      </c>
      <c r="C160" s="15" t="str">
        <f>薬品マスタリスト_20260130100542!A158</f>
        <v>エポジン注シリンジ３０００</v>
      </c>
      <c r="D160" s="15" t="str">
        <f>薬品マスタリスト_20260130100542!B158</f>
        <v>ｴﾎﾟｼﾞﾝﾁｭｳｼﾘﾝｼﾞ3000</v>
      </c>
      <c r="E160" s="15">
        <f>薬品マスタリスト_20260130100542!C158</f>
        <v>25</v>
      </c>
      <c r="F160" s="206" t="str">
        <f>薬品マスタリスト_20260130100542!D158</f>
        <v>注射剤</v>
      </c>
      <c r="G160" s="208" t="str">
        <f>match_results!C157</f>
        <v>キシロカインシリンジ</v>
      </c>
      <c r="H160" s="208">
        <f>match_results!D157</f>
        <v>119</v>
      </c>
      <c r="I160" s="218">
        <f>match_results!E157</f>
        <v>43.478260869565197</v>
      </c>
      <c r="J160" s="225"/>
      <c r="K160" s="15" t="str">
        <f ca="1">IF($J160="〇",OFFSET(集計!B$3,合体!$H160,0),"")</f>
        <v/>
      </c>
      <c r="L160" s="15" t="str">
        <f ca="1">IF($J160="〇",OFFSET(集計!C$3,合体!$H160,0),"")</f>
        <v/>
      </c>
      <c r="M160" s="202" t="str">
        <f ca="1">IF($J160="〇",OFFSET(集計!D$3,合体!$H160,0),"")</f>
        <v/>
      </c>
    </row>
    <row r="161" spans="2:13" x14ac:dyDescent="0.2">
      <c r="B161" s="201">
        <f t="shared" si="2"/>
        <v>157</v>
      </c>
      <c r="C161" s="15" t="str">
        <f>薬品マスタリスト_20260130100542!A159</f>
        <v>エホチール注１０ｍｇ</v>
      </c>
      <c r="D161" s="15" t="str">
        <f>薬品マスタリスト_20260130100542!B159</f>
        <v>ｴﾎﾁｰﾙﾁｭｳ10mg</v>
      </c>
      <c r="E161" s="15">
        <f>薬品マスタリスト_20260130100542!C159</f>
        <v>25</v>
      </c>
      <c r="F161" s="206" t="str">
        <f>薬品マスタリスト_20260130100542!D159</f>
        <v>注射剤</v>
      </c>
      <c r="G161" s="208" t="str">
        <f>match_results!C158</f>
        <v>エホチール注１０ｍｇ</v>
      </c>
      <c r="H161" s="208">
        <f>match_results!D158</f>
        <v>60</v>
      </c>
      <c r="I161" s="218">
        <f>match_results!E158</f>
        <v>100</v>
      </c>
      <c r="J161" s="225" t="s">
        <v>3917</v>
      </c>
      <c r="K161" s="15">
        <f ca="1">IF($J161="〇",OFFSET(集計!B$3,合体!$H161,0),"")</f>
        <v>52.6</v>
      </c>
      <c r="L161" s="15">
        <f ca="1">IF($J161="〇",OFFSET(集計!C$3,合体!$H161,0),"")</f>
        <v>14</v>
      </c>
      <c r="M161" s="202">
        <f ca="1">IF($J161="〇",OFFSET(集計!D$3,合体!$H161,0),"")</f>
        <v>736.4</v>
      </c>
    </row>
    <row r="162" spans="2:13" x14ac:dyDescent="0.2">
      <c r="B162" s="201">
        <f t="shared" si="2"/>
        <v>158</v>
      </c>
      <c r="C162" s="15" t="str">
        <f>薬品マスタリスト_20260130100542!A160</f>
        <v>エリキュース錠２．５ｍｇ</v>
      </c>
      <c r="D162" s="15" t="str">
        <f>薬品マスタリスト_20260130100542!B160</f>
        <v>ｴﾘｷｭｰｽｼﾞｮｳ2.5mg</v>
      </c>
      <c r="E162" s="15">
        <f>薬品マスタリスト_20260130100542!C160</f>
        <v>1</v>
      </c>
      <c r="F162" s="206" t="str">
        <f>薬品マスタリスト_20260130100542!D160</f>
        <v>錠剤</v>
      </c>
      <c r="G162" s="208" t="str">
        <f>match_results!C159</f>
        <v>エリキュース錠２．５ｍｇ</v>
      </c>
      <c r="H162" s="208">
        <f>match_results!D159</f>
        <v>528</v>
      </c>
      <c r="I162" s="218">
        <f>match_results!E159</f>
        <v>100</v>
      </c>
      <c r="J162" s="225" t="s">
        <v>3917</v>
      </c>
      <c r="K162" s="15">
        <f ca="1">IF($J162="〇",OFFSET(集計!B$3,合体!$H162,0),"")</f>
        <v>103.5</v>
      </c>
      <c r="L162" s="15">
        <f ca="1">IF($J162="〇",OFFSET(集計!C$3,合体!$H162,0),"")</f>
        <v>168.16666666666669</v>
      </c>
      <c r="M162" s="202">
        <f ca="1">IF($J162="〇",OFFSET(集計!D$3,合体!$H162,0),"")</f>
        <v>17405.250000000004</v>
      </c>
    </row>
    <row r="163" spans="2:13" x14ac:dyDescent="0.2">
      <c r="B163" s="201">
        <f t="shared" si="2"/>
        <v>159</v>
      </c>
      <c r="C163" s="15" t="str">
        <f>薬品マスタリスト_20260130100542!A161</f>
        <v>エリスロシンドライシロップＷ２０％</v>
      </c>
      <c r="D163" s="15" t="str">
        <f>薬品マスタリスト_20260130100542!B161</f>
        <v>ｴﾘｽﾛｼﾝﾄﾞﾗｲｼﾛﾂﾌﾟW20%</v>
      </c>
      <c r="E163" s="15">
        <f>薬品マスタリスト_20260130100542!C161</f>
        <v>3</v>
      </c>
      <c r="F163" s="206" t="str">
        <f>薬品マスタリスト_20260130100542!D161</f>
        <v>散</v>
      </c>
      <c r="G163" s="208" t="str">
        <f>match_results!C160</f>
        <v>エリスロシン錠２００ｍｇ</v>
      </c>
      <c r="H163" s="208">
        <f>match_results!D160</f>
        <v>70</v>
      </c>
      <c r="I163" s="218">
        <f>match_results!E160</f>
        <v>55.172413793103402</v>
      </c>
      <c r="J163" s="225"/>
      <c r="K163" s="15" t="str">
        <f ca="1">IF($J163="〇",OFFSET(集計!B$3,合体!$H163,0),"")</f>
        <v/>
      </c>
      <c r="L163" s="15" t="str">
        <f ca="1">IF($J163="〇",OFFSET(集計!C$3,合体!$H163,0),"")</f>
        <v/>
      </c>
      <c r="M163" s="202" t="str">
        <f ca="1">IF($J163="〇",OFFSET(集計!D$3,合体!$H163,0),"")</f>
        <v/>
      </c>
    </row>
    <row r="164" spans="2:13" x14ac:dyDescent="0.2">
      <c r="B164" s="201">
        <f t="shared" si="2"/>
        <v>160</v>
      </c>
      <c r="C164" s="15" t="str">
        <f>薬品マスタリスト_20260130100542!A162</f>
        <v>エリスロシン錠２００ｍｇ</v>
      </c>
      <c r="D164" s="15" t="str">
        <f>薬品マスタリスト_20260130100542!B162</f>
        <v>ｴﾘｽﾛｼﾝｼﾞﾖｳ200MG</v>
      </c>
      <c r="E164" s="15">
        <f>薬品マスタリスト_20260130100542!C162</f>
        <v>1</v>
      </c>
      <c r="F164" s="206" t="str">
        <f>薬品マスタリスト_20260130100542!D162</f>
        <v>錠剤</v>
      </c>
      <c r="G164" s="208" t="str">
        <f>match_results!C161</f>
        <v>エリスロシン錠２００ｍｇ</v>
      </c>
      <c r="H164" s="208">
        <f>match_results!D161</f>
        <v>70</v>
      </c>
      <c r="I164" s="218">
        <f>match_results!E161</f>
        <v>100</v>
      </c>
      <c r="J164" s="225" t="s">
        <v>3917</v>
      </c>
      <c r="K164" s="15">
        <f ca="1">IF($J164="〇",OFFSET(集計!B$3,合体!$H164,0),"")</f>
        <v>8.73</v>
      </c>
      <c r="L164" s="15">
        <f ca="1">IF($J164="〇",OFFSET(集計!C$3,合体!$H164,0),"")</f>
        <v>106</v>
      </c>
      <c r="M164" s="202">
        <f ca="1">IF($J164="〇",OFFSET(集計!D$3,合体!$H164,0),"")</f>
        <v>925.38</v>
      </c>
    </row>
    <row r="165" spans="2:13" x14ac:dyDescent="0.2">
      <c r="B165" s="201">
        <f t="shared" si="2"/>
        <v>161</v>
      </c>
      <c r="C165" s="15" t="str">
        <f>薬品マスタリスト_20260130100542!A163</f>
        <v>エルカルチンＦＦ錠２５０ｍｇ</v>
      </c>
      <c r="D165" s="15" t="str">
        <f>薬品マスタリスト_20260130100542!B163</f>
        <v>ｴﾙｶﾙﾁﾝFFｼﾞｮｳ250mg</v>
      </c>
      <c r="E165" s="15">
        <f>薬品マスタリスト_20260130100542!C163</f>
        <v>1</v>
      </c>
      <c r="F165" s="206" t="str">
        <f>薬品マスタリスト_20260130100542!D163</f>
        <v>錠剤</v>
      </c>
      <c r="G165" s="208" t="str">
        <f>match_results!C162</f>
        <v>レボカルニチンＦＦ錠２５０ｍｇ</v>
      </c>
      <c r="H165" s="208">
        <f>match_results!D162</f>
        <v>281</v>
      </c>
      <c r="I165" s="218">
        <f>match_results!E162</f>
        <v>82.758620689655103</v>
      </c>
      <c r="J165" s="225"/>
      <c r="K165" s="15" t="str">
        <f ca="1">IF($J165="〇",OFFSET(集計!B$3,合体!$H165,0),"")</f>
        <v/>
      </c>
      <c r="L165" s="15" t="str">
        <f ca="1">IF($J165="〇",OFFSET(集計!C$3,合体!$H165,0),"")</f>
        <v/>
      </c>
      <c r="M165" s="202" t="str">
        <f ca="1">IF($J165="〇",OFFSET(集計!D$3,合体!$H165,0),"")</f>
        <v/>
      </c>
    </row>
    <row r="166" spans="2:13" x14ac:dyDescent="0.2">
      <c r="B166" s="201">
        <f t="shared" si="2"/>
        <v>162</v>
      </c>
      <c r="C166" s="15" t="str">
        <f>薬品マスタリスト_20260130100542!A164</f>
        <v>塩化カリウム</v>
      </c>
      <c r="D166" s="15" t="str">
        <f>薬品マスタリスト_20260130100542!B164</f>
        <v>ｴﾝｶｶﾘｳﾑ</v>
      </c>
      <c r="E166" s="15">
        <f>薬品マスタリスト_20260130100542!C164</f>
        <v>3</v>
      </c>
      <c r="F166" s="206" t="str">
        <f>薬品マスタリスト_20260130100542!D164</f>
        <v>散</v>
      </c>
      <c r="G166" s="208" t="str">
        <f>match_results!C163</f>
        <v>塩化カリウム</v>
      </c>
      <c r="H166" s="208">
        <f>match_results!D163</f>
        <v>78</v>
      </c>
      <c r="I166" s="218">
        <f>match_results!E163</f>
        <v>100</v>
      </c>
      <c r="J166" s="225" t="s">
        <v>3917</v>
      </c>
      <c r="K166" s="15">
        <f ca="1">IF($J166="〇",OFFSET(集計!B$3,合体!$H166,0),"")</f>
        <v>2.67</v>
      </c>
      <c r="L166" s="15">
        <f ca="1">IF($J166="〇",OFFSET(集計!C$3,合体!$H166,0),"")</f>
        <v>374</v>
      </c>
      <c r="M166" s="202">
        <f ca="1">IF($J166="〇",OFFSET(集計!D$3,合体!$H166,0),"")</f>
        <v>998.57999999999993</v>
      </c>
    </row>
    <row r="167" spans="2:13" x14ac:dyDescent="0.2">
      <c r="B167" s="201">
        <f t="shared" si="2"/>
        <v>163</v>
      </c>
      <c r="C167" s="15" t="str">
        <f>薬品マスタリスト_20260130100542!A165</f>
        <v>塩化ナトリウム</v>
      </c>
      <c r="D167" s="15" t="str">
        <f>薬品マスタリスト_20260130100542!B165</f>
        <v>ｴﾝｶﾅﾄﾘｳﾑ</v>
      </c>
      <c r="E167" s="15">
        <f>薬品マスタリスト_20260130100542!C165</f>
        <v>3</v>
      </c>
      <c r="F167" s="206" t="str">
        <f>薬品マスタリスト_20260130100542!D165</f>
        <v>散</v>
      </c>
      <c r="G167" s="208" t="str">
        <f>match_results!C164</f>
        <v>塩化ナトリウム</v>
      </c>
      <c r="H167" s="208">
        <f>match_results!D164</f>
        <v>37</v>
      </c>
      <c r="I167" s="218">
        <f>match_results!E164</f>
        <v>100</v>
      </c>
      <c r="J167" s="225" t="s">
        <v>3917</v>
      </c>
      <c r="K167" s="15">
        <f ca="1">IF($J167="〇",OFFSET(集計!B$3,合体!$H167,0),"")</f>
        <v>0.81</v>
      </c>
      <c r="L167" s="15">
        <f ca="1">IF($J167="〇",OFFSET(集計!C$3,合体!$H167,0),"")</f>
        <v>490</v>
      </c>
      <c r="M167" s="202">
        <f ca="1">IF($J167="〇",OFFSET(集計!D$3,合体!$H167,0),"")</f>
        <v>396.90000000000003</v>
      </c>
    </row>
    <row r="168" spans="2:13" x14ac:dyDescent="0.2">
      <c r="B168" s="201">
        <f t="shared" si="2"/>
        <v>164</v>
      </c>
      <c r="C168" s="15" t="str">
        <f>薬品マスタリスト_20260130100542!A166</f>
        <v>１０％塩化ナトリウム注射液</v>
      </c>
      <c r="D168" s="15" t="str">
        <f>薬品マスタリスト_20260130100542!B166</f>
        <v>10%ｴﾝｶﾅﾄﾘｳﾑﾁｭｳｼｬｴｷ</v>
      </c>
      <c r="E168" s="15">
        <f>薬品マスタリスト_20260130100542!C166</f>
        <v>25</v>
      </c>
      <c r="F168" s="206" t="str">
        <f>薬品マスタリスト_20260130100542!D166</f>
        <v>注射剤</v>
      </c>
      <c r="G168" s="208" t="str">
        <f>match_results!C165</f>
        <v>塩化ナトリウム</v>
      </c>
      <c r="H168" s="208">
        <f>match_results!D165</f>
        <v>37</v>
      </c>
      <c r="I168" s="218">
        <f>match_results!E165</f>
        <v>70</v>
      </c>
      <c r="J168" s="225"/>
      <c r="K168" s="15" t="str">
        <f ca="1">IF($J168="〇",OFFSET(集計!B$3,合体!$H168,0),"")</f>
        <v/>
      </c>
      <c r="L168" s="15" t="str">
        <f ca="1">IF($J168="〇",OFFSET(集計!C$3,合体!$H168,0),"")</f>
        <v/>
      </c>
      <c r="M168" s="202" t="str">
        <f ca="1">IF($J168="〇",OFFSET(集計!D$3,合体!$H168,0),"")</f>
        <v/>
      </c>
    </row>
    <row r="169" spans="2:13" x14ac:dyDescent="0.2">
      <c r="B169" s="201">
        <f t="shared" si="2"/>
        <v>165</v>
      </c>
      <c r="C169" s="15" t="str">
        <f>薬品マスタリスト_20260130100542!A167</f>
        <v>塩酸メトクロプラミド注射液１０ｍｇ「タカタ」</v>
      </c>
      <c r="D169" s="15" t="str">
        <f>薬品マスタリスト_20260130100542!B167</f>
        <v>ｴﾝｻﾝﾒﾄｸﾛﾌﾟﾗﾐﾄﾞﾁｭｳｼｬｴｷ10mg｢ﾀｶﾀ｣</v>
      </c>
      <c r="E169" s="15">
        <f>薬品マスタリスト_20260130100542!C167</f>
        <v>25</v>
      </c>
      <c r="F169" s="206" t="str">
        <f>薬品マスタリスト_20260130100542!D167</f>
        <v>注射剤</v>
      </c>
      <c r="G169" s="208" t="str">
        <f>match_results!C166</f>
        <v>塩酸メトクロプラミド注射注１０ｍｇ</v>
      </c>
      <c r="H169" s="208">
        <f>match_results!D166</f>
        <v>286</v>
      </c>
      <c r="I169" s="218">
        <f>match_results!E166</f>
        <v>82.051282051282001</v>
      </c>
      <c r="J169" s="225"/>
      <c r="K169" s="15" t="str">
        <f ca="1">IF($J169="〇",OFFSET(集計!B$3,合体!$H169,0),"")</f>
        <v/>
      </c>
      <c r="L169" s="15" t="str">
        <f ca="1">IF($J169="〇",OFFSET(集計!C$3,合体!$H169,0),"")</f>
        <v/>
      </c>
      <c r="M169" s="202" t="str">
        <f ca="1">IF($J169="〇",OFFSET(集計!D$3,合体!$H169,0),"")</f>
        <v/>
      </c>
    </row>
    <row r="170" spans="2:13" x14ac:dyDescent="0.2">
      <c r="B170" s="201">
        <f t="shared" si="2"/>
        <v>166</v>
      </c>
      <c r="C170" s="15" t="str">
        <f>薬品マスタリスト_20260130100542!A168</f>
        <v>エンテカビルＯＤ錠０．５ｍｇ「サワイ」</v>
      </c>
      <c r="D170" s="15" t="str">
        <f>薬品マスタリスト_20260130100542!B168</f>
        <v>ｴﾝﾃｶﾋﾞﾙODｼﾞﾖｳ0.5MGｻﾜｲ</v>
      </c>
      <c r="E170" s="15">
        <f>薬品マスタリスト_20260130100542!C168</f>
        <v>1</v>
      </c>
      <c r="F170" s="206" t="str">
        <f>薬品マスタリスト_20260130100542!D168</f>
        <v>錠剤</v>
      </c>
      <c r="G170" s="208" t="str">
        <f>match_results!C167</f>
        <v>カルベジロール錠１０ｍｇ「サワイ」</v>
      </c>
      <c r="H170" s="208">
        <f>match_results!D167</f>
        <v>478</v>
      </c>
      <c r="I170" s="218">
        <f>match_results!E167</f>
        <v>61.1111111111111</v>
      </c>
      <c r="J170" s="225"/>
      <c r="K170" s="15" t="str">
        <f ca="1">IF($J170="〇",OFFSET(集計!B$3,合体!$H170,0),"")</f>
        <v/>
      </c>
      <c r="L170" s="15" t="str">
        <f ca="1">IF($J170="〇",OFFSET(集計!C$3,合体!$H170,0),"")</f>
        <v/>
      </c>
      <c r="M170" s="202" t="str">
        <f ca="1">IF($J170="〇",OFFSET(集計!D$3,合体!$H170,0),"")</f>
        <v/>
      </c>
    </row>
    <row r="171" spans="2:13" x14ac:dyDescent="0.2">
      <c r="B171" s="201">
        <f t="shared" si="2"/>
        <v>167</v>
      </c>
      <c r="C171" s="15" t="str">
        <f>薬品マスタリスト_20260130100542!A169</f>
        <v>エンレスト錠１００ｍｇ</v>
      </c>
      <c r="D171" s="15" t="str">
        <f>薬品マスタリスト_20260130100542!B169</f>
        <v>ｴﾝﾚｽﾄｼﾞｮｳ100mg</v>
      </c>
      <c r="E171" s="15">
        <f>薬品マスタリスト_20260130100542!C169</f>
        <v>1</v>
      </c>
      <c r="F171" s="206" t="str">
        <f>薬品マスタリスト_20260130100542!D169</f>
        <v>錠剤</v>
      </c>
      <c r="G171" s="208" t="str">
        <f>match_results!C168</f>
        <v>エンレスト錠１００ｍｇ</v>
      </c>
      <c r="H171" s="208">
        <f>match_results!D168</f>
        <v>427</v>
      </c>
      <c r="I171" s="218">
        <f>match_results!E168</f>
        <v>100</v>
      </c>
      <c r="J171" s="225" t="s">
        <v>3917</v>
      </c>
      <c r="K171" s="15">
        <f ca="1">IF($J171="〇",OFFSET(集計!B$3,合体!$H171,0),"")</f>
        <v>85.83</v>
      </c>
      <c r="L171" s="15">
        <f ca="1">IF($J171="〇",OFFSET(集計!C$3,合体!$H171,0),"")</f>
        <v>103</v>
      </c>
      <c r="M171" s="202">
        <f ca="1">IF($J171="〇",OFFSET(集計!D$3,合体!$H171,0),"")</f>
        <v>8840.49</v>
      </c>
    </row>
    <row r="172" spans="2:13" x14ac:dyDescent="0.2">
      <c r="B172" s="201">
        <f t="shared" si="2"/>
        <v>168</v>
      </c>
      <c r="C172" s="15" t="str">
        <f>薬品マスタリスト_20260130100542!A170</f>
        <v>オイラックスクリーム１０％</v>
      </c>
      <c r="D172" s="15" t="str">
        <f>薬品マスタリスト_20260130100542!B170</f>
        <v>ｵｲﾗｯｸｽｸﾘｰﾑ10%</v>
      </c>
      <c r="E172" s="15">
        <f>薬品マスタリスト_20260130100542!C170</f>
        <v>15</v>
      </c>
      <c r="F172" s="206" t="str">
        <f>薬品マスタリスト_20260130100542!D170</f>
        <v>クリーム</v>
      </c>
      <c r="G172" s="208" t="str">
        <f>match_results!C169</f>
        <v>オイラックスクリーム１０％　１０ｇＸ１０</v>
      </c>
      <c r="H172" s="208">
        <f>match_results!D169</f>
        <v>197</v>
      </c>
      <c r="I172" s="218">
        <f>match_results!E169</f>
        <v>78.787878787878697</v>
      </c>
      <c r="J172" s="225"/>
      <c r="K172" s="15" t="str">
        <f ca="1">IF($J172="〇",OFFSET(集計!B$3,合体!$H172,0),"")</f>
        <v/>
      </c>
      <c r="L172" s="15" t="str">
        <f ca="1">IF($J172="〇",OFFSET(集計!C$3,合体!$H172,0),"")</f>
        <v/>
      </c>
      <c r="M172" s="202" t="str">
        <f ca="1">IF($J172="〇",OFFSET(集計!D$3,合体!$H172,0),"")</f>
        <v/>
      </c>
    </row>
    <row r="173" spans="2:13" x14ac:dyDescent="0.2">
      <c r="B173" s="201">
        <f t="shared" si="2"/>
        <v>169</v>
      </c>
      <c r="C173" s="15" t="str">
        <f>薬品マスタリスト_20260130100542!A171</f>
        <v>オキサロール軟膏２５μｇ／ｇ</v>
      </c>
      <c r="D173" s="15" t="str">
        <f>薬品マスタリスト_20260130100542!B171</f>
        <v>ｵｷｻﾛｰﾙﾅﾝｺｳ25μg/g</v>
      </c>
      <c r="E173" s="15">
        <f>薬品マスタリスト_20260130100542!C171</f>
        <v>14</v>
      </c>
      <c r="F173" s="206" t="str">
        <f>薬品マスタリスト_20260130100542!D171</f>
        <v>軟膏</v>
      </c>
      <c r="G173" s="208" t="str">
        <f>match_results!C170</f>
        <v>オキサロール軟膏　１０ｇ／本</v>
      </c>
      <c r="H173" s="208">
        <f>match_results!D170</f>
        <v>72</v>
      </c>
      <c r="I173" s="218">
        <f>match_results!E170</f>
        <v>71.428571428571402</v>
      </c>
      <c r="J173" s="225"/>
      <c r="K173" s="15" t="str">
        <f ca="1">IF($J173="〇",OFFSET(集計!B$3,合体!$H173,0),"")</f>
        <v/>
      </c>
      <c r="L173" s="15" t="str">
        <f ca="1">IF($J173="〇",OFFSET(集計!C$3,合体!$H173,0),"")</f>
        <v/>
      </c>
      <c r="M173" s="202" t="str">
        <f ca="1">IF($J173="〇",OFFSET(集計!D$3,合体!$H173,0),"")</f>
        <v/>
      </c>
    </row>
    <row r="174" spans="2:13" x14ac:dyDescent="0.2">
      <c r="B174" s="201">
        <f t="shared" si="2"/>
        <v>170</v>
      </c>
      <c r="C174" s="15" t="str">
        <f>薬品マスタリスト_20260130100542!A172</f>
        <v>オーグメンチン配合錠２５０ＲＳ</v>
      </c>
      <c r="D174" s="15" t="str">
        <f>薬品マスタリスト_20260130100542!B172</f>
        <v>ｵｰｸﾞﾒﾝﾁﾝﾊｲｺﾞｳｼﾞｮｳ250RS</v>
      </c>
      <c r="E174" s="15">
        <f>薬品マスタリスト_20260130100542!C172</f>
        <v>1</v>
      </c>
      <c r="F174" s="206" t="str">
        <f>薬品マスタリスト_20260130100542!D172</f>
        <v>錠剤</v>
      </c>
      <c r="G174" s="208" t="str">
        <f>match_results!C171</f>
        <v>オーグメンチン配合錠２５０ｍｇ</v>
      </c>
      <c r="H174" s="208">
        <f>match_results!D171</f>
        <v>182</v>
      </c>
      <c r="I174" s="218">
        <f>match_results!E171</f>
        <v>86.6666666666666</v>
      </c>
      <c r="J174" s="225"/>
      <c r="K174" s="15" t="str">
        <f ca="1">IF($J174="〇",OFFSET(集計!B$3,合体!$H174,0),"")</f>
        <v/>
      </c>
      <c r="L174" s="15" t="str">
        <f ca="1">IF($J174="〇",OFFSET(集計!C$3,合体!$H174,0),"")</f>
        <v/>
      </c>
      <c r="M174" s="202" t="str">
        <f ca="1">IF($J174="〇",OFFSET(集計!D$3,合体!$H174,0),"")</f>
        <v/>
      </c>
    </row>
    <row r="175" spans="2:13" x14ac:dyDescent="0.2">
      <c r="B175" s="201">
        <f t="shared" si="2"/>
        <v>171</v>
      </c>
      <c r="C175" s="15" t="str">
        <f>薬品マスタリスト_20260130100542!A173</f>
        <v>オゼックス錠１５０</v>
      </c>
      <c r="D175" s="15" t="str">
        <f>薬品マスタリスト_20260130100542!B173</f>
        <v>ｵｾﾞｯｸｽｼﾞｮｳ150</v>
      </c>
      <c r="E175" s="15">
        <f>薬品マスタリスト_20260130100542!C173</f>
        <v>1</v>
      </c>
      <c r="F175" s="206" t="str">
        <f>薬品マスタリスト_20260130100542!D173</f>
        <v>錠剤</v>
      </c>
      <c r="G175" s="208" t="str">
        <f>match_results!C172</f>
        <v>ナトリックス錠１</v>
      </c>
      <c r="H175" s="208">
        <f>match_results!D172</f>
        <v>134</v>
      </c>
      <c r="I175" s="218">
        <f>match_results!E172</f>
        <v>58.823529411764703</v>
      </c>
      <c r="J175" s="225"/>
      <c r="K175" s="15" t="str">
        <f ca="1">IF($J175="〇",OFFSET(集計!B$3,合体!$H175,0),"")</f>
        <v/>
      </c>
      <c r="L175" s="15" t="str">
        <f ca="1">IF($J175="〇",OFFSET(集計!C$3,合体!$H175,0),"")</f>
        <v/>
      </c>
      <c r="M175" s="202" t="str">
        <f ca="1">IF($J175="〇",OFFSET(集計!D$3,合体!$H175,0),"")</f>
        <v/>
      </c>
    </row>
    <row r="176" spans="2:13" x14ac:dyDescent="0.2">
      <c r="B176" s="201">
        <f t="shared" si="2"/>
        <v>172</v>
      </c>
      <c r="C176" s="15" t="str">
        <f>薬品マスタリスト_20260130100542!A174</f>
        <v>オセルタミビルカプセル７５ｍｇ「サワイ」</v>
      </c>
      <c r="D176" s="15" t="str">
        <f>薬品マスタリスト_20260130100542!B174</f>
        <v>ｵｾﾙﾀﾐﾋﾞﾙｶﾌﾟｾﾙ75mg｢ｻﾜｲ｣</v>
      </c>
      <c r="E176" s="15">
        <f>薬品マスタリスト_20260130100542!C174</f>
        <v>2</v>
      </c>
      <c r="F176" s="206" t="str">
        <f>薬品マスタリスト_20260130100542!D174</f>
        <v>カプセル</v>
      </c>
      <c r="G176" s="208" t="str">
        <f>match_results!C173</f>
        <v>オセルタミビルカプセル７５ｍｇ</v>
      </c>
      <c r="H176" s="208">
        <f>match_results!D173</f>
        <v>644</v>
      </c>
      <c r="I176" s="218">
        <f>match_results!E173</f>
        <v>85.714285714285694</v>
      </c>
      <c r="J176" s="225"/>
      <c r="K176" s="15" t="str">
        <f ca="1">IF($J176="〇",OFFSET(集計!B$3,合体!$H176,0),"")</f>
        <v/>
      </c>
      <c r="L176" s="15" t="str">
        <f ca="1">IF($J176="〇",OFFSET(集計!C$3,合体!$H176,0),"")</f>
        <v/>
      </c>
      <c r="M176" s="202" t="str">
        <f ca="1">IF($J176="〇",OFFSET(集計!D$3,合体!$H176,0),"")</f>
        <v/>
      </c>
    </row>
    <row r="177" spans="2:13" x14ac:dyDescent="0.2">
      <c r="B177" s="201">
        <f t="shared" si="2"/>
        <v>173</v>
      </c>
      <c r="C177" s="15" t="str">
        <f>薬品マスタリスト_20260130100542!A175</f>
        <v>オテズラ錠１０ｍｇ</v>
      </c>
      <c r="D177" s="15" t="str">
        <f>薬品マスタリスト_20260130100542!B175</f>
        <v>ｵﾃｽﾞﾗｼﾞｮｳ10mg</v>
      </c>
      <c r="E177" s="15">
        <f>薬品マスタリスト_20260130100542!C175</f>
        <v>1</v>
      </c>
      <c r="F177" s="206" t="str">
        <f>薬品マスタリスト_20260130100542!D175</f>
        <v>錠剤</v>
      </c>
      <c r="G177" s="208" t="str">
        <f>match_results!C174</f>
        <v>オテズラ錠３０ｍｇ</v>
      </c>
      <c r="H177" s="208">
        <f>match_results!D174</f>
        <v>628</v>
      </c>
      <c r="I177" s="218">
        <f>match_results!E174</f>
        <v>88.8888888888888</v>
      </c>
      <c r="J177" s="225"/>
      <c r="K177" s="15" t="str">
        <f ca="1">IF($J177="〇",OFFSET(集計!B$3,合体!$H177,0),"")</f>
        <v/>
      </c>
      <c r="L177" s="15" t="str">
        <f ca="1">IF($J177="〇",OFFSET(集計!C$3,合体!$H177,0),"")</f>
        <v/>
      </c>
      <c r="M177" s="202" t="str">
        <f ca="1">IF($J177="〇",OFFSET(集計!D$3,合体!$H177,0),"")</f>
        <v/>
      </c>
    </row>
    <row r="178" spans="2:13" x14ac:dyDescent="0.2">
      <c r="B178" s="201">
        <f t="shared" si="2"/>
        <v>174</v>
      </c>
      <c r="C178" s="15" t="str">
        <f>薬品マスタリスト_20260130100542!A176</f>
        <v>オテズラ錠２０ｍｇ</v>
      </c>
      <c r="D178" s="15" t="str">
        <f>薬品マスタリスト_20260130100542!B176</f>
        <v>ｵﾃｽﾞﾗｼﾞｮｳ20mg</v>
      </c>
      <c r="E178" s="15">
        <f>薬品マスタリスト_20260130100542!C176</f>
        <v>1</v>
      </c>
      <c r="F178" s="206" t="str">
        <f>薬品マスタリスト_20260130100542!D176</f>
        <v>錠剤</v>
      </c>
      <c r="G178" s="208" t="str">
        <f>match_results!C175</f>
        <v>オテズラ錠３０ｍｇ</v>
      </c>
      <c r="H178" s="208">
        <f>match_results!D175</f>
        <v>628</v>
      </c>
      <c r="I178" s="218">
        <f>match_results!E175</f>
        <v>88.8888888888888</v>
      </c>
      <c r="J178" s="225"/>
      <c r="K178" s="15" t="str">
        <f ca="1">IF($J178="〇",OFFSET(集計!B$3,合体!$H178,0),"")</f>
        <v/>
      </c>
      <c r="L178" s="15" t="str">
        <f ca="1">IF($J178="〇",OFFSET(集計!C$3,合体!$H178,0),"")</f>
        <v/>
      </c>
      <c r="M178" s="202" t="str">
        <f ca="1">IF($J178="〇",OFFSET(集計!D$3,合体!$H178,0),"")</f>
        <v/>
      </c>
    </row>
    <row r="179" spans="2:13" x14ac:dyDescent="0.2">
      <c r="B179" s="201">
        <f t="shared" si="2"/>
        <v>175</v>
      </c>
      <c r="C179" s="15" t="str">
        <f>薬品マスタリスト_20260130100542!A177</f>
        <v>オテズラ錠３０ｍｇ</v>
      </c>
      <c r="D179" s="15" t="str">
        <f>薬品マスタリスト_20260130100542!B177</f>
        <v>ｵﾃｽﾞﾗｼﾞｮｳ30mg</v>
      </c>
      <c r="E179" s="15">
        <f>薬品マスタリスト_20260130100542!C177</f>
        <v>1</v>
      </c>
      <c r="F179" s="206" t="str">
        <f>薬品マスタリスト_20260130100542!D177</f>
        <v>錠剤</v>
      </c>
      <c r="G179" s="208" t="str">
        <f>match_results!C176</f>
        <v>オテズラ錠３０ｍｇ</v>
      </c>
      <c r="H179" s="208">
        <f>match_results!D176</f>
        <v>628</v>
      </c>
      <c r="I179" s="218">
        <f>match_results!E176</f>
        <v>100</v>
      </c>
      <c r="J179" s="225" t="s">
        <v>3917</v>
      </c>
      <c r="K179" s="15">
        <f ca="1">IF($J179="〇",OFFSET(集計!B$3,合体!$H179,0),"")</f>
        <v>881.64</v>
      </c>
      <c r="L179" s="15">
        <f ca="1">IF($J179="〇",OFFSET(集計!C$3,合体!$H179,0),"")</f>
        <v>59</v>
      </c>
      <c r="M179" s="202">
        <f ca="1">IF($J179="〇",OFFSET(集計!D$3,合体!$H179,0),"")</f>
        <v>52016.76</v>
      </c>
    </row>
    <row r="180" spans="2:13" x14ac:dyDescent="0.2">
      <c r="B180" s="201">
        <f t="shared" si="2"/>
        <v>176</v>
      </c>
      <c r="C180" s="15" t="str">
        <f>薬品マスタリスト_20260130100542!A178</f>
        <v>オテズラ錠ｽﾀｰﾀｰﾊﾟｯｸ</v>
      </c>
      <c r="D180" s="15" t="str">
        <f>薬品マスタリスト_20260130100542!B178</f>
        <v>ｵﾃｽﾞﾗｼﾞｮｳｽﾀｰﾀｰﾊﾟｯｸ</v>
      </c>
      <c r="E180" s="15">
        <f>薬品マスタリスト_20260130100542!C178</f>
        <v>24</v>
      </c>
      <c r="F180" s="206" t="str">
        <f>薬品マスタリスト_20260130100542!D178</f>
        <v>その他</v>
      </c>
      <c r="G180" s="208" t="str">
        <f>match_results!C177</f>
        <v>オテズラ錠３０ｍｇ</v>
      </c>
      <c r="H180" s="208">
        <f>match_results!D177</f>
        <v>628</v>
      </c>
      <c r="I180" s="218">
        <f>match_results!E177</f>
        <v>43.478260869565197</v>
      </c>
      <c r="J180" s="225"/>
      <c r="K180" s="15" t="str">
        <f ca="1">IF($J180="〇",OFFSET(集計!B$3,合体!$H180,0),"")</f>
        <v/>
      </c>
      <c r="L180" s="15" t="str">
        <f ca="1">IF($J180="〇",OFFSET(集計!C$3,合体!$H180,0),"")</f>
        <v/>
      </c>
      <c r="M180" s="202" t="str">
        <f ca="1">IF($J180="〇",OFFSET(集計!D$3,合体!$H180,0),"")</f>
        <v/>
      </c>
    </row>
    <row r="181" spans="2:13" x14ac:dyDescent="0.2">
      <c r="B181" s="201">
        <f t="shared" si="2"/>
        <v>177</v>
      </c>
      <c r="C181" s="15" t="str">
        <f>薬品マスタリスト_20260130100542!A179</f>
        <v>オフロキサシン点眼液０．３％「ＪＧ」</v>
      </c>
      <c r="D181" s="15" t="str">
        <f>薬品マスタリスト_20260130100542!B179</f>
        <v>ｵﾌﾛｷｻｼﾝﾃﾝｶﾞﾝｴｷ0.3%｢JG｣</v>
      </c>
      <c r="E181" s="15">
        <f>薬品マスタリスト_20260130100542!C179</f>
        <v>21</v>
      </c>
      <c r="F181" s="206" t="str">
        <f>薬品マスタリスト_20260130100542!D179</f>
        <v>点眼剤</v>
      </c>
      <c r="G181" s="208" t="str">
        <f>match_results!C178</f>
        <v>オフロキサシン点眼液０．３％「タナベ」　５ｍｌ／本</v>
      </c>
      <c r="H181" s="208">
        <f>match_results!D178</f>
        <v>475</v>
      </c>
      <c r="I181" s="218">
        <f>match_results!E178</f>
        <v>74.418604651162795</v>
      </c>
      <c r="J181" s="225"/>
      <c r="K181" s="15" t="str">
        <f ca="1">IF($J181="〇",OFFSET(集計!B$3,合体!$H181,0),"")</f>
        <v/>
      </c>
      <c r="L181" s="15" t="str">
        <f ca="1">IF($J181="〇",OFFSET(集計!C$3,合体!$H181,0),"")</f>
        <v/>
      </c>
      <c r="M181" s="202" t="str">
        <f ca="1">IF($J181="〇",OFFSET(集計!D$3,合体!$H181,0),"")</f>
        <v/>
      </c>
    </row>
    <row r="182" spans="2:13" x14ac:dyDescent="0.2">
      <c r="B182" s="201">
        <f t="shared" si="2"/>
        <v>178</v>
      </c>
      <c r="C182" s="15" t="str">
        <f>薬品マスタリスト_20260130100542!A180</f>
        <v>オランザピン錠２．５ｍｇ「ヨシトミ」</v>
      </c>
      <c r="D182" s="15" t="str">
        <f>薬品マスタリスト_20260130100542!B180</f>
        <v>ｵﾗﾝｻﾞﾋﾟﾝｼﾞｮｳ2.5mg｢ﾖｼﾄﾐ｣</v>
      </c>
      <c r="E182" s="15">
        <f>薬品マスタリスト_20260130100542!C180</f>
        <v>1</v>
      </c>
      <c r="F182" s="206" t="str">
        <f>薬品マスタリスト_20260130100542!D180</f>
        <v>錠剤</v>
      </c>
      <c r="G182" s="208" t="str">
        <f>match_results!C179</f>
        <v>オランザピン錠２．５ｍｇ</v>
      </c>
      <c r="H182" s="208">
        <f>match_results!D179</f>
        <v>445</v>
      </c>
      <c r="I182" s="218">
        <f>match_results!E179</f>
        <v>80</v>
      </c>
      <c r="J182" s="225"/>
      <c r="K182" s="15" t="str">
        <f ca="1">IF($J182="〇",OFFSET(集計!B$3,合体!$H182,0),"")</f>
        <v/>
      </c>
      <c r="L182" s="15" t="str">
        <f ca="1">IF($J182="〇",OFFSET(集計!C$3,合体!$H182,0),"")</f>
        <v/>
      </c>
      <c r="M182" s="202" t="str">
        <f ca="1">IF($J182="〇",OFFSET(集計!D$3,合体!$H182,0),"")</f>
        <v/>
      </c>
    </row>
    <row r="183" spans="2:13" x14ac:dyDescent="0.2">
      <c r="B183" s="201">
        <f t="shared" si="2"/>
        <v>179</v>
      </c>
      <c r="C183" s="15" t="str">
        <f>薬品マスタリスト_20260130100542!A181</f>
        <v>オランザピンＯＤ錠５ｍｇ「ヨシトミ」</v>
      </c>
      <c r="D183" s="15" t="str">
        <f>薬品マスタリスト_20260130100542!B181</f>
        <v>ｵﾗﾝｻﾞﾋﾟﾝODｼﾞｮｳ5mg｢ﾖｼﾄﾐ｣</v>
      </c>
      <c r="E183" s="15">
        <f>薬品マスタリスト_20260130100542!C181</f>
        <v>1</v>
      </c>
      <c r="F183" s="206" t="str">
        <f>薬品マスタリスト_20260130100542!D181</f>
        <v>錠剤</v>
      </c>
      <c r="G183" s="208" t="str">
        <f>match_results!C180</f>
        <v>オランザピンＯＤ錠５ｍｇ</v>
      </c>
      <c r="H183" s="208">
        <f>match_results!D180</f>
        <v>600</v>
      </c>
      <c r="I183" s="218">
        <f>match_results!E180</f>
        <v>80</v>
      </c>
      <c r="J183" s="225"/>
      <c r="K183" s="15" t="str">
        <f ca="1">IF($J183="〇",OFFSET(集計!B$3,合体!$H183,0),"")</f>
        <v/>
      </c>
      <c r="L183" s="15" t="str">
        <f ca="1">IF($J183="〇",OFFSET(集計!C$3,合体!$H183,0),"")</f>
        <v/>
      </c>
      <c r="M183" s="202" t="str">
        <f ca="1">IF($J183="〇",OFFSET(集計!D$3,合体!$H183,0),"")</f>
        <v/>
      </c>
    </row>
    <row r="184" spans="2:13" x14ac:dyDescent="0.2">
      <c r="B184" s="201">
        <f t="shared" si="2"/>
        <v>180</v>
      </c>
      <c r="C184" s="15" t="str">
        <f>薬品マスタリスト_20260130100542!A182</f>
        <v>オランザピンＯＤ錠１０ｍｇ「ヨシトミ」</v>
      </c>
      <c r="D184" s="15" t="str">
        <f>薬品マスタリスト_20260130100542!B182</f>
        <v>ｵﾗﾝｻﾞﾋﾟﾝODｼﾞｮｳ10mg｢ﾖｼﾄﾐ｣</v>
      </c>
      <c r="E184" s="15">
        <f>薬品マスタリスト_20260130100542!C182</f>
        <v>1</v>
      </c>
      <c r="F184" s="206" t="str">
        <f>薬品マスタリスト_20260130100542!D182</f>
        <v>錠剤</v>
      </c>
      <c r="G184" s="208" t="str">
        <f>match_results!C181</f>
        <v>オランザピンＯＤ錠１０ｍｇ</v>
      </c>
      <c r="H184" s="208">
        <f>match_results!D181</f>
        <v>627</v>
      </c>
      <c r="I184" s="218">
        <f>match_results!E181</f>
        <v>81.25</v>
      </c>
      <c r="J184" s="225"/>
      <c r="K184" s="15" t="str">
        <f ca="1">IF($J184="〇",OFFSET(集計!B$3,合体!$H184,0),"")</f>
        <v/>
      </c>
      <c r="L184" s="15" t="str">
        <f ca="1">IF($J184="〇",OFFSET(集計!C$3,合体!$H184,0),"")</f>
        <v/>
      </c>
      <c r="M184" s="202" t="str">
        <f ca="1">IF($J184="〇",OFFSET(集計!D$3,合体!$H184,0),"")</f>
        <v/>
      </c>
    </row>
    <row r="185" spans="2:13" x14ac:dyDescent="0.2">
      <c r="B185" s="201">
        <f t="shared" si="2"/>
        <v>181</v>
      </c>
      <c r="C185" s="15" t="str">
        <f>薬品マスタリスト_20260130100542!A183</f>
        <v>オランザピン細粒１％「ヨシトミ」</v>
      </c>
      <c r="D185" s="15" t="str">
        <f>薬品マスタリスト_20260130100542!B183</f>
        <v>ｵﾗﾝｻﾞﾋﾟﾝｻｲﾘｭｳ1%｢ﾖｼﾄﾐ｣</v>
      </c>
      <c r="E185" s="15">
        <f>薬品マスタリスト_20260130100542!C183</f>
        <v>3</v>
      </c>
      <c r="F185" s="206" t="str">
        <f>薬品マスタリスト_20260130100542!D183</f>
        <v>散</v>
      </c>
      <c r="G185" s="208" t="str">
        <f>match_results!C182</f>
        <v>オランザピン細粒１％「ヨシトミ」</v>
      </c>
      <c r="H185" s="208">
        <f>match_results!D182</f>
        <v>474</v>
      </c>
      <c r="I185" s="218">
        <f>match_results!E182</f>
        <v>100</v>
      </c>
      <c r="J185" s="225" t="s">
        <v>3917</v>
      </c>
      <c r="K185" s="15">
        <f ca="1">IF($J185="〇",OFFSET(集計!B$3,合体!$H185,0),"")</f>
        <v>59.7</v>
      </c>
      <c r="L185" s="15">
        <f ca="1">IF($J185="〇",OFFSET(集計!C$3,合体!$H185,0),"")</f>
        <v>191</v>
      </c>
      <c r="M185" s="202">
        <f ca="1">IF($J185="〇",OFFSET(集計!D$3,合体!$H185,0),"")</f>
        <v>11402.7</v>
      </c>
    </row>
    <row r="186" spans="2:13" x14ac:dyDescent="0.2">
      <c r="B186" s="201">
        <f t="shared" si="2"/>
        <v>182</v>
      </c>
      <c r="C186" s="15" t="str">
        <f>薬品マスタリスト_20260130100542!A184</f>
        <v>オランザピンＯＤ錠１０ｍｇ「ＮＰ」</v>
      </c>
      <c r="D186" s="15" t="str">
        <f>薬品マスタリスト_20260130100542!B184</f>
        <v>ｵﾗﾝｻﾞﾋﾟﾝODｼﾞﾖｳ10MGNP</v>
      </c>
      <c r="E186" s="15">
        <f>薬品マスタリスト_20260130100542!C184</f>
        <v>1</v>
      </c>
      <c r="F186" s="206" t="str">
        <f>薬品マスタリスト_20260130100542!D184</f>
        <v>錠剤</v>
      </c>
      <c r="G186" s="208" t="str">
        <f>match_results!C183</f>
        <v>オランザピンＯＤ錠１０ｍｇ</v>
      </c>
      <c r="H186" s="208">
        <f>match_results!D183</f>
        <v>627</v>
      </c>
      <c r="I186" s="218">
        <f>match_results!E183</f>
        <v>86.6666666666666</v>
      </c>
      <c r="J186" s="225"/>
      <c r="K186" s="15" t="str">
        <f ca="1">IF($J186="〇",OFFSET(集計!B$3,合体!$H186,0),"")</f>
        <v/>
      </c>
      <c r="L186" s="15" t="str">
        <f ca="1">IF($J186="〇",OFFSET(集計!C$3,合体!$H186,0),"")</f>
        <v/>
      </c>
      <c r="M186" s="202" t="str">
        <f ca="1">IF($J186="〇",OFFSET(集計!D$3,合体!$H186,0),"")</f>
        <v/>
      </c>
    </row>
    <row r="187" spans="2:13" x14ac:dyDescent="0.2">
      <c r="B187" s="201">
        <f t="shared" si="2"/>
        <v>183</v>
      </c>
      <c r="C187" s="15" t="str">
        <f>薬品マスタリスト_20260130100542!A185</f>
        <v>オランザピンＯＤ錠５ｍｇ「ＮＰ」</v>
      </c>
      <c r="D187" s="15" t="str">
        <f>薬品マスタリスト_20260130100542!B185</f>
        <v>ｵﾗﾝｻﾞﾋﾟﾝODｼﾞﾖｳ5MGNP</v>
      </c>
      <c r="E187" s="15">
        <f>薬品マスタリスト_20260130100542!C185</f>
        <v>1</v>
      </c>
      <c r="F187" s="206" t="str">
        <f>薬品マスタリスト_20260130100542!D185</f>
        <v>錠剤</v>
      </c>
      <c r="G187" s="208" t="str">
        <f>match_results!C184</f>
        <v>オランザピンＯＤ錠５ｍｇ</v>
      </c>
      <c r="H187" s="208">
        <f>match_results!D184</f>
        <v>600</v>
      </c>
      <c r="I187" s="218">
        <f>match_results!E184</f>
        <v>85.714285714285694</v>
      </c>
      <c r="J187" s="225"/>
      <c r="K187" s="15" t="str">
        <f ca="1">IF($J187="〇",OFFSET(集計!B$3,合体!$H187,0),"")</f>
        <v/>
      </c>
      <c r="L187" s="15" t="str">
        <f ca="1">IF($J187="〇",OFFSET(集計!C$3,合体!$H187,0),"")</f>
        <v/>
      </c>
      <c r="M187" s="202" t="str">
        <f ca="1">IF($J187="〇",OFFSET(集計!D$3,合体!$H187,0),"")</f>
        <v/>
      </c>
    </row>
    <row r="188" spans="2:13" x14ac:dyDescent="0.2">
      <c r="B188" s="201">
        <f t="shared" si="2"/>
        <v>184</v>
      </c>
      <c r="C188" s="15" t="str">
        <f>薬品マスタリスト_20260130100542!A186</f>
        <v>オランザピン錠２．５ｍｇ「ＮＰ」</v>
      </c>
      <c r="D188" s="15" t="str">
        <f>薬品マスタリスト_20260130100542!B186</f>
        <v>ｵﾗﾝｻﾞﾋﾟﾝｼﾞﾖｳ2.5MGNP</v>
      </c>
      <c r="E188" s="15">
        <f>薬品マスタリスト_20260130100542!C186</f>
        <v>1</v>
      </c>
      <c r="F188" s="206" t="str">
        <f>薬品マスタリスト_20260130100542!D186</f>
        <v>錠剤</v>
      </c>
      <c r="G188" s="208" t="str">
        <f>match_results!C185</f>
        <v>オランザピン錠２．５ｍｇ</v>
      </c>
      <c r="H188" s="208">
        <f>match_results!D185</f>
        <v>445</v>
      </c>
      <c r="I188" s="218">
        <f>match_results!E185</f>
        <v>85.714285714285694</v>
      </c>
      <c r="J188" s="225"/>
      <c r="K188" s="15" t="str">
        <f ca="1">IF($J188="〇",OFFSET(集計!B$3,合体!$H188,0),"")</f>
        <v/>
      </c>
      <c r="L188" s="15" t="str">
        <f ca="1">IF($J188="〇",OFFSET(集計!C$3,合体!$H188,0),"")</f>
        <v/>
      </c>
      <c r="M188" s="202" t="str">
        <f ca="1">IF($J188="〇",OFFSET(集計!D$3,合体!$H188,0),"")</f>
        <v/>
      </c>
    </row>
    <row r="189" spans="2:13" x14ac:dyDescent="0.2">
      <c r="B189" s="201">
        <f t="shared" si="2"/>
        <v>185</v>
      </c>
      <c r="C189" s="15" t="str">
        <f>薬品マスタリスト_20260130100542!A187</f>
        <v>オランザピン細粒１％「ＮＰ」</v>
      </c>
      <c r="D189" s="15" t="str">
        <f>薬品マスタリスト_20260130100542!B187</f>
        <v>ｵﾗﾝｻﾞﾋﾟﾝｻｲﾘﾕｳ1%NP</v>
      </c>
      <c r="E189" s="15">
        <f>薬品マスタリスト_20260130100542!C187</f>
        <v>4</v>
      </c>
      <c r="F189" s="206" t="str">
        <f>薬品マスタリスト_20260130100542!D187</f>
        <v>細粒</v>
      </c>
      <c r="G189" s="208" t="str">
        <f>match_results!C186</f>
        <v>オランザピン細粒１％「ヨシトミ」</v>
      </c>
      <c r="H189" s="208">
        <f>match_results!D186</f>
        <v>474</v>
      </c>
      <c r="I189" s="218">
        <f>match_results!E186</f>
        <v>80</v>
      </c>
      <c r="J189" s="225"/>
      <c r="K189" s="15" t="str">
        <f ca="1">IF($J189="〇",OFFSET(集計!B$3,合体!$H189,0),"")</f>
        <v/>
      </c>
      <c r="L189" s="15" t="str">
        <f ca="1">IF($J189="〇",OFFSET(集計!C$3,合体!$H189,0),"")</f>
        <v/>
      </c>
      <c r="M189" s="202" t="str">
        <f ca="1">IF($J189="〇",OFFSET(集計!D$3,合体!$H189,0),"")</f>
        <v/>
      </c>
    </row>
    <row r="190" spans="2:13" x14ac:dyDescent="0.2">
      <c r="B190" s="201">
        <f t="shared" si="2"/>
        <v>186</v>
      </c>
      <c r="C190" s="15" t="str">
        <f>薬品マスタリスト_20260130100542!A188</f>
        <v>オランザピンＯＤ錠２．５ｍｇ「ニプロ」</v>
      </c>
      <c r="D190" s="15" t="str">
        <f>薬品マスタリスト_20260130100542!B188</f>
        <v>ｵﾗﾝｻﾞﾋﾟﾝODｼﾞﾖｳ2.5MGﾆﾌﾟﾛ</v>
      </c>
      <c r="E190" s="15">
        <f>薬品マスタリスト_20260130100542!C188</f>
        <v>1</v>
      </c>
      <c r="F190" s="206" t="str">
        <f>薬品マスタリスト_20260130100542!D188</f>
        <v>錠剤</v>
      </c>
      <c r="G190" s="208" t="str">
        <f>match_results!C187</f>
        <v>オランザピン錠２．５ｍｇ</v>
      </c>
      <c r="H190" s="208">
        <f>match_results!D187</f>
        <v>445</v>
      </c>
      <c r="I190" s="218">
        <f>match_results!E187</f>
        <v>77.419354838709594</v>
      </c>
      <c r="J190" s="225"/>
      <c r="K190" s="15" t="str">
        <f ca="1">IF($J190="〇",OFFSET(集計!B$3,合体!$H190,0),"")</f>
        <v/>
      </c>
      <c r="L190" s="15" t="str">
        <f ca="1">IF($J190="〇",OFFSET(集計!C$3,合体!$H190,0),"")</f>
        <v/>
      </c>
      <c r="M190" s="202" t="str">
        <f ca="1">IF($J190="〇",OFFSET(集計!D$3,合体!$H190,0),"")</f>
        <v/>
      </c>
    </row>
    <row r="191" spans="2:13" x14ac:dyDescent="0.2">
      <c r="B191" s="201">
        <f t="shared" si="2"/>
        <v>187</v>
      </c>
      <c r="C191" s="15" t="str">
        <f>薬品マスタリスト_20260130100542!A189</f>
        <v>オランザピンＯＤ錠５ｍｇ「ニプロ」</v>
      </c>
      <c r="D191" s="15" t="str">
        <f>薬品マスタリスト_20260130100542!B189</f>
        <v>ｵﾗﾝｻﾞﾋﾟﾝODｼﾞﾖｳ5MGﾆﾌﾟﾛ</v>
      </c>
      <c r="E191" s="15">
        <f>薬品マスタリスト_20260130100542!C189</f>
        <v>1</v>
      </c>
      <c r="F191" s="206" t="str">
        <f>薬品マスタリスト_20260130100542!D189</f>
        <v>錠剤</v>
      </c>
      <c r="G191" s="208" t="str">
        <f>match_results!C188</f>
        <v>オランザピンＯＤ錠５ｍｇ</v>
      </c>
      <c r="H191" s="208">
        <f>match_results!D188</f>
        <v>600</v>
      </c>
      <c r="I191" s="218">
        <f>match_results!E188</f>
        <v>82.758620689655103</v>
      </c>
      <c r="J191" s="225"/>
      <c r="K191" s="15" t="str">
        <f ca="1">IF($J191="〇",OFFSET(集計!B$3,合体!$H191,0),"")</f>
        <v/>
      </c>
      <c r="L191" s="15" t="str">
        <f ca="1">IF($J191="〇",OFFSET(集計!C$3,合体!$H191,0),"")</f>
        <v/>
      </c>
      <c r="M191" s="202" t="str">
        <f ca="1">IF($J191="〇",OFFSET(集計!D$3,合体!$H191,0),"")</f>
        <v/>
      </c>
    </row>
    <row r="192" spans="2:13" x14ac:dyDescent="0.2">
      <c r="B192" s="201">
        <f t="shared" si="2"/>
        <v>188</v>
      </c>
      <c r="C192" s="15" t="str">
        <f>薬品マスタリスト_20260130100542!A190</f>
        <v>オランザピンＯＤ錠１０ｍｇ「ニプロ」</v>
      </c>
      <c r="D192" s="15" t="str">
        <f>薬品マスタリスト_20260130100542!B190</f>
        <v>ｵﾗﾝｻﾞﾋﾟﾝODｼﾞﾖｳ10MGﾆﾌﾟﾛ</v>
      </c>
      <c r="E192" s="15">
        <f>薬品マスタリスト_20260130100542!C190</f>
        <v>1</v>
      </c>
      <c r="F192" s="206" t="str">
        <f>薬品マスタリスト_20260130100542!D190</f>
        <v>錠剤</v>
      </c>
      <c r="G192" s="208" t="str">
        <f>match_results!C189</f>
        <v>オランザピンＯＤ錠１０ｍｇ</v>
      </c>
      <c r="H192" s="208">
        <f>match_results!D189</f>
        <v>627</v>
      </c>
      <c r="I192" s="218">
        <f>match_results!E189</f>
        <v>83.870967741935402</v>
      </c>
      <c r="J192" s="225"/>
      <c r="K192" s="15" t="str">
        <f ca="1">IF($J192="〇",OFFSET(集計!B$3,合体!$H192,0),"")</f>
        <v/>
      </c>
      <c r="L192" s="15" t="str">
        <f ca="1">IF($J192="〇",OFFSET(集計!C$3,合体!$H192,0),"")</f>
        <v/>
      </c>
      <c r="M192" s="202" t="str">
        <f ca="1">IF($J192="〇",OFFSET(集計!D$3,合体!$H192,0),"")</f>
        <v/>
      </c>
    </row>
    <row r="193" spans="2:13" x14ac:dyDescent="0.2">
      <c r="B193" s="201">
        <f t="shared" si="2"/>
        <v>189</v>
      </c>
      <c r="C193" s="15" t="str">
        <f>薬品マスタリスト_20260130100542!A191</f>
        <v>オランザピン細粒１％「ニプロ」</v>
      </c>
      <c r="D193" s="15" t="str">
        <f>薬品マスタリスト_20260130100542!B191</f>
        <v>ｵﾗﾝｻﾞﾋﾟﾝｻｲﾘﾕｳ1%ﾆﾌﾟﾛ</v>
      </c>
      <c r="E193" s="15">
        <f>薬品マスタリスト_20260130100542!C191</f>
        <v>4</v>
      </c>
      <c r="F193" s="206" t="str">
        <f>薬品マスタリスト_20260130100542!D191</f>
        <v>細粒</v>
      </c>
      <c r="G193" s="208" t="str">
        <f>match_results!C190</f>
        <v>オランザピン細粒１％「ヨシトミ」</v>
      </c>
      <c r="H193" s="208">
        <f>match_results!D190</f>
        <v>474</v>
      </c>
      <c r="I193" s="218">
        <f>match_results!E190</f>
        <v>77.419354838709594</v>
      </c>
      <c r="J193" s="225"/>
      <c r="K193" s="15" t="str">
        <f ca="1">IF($J193="〇",OFFSET(集計!B$3,合体!$H193,0),"")</f>
        <v/>
      </c>
      <c r="L193" s="15" t="str">
        <f ca="1">IF($J193="〇",OFFSET(集計!C$3,合体!$H193,0),"")</f>
        <v/>
      </c>
      <c r="M193" s="202" t="str">
        <f ca="1">IF($J193="〇",OFFSET(集計!D$3,合体!$H193,0),"")</f>
        <v/>
      </c>
    </row>
    <row r="194" spans="2:13" x14ac:dyDescent="0.2">
      <c r="B194" s="201">
        <f t="shared" si="2"/>
        <v>190</v>
      </c>
      <c r="C194" s="15" t="str">
        <f>薬品マスタリスト_20260130100542!A192</f>
        <v>オランザピン錠２．５ｍｇ「ニプロ」</v>
      </c>
      <c r="D194" s="15" t="str">
        <f>薬品マスタリスト_20260130100542!B192</f>
        <v>ｵﾗﾝｻﾞﾋﾟﾝｼﾞﾖｳ2.5MGﾆﾌﾟﾛ</v>
      </c>
      <c r="E194" s="15">
        <f>薬品マスタリスト_20260130100542!C192</f>
        <v>1</v>
      </c>
      <c r="F194" s="206" t="str">
        <f>薬品マスタリスト_20260130100542!D192</f>
        <v>錠剤</v>
      </c>
      <c r="G194" s="208" t="str">
        <f>match_results!C191</f>
        <v>オランザピン錠２．５ｍｇ</v>
      </c>
      <c r="H194" s="208">
        <f>match_results!D191</f>
        <v>445</v>
      </c>
      <c r="I194" s="218">
        <f>match_results!E191</f>
        <v>82.758620689655103</v>
      </c>
      <c r="J194" s="225"/>
      <c r="K194" s="15" t="str">
        <f ca="1">IF($J194="〇",OFFSET(集計!B$3,合体!$H194,0),"")</f>
        <v/>
      </c>
      <c r="L194" s="15" t="str">
        <f ca="1">IF($J194="〇",OFFSET(集計!C$3,合体!$H194,0),"")</f>
        <v/>
      </c>
      <c r="M194" s="202" t="str">
        <f ca="1">IF($J194="〇",OFFSET(集計!D$3,合体!$H194,0),"")</f>
        <v/>
      </c>
    </row>
    <row r="195" spans="2:13" x14ac:dyDescent="0.2">
      <c r="B195" s="201">
        <f t="shared" si="2"/>
        <v>191</v>
      </c>
      <c r="C195" s="15" t="str">
        <f>薬品マスタリスト_20260130100542!A193</f>
        <v>オルセノン軟膏０．２５％</v>
      </c>
      <c r="D195" s="15" t="str">
        <f>薬品マスタリスト_20260130100542!B193</f>
        <v>ｵﾙｾﾉﾝﾅﾝｺｳ0.25%</v>
      </c>
      <c r="E195" s="15">
        <f>薬品マスタリスト_20260130100542!C193</f>
        <v>14</v>
      </c>
      <c r="F195" s="206" t="str">
        <f>薬品マスタリスト_20260130100542!D193</f>
        <v>軟膏</v>
      </c>
      <c r="G195" s="208" t="str">
        <f>match_results!C192</f>
        <v>ハイパジール点眼０．２５％</v>
      </c>
      <c r="H195" s="208">
        <f>match_results!D192</f>
        <v>118</v>
      </c>
      <c r="I195" s="218">
        <f>match_results!E192</f>
        <v>48</v>
      </c>
      <c r="J195" s="225"/>
      <c r="K195" s="15" t="str">
        <f ca="1">IF($J195="〇",OFFSET(集計!B$3,合体!$H195,0),"")</f>
        <v/>
      </c>
      <c r="L195" s="15" t="str">
        <f ca="1">IF($J195="〇",OFFSET(集計!C$3,合体!$H195,0),"")</f>
        <v/>
      </c>
      <c r="M195" s="202" t="str">
        <f ca="1">IF($J195="〇",OFFSET(集計!D$3,合体!$H195,0),"")</f>
        <v/>
      </c>
    </row>
    <row r="196" spans="2:13" x14ac:dyDescent="0.2">
      <c r="B196" s="201">
        <f t="shared" si="2"/>
        <v>192</v>
      </c>
      <c r="C196" s="15" t="str">
        <f>薬品マスタリスト_20260130100542!A194</f>
        <v>オルメテックＯＤ錠１０ｍｇ</v>
      </c>
      <c r="D196" s="15" t="str">
        <f>薬品マスタリスト_20260130100542!B194</f>
        <v>ｵﾙﾒﾃｯｸODｼﾞｮｳ10mg</v>
      </c>
      <c r="E196" s="15">
        <f>薬品マスタリスト_20260130100542!C194</f>
        <v>1</v>
      </c>
      <c r="F196" s="206" t="str">
        <f>薬品マスタリスト_20260130100542!D194</f>
        <v>錠剤</v>
      </c>
      <c r="G196" s="208" t="str">
        <f>match_results!C193</f>
        <v>オルメテックＯＤ錠１０ｍｇ</v>
      </c>
      <c r="H196" s="208">
        <f>match_results!D193</f>
        <v>308</v>
      </c>
      <c r="I196" s="218">
        <f>match_results!E193</f>
        <v>100</v>
      </c>
      <c r="J196" s="225" t="s">
        <v>3917</v>
      </c>
      <c r="K196" s="15">
        <f ca="1">IF($J196="〇",OFFSET(集計!B$3,合体!$H196,0),"")</f>
        <v>17.89</v>
      </c>
      <c r="L196" s="15">
        <f ca="1">IF($J196="〇",OFFSET(集計!C$3,合体!$H196,0),"")</f>
        <v>270</v>
      </c>
      <c r="M196" s="202">
        <f ca="1">IF($J196="〇",OFFSET(集計!D$3,合体!$H196,0),"")</f>
        <v>4830.3</v>
      </c>
    </row>
    <row r="197" spans="2:13" x14ac:dyDescent="0.2">
      <c r="B197" s="201">
        <f t="shared" si="2"/>
        <v>193</v>
      </c>
      <c r="C197" s="15" t="str">
        <f>薬品マスタリスト_20260130100542!A195</f>
        <v>オロパタジン塩酸塩錠５ｍｇ「トーワ」</v>
      </c>
      <c r="D197" s="15" t="str">
        <f>薬品マスタリスト_20260130100542!B195</f>
        <v>ｵﾛﾊﾟﾀｼﾞﾝｴﾝｻﾝｴﾝｼﾞｮｳ5mg｢ﾄｰﾜ｣</v>
      </c>
      <c r="E197" s="15">
        <f>薬品マスタリスト_20260130100542!C195</f>
        <v>1</v>
      </c>
      <c r="F197" s="206" t="str">
        <f>薬品マスタリスト_20260130100542!D195</f>
        <v>錠剤</v>
      </c>
      <c r="G197" s="208" t="str">
        <f>match_results!C194</f>
        <v>オロパタジンＯＤ錠５ｍｇ</v>
      </c>
      <c r="H197" s="208">
        <f>match_results!D194</f>
        <v>376</v>
      </c>
      <c r="I197" s="218">
        <f>match_results!E194</f>
        <v>66.6666666666666</v>
      </c>
      <c r="J197" s="225"/>
      <c r="K197" s="15" t="str">
        <f ca="1">IF($J197="〇",OFFSET(集計!B$3,合体!$H197,0),"")</f>
        <v/>
      </c>
      <c r="L197" s="15" t="str">
        <f ca="1">IF($J197="〇",OFFSET(集計!C$3,合体!$H197,0),"")</f>
        <v/>
      </c>
      <c r="M197" s="202" t="str">
        <f ca="1">IF($J197="〇",OFFSET(集計!D$3,合体!$H197,0),"")</f>
        <v/>
      </c>
    </row>
    <row r="198" spans="2:13" x14ac:dyDescent="0.2">
      <c r="B198" s="201">
        <f t="shared" si="2"/>
        <v>194</v>
      </c>
      <c r="C198" s="15" t="str">
        <f>薬品マスタリスト_20260130100542!A196</f>
        <v>オロパタジン塩酸塩ＯＤ錠５ｍｇ「トーワ」</v>
      </c>
      <c r="D198" s="15" t="str">
        <f>薬品マスタリスト_20260130100542!B196</f>
        <v>ｵﾛﾊﾟﾀｼﾞﾝｴﾝｻﾝｴﾝODｼﾞﾖｳ5MGﾄ-ﾜ</v>
      </c>
      <c r="E198" s="15">
        <f>薬品マスタリスト_20260130100542!C196</f>
        <v>1</v>
      </c>
      <c r="F198" s="206" t="str">
        <f>薬品マスタリスト_20260130100542!D196</f>
        <v>錠剤</v>
      </c>
      <c r="G198" s="208" t="str">
        <f>match_results!C195</f>
        <v>オロパタジンＯＤ錠５ｍｇ</v>
      </c>
      <c r="H198" s="208">
        <f>match_results!D195</f>
        <v>376</v>
      </c>
      <c r="I198" s="218">
        <f>match_results!E195</f>
        <v>75</v>
      </c>
      <c r="J198" s="225"/>
      <c r="K198" s="15" t="str">
        <f ca="1">IF($J198="〇",OFFSET(集計!B$3,合体!$H198,0),"")</f>
        <v/>
      </c>
      <c r="L198" s="15" t="str">
        <f ca="1">IF($J198="〇",OFFSET(集計!C$3,合体!$H198,0),"")</f>
        <v/>
      </c>
      <c r="M198" s="202" t="str">
        <f ca="1">IF($J198="〇",OFFSET(集計!D$3,合体!$H198,0),"")</f>
        <v/>
      </c>
    </row>
    <row r="199" spans="2:13" x14ac:dyDescent="0.2">
      <c r="B199" s="201">
        <f t="shared" ref="B199:B262" si="3">B198+1</f>
        <v>195</v>
      </c>
      <c r="C199" s="15" t="str">
        <f>薬品マスタリスト_20260130100542!A197</f>
        <v>オンジェンティス錠２５ｍｇ</v>
      </c>
      <c r="D199" s="15" t="str">
        <f>薬品マスタリスト_20260130100542!B197</f>
        <v>ｵﾝｼﾞｪﾝﾃｨｽｼﾞｮｳ25mg</v>
      </c>
      <c r="E199" s="15">
        <f>薬品マスタリスト_20260130100542!C197</f>
        <v>1</v>
      </c>
      <c r="F199" s="206" t="str">
        <f>薬品マスタリスト_20260130100542!D197</f>
        <v>錠剤</v>
      </c>
      <c r="G199" s="208" t="str">
        <f>match_results!C196</f>
        <v>オランザピン錠２．５ｍｇ</v>
      </c>
      <c r="H199" s="208">
        <f>match_results!D196</f>
        <v>445</v>
      </c>
      <c r="I199" s="218">
        <f>match_results!E196</f>
        <v>64</v>
      </c>
      <c r="J199" s="225"/>
      <c r="K199" s="15" t="str">
        <f ca="1">IF($J199="〇",OFFSET(集計!B$3,合体!$H199,0),"")</f>
        <v/>
      </c>
      <c r="L199" s="15" t="str">
        <f ca="1">IF($J199="〇",OFFSET(集計!C$3,合体!$H199,0),"")</f>
        <v/>
      </c>
      <c r="M199" s="202" t="str">
        <f ca="1">IF($J199="〇",OFFSET(集計!D$3,合体!$H199,0),"")</f>
        <v/>
      </c>
    </row>
    <row r="200" spans="2:13" x14ac:dyDescent="0.2">
      <c r="B200" s="201">
        <f t="shared" si="3"/>
        <v>196</v>
      </c>
      <c r="C200" s="15" t="str">
        <f>薬品マスタリスト_20260130100542!A198</f>
        <v>ガスコン錠４０ｍｇ</v>
      </c>
      <c r="D200" s="15" t="str">
        <f>薬品マスタリスト_20260130100542!B198</f>
        <v>ｶﾞｽｺﾝｼﾞﾖｳ40MG</v>
      </c>
      <c r="E200" s="15">
        <f>薬品マスタリスト_20260130100542!C198</f>
        <v>1</v>
      </c>
      <c r="F200" s="206" t="str">
        <f>薬品マスタリスト_20260130100542!D198</f>
        <v>錠剤</v>
      </c>
      <c r="G200" s="208" t="str">
        <f>match_results!C197</f>
        <v>ジメチコン錠４０ｍｇ</v>
      </c>
      <c r="H200" s="208">
        <f>match_results!D197</f>
        <v>422</v>
      </c>
      <c r="I200" s="218">
        <f>match_results!E197</f>
        <v>73.684210526315795</v>
      </c>
      <c r="J200" s="225"/>
      <c r="K200" s="15" t="str">
        <f ca="1">IF($J200="〇",OFFSET(集計!B$3,合体!$H200,0),"")</f>
        <v/>
      </c>
      <c r="L200" s="15" t="str">
        <f ca="1">IF($J200="〇",OFFSET(集計!C$3,合体!$H200,0),"")</f>
        <v/>
      </c>
      <c r="M200" s="202" t="str">
        <f ca="1">IF($J200="〇",OFFSET(集計!D$3,合体!$H200,0),"")</f>
        <v/>
      </c>
    </row>
    <row r="201" spans="2:13" x14ac:dyDescent="0.2">
      <c r="B201" s="201">
        <f t="shared" si="3"/>
        <v>197</v>
      </c>
      <c r="C201" s="15" t="str">
        <f>薬品マスタリスト_20260130100542!A199</f>
        <v>ガスモチン散１％</v>
      </c>
      <c r="D201" s="15" t="str">
        <f>薬品マスタリスト_20260130100542!B199</f>
        <v>ｶﾞｽﾓﾁﾝｻﾝ1%</v>
      </c>
      <c r="E201" s="15">
        <f>薬品マスタリスト_20260130100542!C199</f>
        <v>3</v>
      </c>
      <c r="F201" s="206" t="str">
        <f>薬品マスタリスト_20260130100542!D199</f>
        <v>散</v>
      </c>
      <c r="G201" s="208" t="str">
        <f>match_results!C198</f>
        <v>ファモチジン散１０％　　　　　　　　　　　</v>
      </c>
      <c r="H201" s="208">
        <f>match_results!D198</f>
        <v>336</v>
      </c>
      <c r="I201" s="218">
        <f>match_results!E198</f>
        <v>66.6666666666666</v>
      </c>
      <c r="J201" s="225"/>
      <c r="K201" s="15" t="str">
        <f ca="1">IF($J201="〇",OFFSET(集計!B$3,合体!$H201,0),"")</f>
        <v/>
      </c>
      <c r="L201" s="15" t="str">
        <f ca="1">IF($J201="〇",OFFSET(集計!C$3,合体!$H201,0),"")</f>
        <v/>
      </c>
      <c r="M201" s="202" t="str">
        <f ca="1">IF($J201="〇",OFFSET(集計!D$3,合体!$H201,0),"")</f>
        <v/>
      </c>
    </row>
    <row r="202" spans="2:13" x14ac:dyDescent="0.2">
      <c r="B202" s="201">
        <f t="shared" si="3"/>
        <v>198</v>
      </c>
      <c r="C202" s="15" t="str">
        <f>薬品マスタリスト_20260130100542!A200</f>
        <v>風邪Ⅲ(院内製剤)</v>
      </c>
      <c r="D202" s="15" t="str">
        <f>薬品マスタリスト_20260130100542!B200</f>
        <v>ﾌｳ邪Ⅲ(院ﾅｲｾｲｻﾞｲ)</v>
      </c>
      <c r="E202" s="15">
        <f>薬品マスタリスト_20260130100542!C200</f>
        <v>24</v>
      </c>
      <c r="F202" s="206" t="str">
        <f>薬品マスタリスト_20260130100542!D200</f>
        <v>その他</v>
      </c>
      <c r="G202" s="208" t="str">
        <f>match_results!C199</f>
        <v>モビコール配合内用剤ＬＤ</v>
      </c>
      <c r="H202" s="208">
        <f>match_results!D199</f>
        <v>440</v>
      </c>
      <c r="I202" s="218">
        <f>match_results!E199</f>
        <v>19.047619047619001</v>
      </c>
      <c r="J202" s="225"/>
      <c r="K202" s="15" t="str">
        <f ca="1">IF($J202="〇",OFFSET(集計!B$3,合体!$H202,0),"")</f>
        <v/>
      </c>
      <c r="L202" s="15" t="str">
        <f ca="1">IF($J202="〇",OFFSET(集計!C$3,合体!$H202,0),"")</f>
        <v/>
      </c>
      <c r="M202" s="202" t="str">
        <f ca="1">IF($J202="〇",OFFSET(集計!D$3,合体!$H202,0),"")</f>
        <v/>
      </c>
    </row>
    <row r="203" spans="2:13" x14ac:dyDescent="0.2">
      <c r="B203" s="201">
        <f t="shared" si="3"/>
        <v>199</v>
      </c>
      <c r="C203" s="15" t="str">
        <f>薬品マスタリスト_20260130100542!A201</f>
        <v>風邪Ⅱ(院内製剤)</v>
      </c>
      <c r="D203" s="15" t="str">
        <f>薬品マスタリスト_20260130100542!B201</f>
        <v>ﾌｳ邪Ⅱ(院ﾅｲｾｲｻﾞｲ)</v>
      </c>
      <c r="E203" s="15">
        <f>薬品マスタリスト_20260130100542!C201</f>
        <v>24</v>
      </c>
      <c r="F203" s="206" t="str">
        <f>薬品マスタリスト_20260130100542!D201</f>
        <v>その他</v>
      </c>
      <c r="G203" s="208" t="str">
        <f>match_results!C200</f>
        <v>モビコール配合内用剤ＬＤ</v>
      </c>
      <c r="H203" s="208">
        <f>match_results!D200</f>
        <v>440</v>
      </c>
      <c r="I203" s="218">
        <f>match_results!E200</f>
        <v>19.047619047619001</v>
      </c>
      <c r="J203" s="225"/>
      <c r="K203" s="15" t="str">
        <f ca="1">IF($J203="〇",OFFSET(集計!B$3,合体!$H203,0),"")</f>
        <v/>
      </c>
      <c r="L203" s="15" t="str">
        <f ca="1">IF($J203="〇",OFFSET(集計!C$3,合体!$H203,0),"")</f>
        <v/>
      </c>
      <c r="M203" s="202" t="str">
        <f ca="1">IF($J203="〇",OFFSET(集計!D$3,合体!$H203,0),"")</f>
        <v/>
      </c>
    </row>
    <row r="204" spans="2:13" x14ac:dyDescent="0.2">
      <c r="B204" s="201">
        <f t="shared" si="3"/>
        <v>200</v>
      </c>
      <c r="C204" s="15" t="str">
        <f>薬品マスタリスト_20260130100542!A202</f>
        <v>カタプレス錠７５μｇ</v>
      </c>
      <c r="D204" s="15" t="str">
        <f>薬品マスタリスト_20260130100542!B202</f>
        <v>ｶﾀﾌﾟﾚｽｼﾞｮｳ75μg</v>
      </c>
      <c r="E204" s="15">
        <f>薬品マスタリスト_20260130100542!C202</f>
        <v>1</v>
      </c>
      <c r="F204" s="206" t="str">
        <f>薬品マスタリスト_20260130100542!D202</f>
        <v>錠剤</v>
      </c>
      <c r="G204" s="208" t="str">
        <f>match_results!C201</f>
        <v>ベタニス錠５０ｍｇ</v>
      </c>
      <c r="H204" s="208">
        <f>match_results!D201</f>
        <v>639</v>
      </c>
      <c r="I204" s="218">
        <f>match_results!E201</f>
        <v>52.631578947368403</v>
      </c>
      <c r="J204" s="225"/>
      <c r="K204" s="15" t="str">
        <f ca="1">IF($J204="〇",OFFSET(集計!B$3,合体!$H204,0),"")</f>
        <v/>
      </c>
      <c r="L204" s="15" t="str">
        <f ca="1">IF($J204="〇",OFFSET(集計!C$3,合体!$H204,0),"")</f>
        <v/>
      </c>
      <c r="M204" s="202" t="str">
        <f ca="1">IF($J204="〇",OFFSET(集計!D$3,合体!$H204,0),"")</f>
        <v/>
      </c>
    </row>
    <row r="205" spans="2:13" x14ac:dyDescent="0.2">
      <c r="B205" s="201">
        <f t="shared" si="3"/>
        <v>201</v>
      </c>
      <c r="C205" s="15" t="str">
        <f>薬品マスタリスト_20260130100542!A203</f>
        <v>ガバペン錠２００ｍｇ</v>
      </c>
      <c r="D205" s="15" t="str">
        <f>薬品マスタリスト_20260130100542!B203</f>
        <v>ｶﾞﾊﾞﾍﾟﾝｼﾞｮｳ200mg</v>
      </c>
      <c r="E205" s="15">
        <f>薬品マスタリスト_20260130100542!C203</f>
        <v>1</v>
      </c>
      <c r="F205" s="206" t="str">
        <f>薬品マスタリスト_20260130100542!D203</f>
        <v>錠剤</v>
      </c>
      <c r="G205" s="208" t="str">
        <f>match_results!C202</f>
        <v>ハイペン錠２００ｍｇ</v>
      </c>
      <c r="H205" s="208">
        <f>match_results!D202</f>
        <v>43</v>
      </c>
      <c r="I205" s="218">
        <f>match_results!E202</f>
        <v>80</v>
      </c>
      <c r="J205" s="225"/>
      <c r="K205" s="15" t="str">
        <f ca="1">IF($J205="〇",OFFSET(集計!B$3,合体!$H205,0),"")</f>
        <v/>
      </c>
      <c r="L205" s="15" t="str">
        <f ca="1">IF($J205="〇",OFFSET(集計!C$3,合体!$H205,0),"")</f>
        <v/>
      </c>
      <c r="M205" s="202" t="str">
        <f ca="1">IF($J205="〇",OFFSET(集計!D$3,合体!$H205,0),"")</f>
        <v/>
      </c>
    </row>
    <row r="206" spans="2:13" x14ac:dyDescent="0.2">
      <c r="B206" s="201">
        <f t="shared" si="3"/>
        <v>202</v>
      </c>
      <c r="C206" s="15" t="str">
        <f>薬品マスタリスト_20260130100542!A204</f>
        <v>カモスタットメシル酸塩錠１００ｍｇ「サワイ」</v>
      </c>
      <c r="D206" s="15" t="str">
        <f>薬品マスタリスト_20260130100542!B204</f>
        <v>ｶﾓｽﾀｯﾄﾒｼﾙｻﾝｴﾝｼﾞｮｳ100mg｢ｻﾜｲ｣</v>
      </c>
      <c r="E206" s="15">
        <f>薬品マスタリスト_20260130100542!C204</f>
        <v>1</v>
      </c>
      <c r="F206" s="206" t="str">
        <f>薬品マスタリスト_20260130100542!D204</f>
        <v>錠剤</v>
      </c>
      <c r="G206" s="208" t="str">
        <f>match_results!C203</f>
        <v>カモスタットメシル酸塩錠１００ｍｇ</v>
      </c>
      <c r="H206" s="208">
        <f>match_results!D203</f>
        <v>352</v>
      </c>
      <c r="I206" s="218">
        <f>match_results!E203</f>
        <v>87.179487179487097</v>
      </c>
      <c r="J206" s="225"/>
      <c r="K206" s="15" t="str">
        <f ca="1">IF($J206="〇",OFFSET(集計!B$3,合体!$H206,0),"")</f>
        <v/>
      </c>
      <c r="L206" s="15" t="str">
        <f ca="1">IF($J206="〇",OFFSET(集計!C$3,合体!$H206,0),"")</f>
        <v/>
      </c>
      <c r="M206" s="202" t="str">
        <f ca="1">IF($J206="〇",OFFSET(集計!D$3,合体!$H206,0),"")</f>
        <v/>
      </c>
    </row>
    <row r="207" spans="2:13" x14ac:dyDescent="0.2">
      <c r="B207" s="201">
        <f t="shared" si="3"/>
        <v>203</v>
      </c>
      <c r="C207" s="15" t="str">
        <f>薬品マスタリスト_20260130100542!A205</f>
        <v>ガランタミンＯＤ錠４ｍｇ「日医工」</v>
      </c>
      <c r="D207" s="15" t="str">
        <f>薬品マスタリスト_20260130100542!B205</f>
        <v>ｶﾞﾗﾝﾀﾐﾝODｼﾞｮｳ4mg｢ﾆﾁｲｺｳ｣</v>
      </c>
      <c r="E207" s="15">
        <f>薬品マスタリスト_20260130100542!C205</f>
        <v>1</v>
      </c>
      <c r="F207" s="206" t="str">
        <f>薬品マスタリスト_20260130100542!D205</f>
        <v>錠剤</v>
      </c>
      <c r="G207" s="208" t="str">
        <f>match_results!C204</f>
        <v>ガランタミンＯＤ錠４ｍｇ「日医工」</v>
      </c>
      <c r="H207" s="208">
        <f>match_results!D204</f>
        <v>568</v>
      </c>
      <c r="I207" s="218">
        <f>match_results!E204</f>
        <v>100</v>
      </c>
      <c r="J207" s="225" t="s">
        <v>3917</v>
      </c>
      <c r="K207" s="15">
        <f ca="1">IF($J207="〇",OFFSET(集計!B$3,合体!$H207,0),"")</f>
        <v>17.5</v>
      </c>
      <c r="L207" s="15">
        <f ca="1">IF($J207="〇",OFFSET(集計!C$3,合体!$H207,0),"")</f>
        <v>1403.3333333333335</v>
      </c>
      <c r="M207" s="202">
        <f ca="1">IF($J207="〇",OFFSET(集計!D$3,合体!$H207,0),"")</f>
        <v>24558.333333333336</v>
      </c>
    </row>
    <row r="208" spans="2:13" x14ac:dyDescent="0.2">
      <c r="B208" s="201">
        <f t="shared" si="3"/>
        <v>204</v>
      </c>
      <c r="C208" s="15" t="str">
        <f>薬品マスタリスト_20260130100542!A206</f>
        <v>ガランタミンＯＤ錠４ｍｇ「アメル」</v>
      </c>
      <c r="D208" s="15" t="str">
        <f>薬品マスタリスト_20260130100542!B206</f>
        <v>ｶﾞﾗﾝﾀﾐﾝODｼﾞｮｳ4mg｢ｱﾒﾙ｣</v>
      </c>
      <c r="E208" s="15">
        <f>薬品マスタリスト_20260130100542!C206</f>
        <v>1</v>
      </c>
      <c r="F208" s="206" t="str">
        <f>薬品マスタリスト_20260130100542!D206</f>
        <v>錠剤</v>
      </c>
      <c r="G208" s="208" t="str">
        <f>match_results!C205</f>
        <v>ガランタミンＯＤ錠４ｍｇ「日医工」</v>
      </c>
      <c r="H208" s="208">
        <f>match_results!D205</f>
        <v>568</v>
      </c>
      <c r="I208" s="218">
        <f>match_results!E205</f>
        <v>82.352941176470495</v>
      </c>
      <c r="J208" s="225"/>
      <c r="K208" s="15" t="str">
        <f ca="1">IF($J208="〇",OFFSET(集計!B$3,合体!$H208,0),"")</f>
        <v/>
      </c>
      <c r="L208" s="15" t="str">
        <f ca="1">IF($J208="〇",OFFSET(集計!C$3,合体!$H208,0),"")</f>
        <v/>
      </c>
      <c r="M208" s="202" t="str">
        <f ca="1">IF($J208="〇",OFFSET(集計!D$3,合体!$H208,0),"")</f>
        <v/>
      </c>
    </row>
    <row r="209" spans="2:13" x14ac:dyDescent="0.2">
      <c r="B209" s="201">
        <f t="shared" si="3"/>
        <v>205</v>
      </c>
      <c r="C209" s="15" t="str">
        <f>薬品マスタリスト_20260130100542!A207</f>
        <v>ガランタミンＯＤ錠１２ｍｇ「アメル」</v>
      </c>
      <c r="D209" s="15" t="str">
        <f>薬品マスタリスト_20260130100542!B207</f>
        <v>ｶﾞﾗﾝﾀﾐﾝODｼﾞｮｳ12mg｢ｱﾒﾙ｣</v>
      </c>
      <c r="E209" s="15">
        <f>薬品マスタリスト_20260130100542!C207</f>
        <v>1</v>
      </c>
      <c r="F209" s="206" t="str">
        <f>薬品マスタリスト_20260130100542!D207</f>
        <v>錠剤</v>
      </c>
      <c r="G209" s="208" t="str">
        <f>match_results!C206</f>
        <v>ガランタミンＯＤ錠１２ｍｇ「日医工」</v>
      </c>
      <c r="H209" s="208">
        <f>match_results!D206</f>
        <v>483</v>
      </c>
      <c r="I209" s="218">
        <f>match_results!E206</f>
        <v>83.3333333333333</v>
      </c>
      <c r="J209" s="225"/>
      <c r="K209" s="15" t="str">
        <f ca="1">IF($J209="〇",OFFSET(集計!B$3,合体!$H209,0),"")</f>
        <v/>
      </c>
      <c r="L209" s="15" t="str">
        <f ca="1">IF($J209="〇",OFFSET(集計!C$3,合体!$H209,0),"")</f>
        <v/>
      </c>
      <c r="M209" s="202" t="str">
        <f ca="1">IF($J209="〇",OFFSET(集計!D$3,合体!$H209,0),"")</f>
        <v/>
      </c>
    </row>
    <row r="210" spans="2:13" x14ac:dyDescent="0.2">
      <c r="B210" s="201">
        <f t="shared" si="3"/>
        <v>206</v>
      </c>
      <c r="C210" s="15" t="str">
        <f>薬品マスタリスト_20260130100542!A208</f>
        <v>ガランタミンＯＤ錠１２ｍｇ「日医工」</v>
      </c>
      <c r="D210" s="15" t="str">
        <f>薬品マスタリスト_20260130100542!B208</f>
        <v>ｶﾞﾗﾝﾀﾐﾝODｼﾞｮｳ12mg｢ﾆﾁｲｺｳ｣</v>
      </c>
      <c r="E210" s="15">
        <f>薬品マスタリスト_20260130100542!C208</f>
        <v>1</v>
      </c>
      <c r="F210" s="206" t="str">
        <f>薬品マスタリスト_20260130100542!D208</f>
        <v>錠剤</v>
      </c>
      <c r="G210" s="208" t="str">
        <f>match_results!C207</f>
        <v>ガランタミンＯＤ錠１２ｍｇ「日医工」</v>
      </c>
      <c r="H210" s="208">
        <f>match_results!D207</f>
        <v>483</v>
      </c>
      <c r="I210" s="218">
        <f>match_results!E207</f>
        <v>100</v>
      </c>
      <c r="J210" s="225" t="s">
        <v>3917</v>
      </c>
      <c r="K210" s="15">
        <f ca="1">IF($J210="〇",OFFSET(集計!B$3,合体!$H210,0),"")</f>
        <v>27.5</v>
      </c>
      <c r="L210" s="15">
        <f ca="1">IF($J210="〇",OFFSET(集計!C$3,合体!$H210,0),"")</f>
        <v>450.58823529411768</v>
      </c>
      <c r="M210" s="202">
        <f ca="1">IF($J210="〇",OFFSET(集計!D$3,合体!$H210,0),"")</f>
        <v>12391.176470588236</v>
      </c>
    </row>
    <row r="211" spans="2:13" x14ac:dyDescent="0.2">
      <c r="B211" s="201">
        <f t="shared" si="3"/>
        <v>207</v>
      </c>
      <c r="C211" s="15" t="str">
        <f>薬品マスタリスト_20260130100542!A209</f>
        <v>カリメートドライシロップ９２．５９％</v>
      </c>
      <c r="D211" s="15" t="str">
        <f>薬品マスタリスト_20260130100542!B209</f>
        <v>ｶﾘﾒ-ﾄﾄﾞﾗｲｼﾛﾂﾌﾟ92.59%</v>
      </c>
      <c r="E211" s="15">
        <f>薬品マスタリスト_20260130100542!C209</f>
        <v>3</v>
      </c>
      <c r="F211" s="206" t="str">
        <f>薬品マスタリスト_20260130100542!D209</f>
        <v>散</v>
      </c>
      <c r="G211" s="208" t="str">
        <f>match_results!C208</f>
        <v>カリメートドライシロップ</v>
      </c>
      <c r="H211" s="208">
        <f>match_results!D208</f>
        <v>245</v>
      </c>
      <c r="I211" s="218">
        <f>match_results!E208</f>
        <v>80</v>
      </c>
      <c r="J211" s="225"/>
      <c r="K211" s="15" t="str">
        <f ca="1">IF($J211="〇",OFFSET(集計!B$3,合体!$H211,0),"")</f>
        <v/>
      </c>
      <c r="L211" s="15" t="str">
        <f ca="1">IF($J211="〇",OFFSET(集計!C$3,合体!$H211,0),"")</f>
        <v/>
      </c>
      <c r="M211" s="202" t="str">
        <f ca="1">IF($J211="〇",OFFSET(集計!D$3,合体!$H211,0),"")</f>
        <v/>
      </c>
    </row>
    <row r="212" spans="2:13" x14ac:dyDescent="0.2">
      <c r="B212" s="201">
        <f t="shared" si="3"/>
        <v>208</v>
      </c>
      <c r="C212" s="15" t="str">
        <f>薬品マスタリスト_20260130100542!A210</f>
        <v>カルバマゼピン錠１００ｍｇ「アメル」</v>
      </c>
      <c r="D212" s="15" t="str">
        <f>薬品マスタリスト_20260130100542!B210</f>
        <v>ｶﾙﾊﾞﾏｾﾞﾋﾟﾝｼﾞｮｳ100mg｢ｱﾒﾙ｣</v>
      </c>
      <c r="E212" s="15">
        <f>薬品マスタリスト_20260130100542!C210</f>
        <v>1</v>
      </c>
      <c r="F212" s="206" t="str">
        <f>薬品マスタリスト_20260130100542!D210</f>
        <v>錠剤</v>
      </c>
      <c r="G212" s="208" t="str">
        <f>match_results!C209</f>
        <v>カルバマゼピン錠　１００ｍｇ「アメル」</v>
      </c>
      <c r="H212" s="208">
        <f>match_results!D209</f>
        <v>307</v>
      </c>
      <c r="I212" s="218">
        <f>match_results!E209</f>
        <v>97.297297297297305</v>
      </c>
      <c r="J212" s="225"/>
      <c r="K212" s="15" t="str">
        <f ca="1">IF($J212="〇",OFFSET(集計!B$3,合体!$H212,0),"")</f>
        <v/>
      </c>
      <c r="L212" s="15" t="str">
        <f ca="1">IF($J212="〇",OFFSET(集計!C$3,合体!$H212,0),"")</f>
        <v/>
      </c>
      <c r="M212" s="202" t="str">
        <f ca="1">IF($J212="〇",OFFSET(集計!D$3,合体!$H212,0),"")</f>
        <v/>
      </c>
    </row>
    <row r="213" spans="2:13" x14ac:dyDescent="0.2">
      <c r="B213" s="201">
        <f t="shared" si="3"/>
        <v>209</v>
      </c>
      <c r="C213" s="15" t="str">
        <f>薬品マスタリスト_20260130100542!A211</f>
        <v>カルバマゼピン錠２００ｍｇ「アメル」</v>
      </c>
      <c r="D213" s="15" t="str">
        <f>薬品マスタリスト_20260130100542!B211</f>
        <v>ｶﾙﾊﾞﾏｾﾞﾋﾟﾝｼﾞｮｳ200mg｢ｱﾒﾙ｣</v>
      </c>
      <c r="E213" s="15">
        <f>薬品マスタリスト_20260130100542!C211</f>
        <v>1</v>
      </c>
      <c r="F213" s="206" t="str">
        <f>薬品マスタリスト_20260130100542!D211</f>
        <v>錠剤</v>
      </c>
      <c r="G213" s="208" t="str">
        <f>match_results!C210</f>
        <v>カルバマゼピン錠　２００ｍｇ「アメル」</v>
      </c>
      <c r="H213" s="208">
        <f>match_results!D210</f>
        <v>429</v>
      </c>
      <c r="I213" s="218">
        <f>match_results!E210</f>
        <v>97.297297297297305</v>
      </c>
      <c r="J213" s="225"/>
      <c r="K213" s="15" t="str">
        <f ca="1">IF($J213="〇",OFFSET(集計!B$3,合体!$H213,0),"")</f>
        <v/>
      </c>
      <c r="L213" s="15" t="str">
        <f ca="1">IF($J213="〇",OFFSET(集計!C$3,合体!$H213,0),"")</f>
        <v/>
      </c>
      <c r="M213" s="202" t="str">
        <f ca="1">IF($J213="〇",OFFSET(集計!D$3,合体!$H213,0),"")</f>
        <v/>
      </c>
    </row>
    <row r="214" spans="2:13" x14ac:dyDescent="0.2">
      <c r="B214" s="201">
        <f t="shared" si="3"/>
        <v>210</v>
      </c>
      <c r="C214" s="15" t="str">
        <f>薬品マスタリスト_20260130100542!A212</f>
        <v>カルバマゼピン細粒５０％「アメル」</v>
      </c>
      <c r="D214" s="15" t="str">
        <f>薬品マスタリスト_20260130100542!B212</f>
        <v>ｶﾙﾊﾞﾏｾﾞﾋﾟﾝｻｲﾘｭｳ50%｢ｱﾒﾙ｣</v>
      </c>
      <c r="E214" s="15">
        <f>薬品マスタリスト_20260130100542!C212</f>
        <v>3</v>
      </c>
      <c r="F214" s="206" t="str">
        <f>薬品マスタリスト_20260130100542!D212</f>
        <v>散</v>
      </c>
      <c r="G214" s="208" t="str">
        <f>match_results!C211</f>
        <v>カルバマゼピン細粒５０％</v>
      </c>
      <c r="H214" s="208">
        <f>match_results!D211</f>
        <v>480</v>
      </c>
      <c r="I214" s="218">
        <f>match_results!E211</f>
        <v>82.758620689655103</v>
      </c>
      <c r="J214" s="225"/>
      <c r="K214" s="15" t="str">
        <f ca="1">IF($J214="〇",OFFSET(集計!B$3,合体!$H214,0),"")</f>
        <v/>
      </c>
      <c r="L214" s="15" t="str">
        <f ca="1">IF($J214="〇",OFFSET(集計!C$3,合体!$H214,0),"")</f>
        <v/>
      </c>
      <c r="M214" s="202" t="str">
        <f ca="1">IF($J214="〇",OFFSET(集計!D$3,合体!$H214,0),"")</f>
        <v/>
      </c>
    </row>
    <row r="215" spans="2:13" x14ac:dyDescent="0.2">
      <c r="B215" s="201">
        <f t="shared" si="3"/>
        <v>211</v>
      </c>
      <c r="C215" s="15" t="str">
        <f>薬品マスタリスト_20260130100542!A213</f>
        <v>カルビスケン錠５ｍｇ</v>
      </c>
      <c r="D215" s="15" t="str">
        <f>薬品マスタリスト_20260130100542!B213</f>
        <v>ｶﾙﾋﾞｽｹﾝｼﾞｮｳ5mg</v>
      </c>
      <c r="E215" s="15">
        <f>薬品マスタリスト_20260130100542!C213</f>
        <v>1</v>
      </c>
      <c r="F215" s="206" t="str">
        <f>薬品マスタリスト_20260130100542!D213</f>
        <v>錠剤</v>
      </c>
      <c r="G215" s="208" t="str">
        <f>match_results!C212</f>
        <v>カルボシステイン錠２５０ｍｇ</v>
      </c>
      <c r="H215" s="208">
        <f>match_results!D212</f>
        <v>381</v>
      </c>
      <c r="I215" s="218">
        <f>match_results!E212</f>
        <v>66.6666666666666</v>
      </c>
      <c r="J215" s="225"/>
      <c r="K215" s="15" t="str">
        <f ca="1">IF($J215="〇",OFFSET(集計!B$3,合体!$H215,0),"")</f>
        <v/>
      </c>
      <c r="L215" s="15" t="str">
        <f ca="1">IF($J215="〇",OFFSET(集計!C$3,合体!$H215,0),"")</f>
        <v/>
      </c>
      <c r="M215" s="202" t="str">
        <f ca="1">IF($J215="〇",OFFSET(集計!D$3,合体!$H215,0),"")</f>
        <v/>
      </c>
    </row>
    <row r="216" spans="2:13" x14ac:dyDescent="0.2">
      <c r="B216" s="201">
        <f t="shared" si="3"/>
        <v>212</v>
      </c>
      <c r="C216" s="15" t="str">
        <f>薬品マスタリスト_20260130100542!A214</f>
        <v>カルベジロール錠１０ｍｇ「サワイ」</v>
      </c>
      <c r="D216" s="15" t="str">
        <f>薬品マスタリスト_20260130100542!B214</f>
        <v>ｶﾙﾍﾞｼﾞﾛｰﾙｼﾞｮｳ10mg｢ｻﾜｲ｣</v>
      </c>
      <c r="E216" s="15">
        <f>薬品マスタリスト_20260130100542!C214</f>
        <v>1</v>
      </c>
      <c r="F216" s="206" t="str">
        <f>薬品マスタリスト_20260130100542!D214</f>
        <v>錠剤</v>
      </c>
      <c r="G216" s="208" t="str">
        <f>match_results!C213</f>
        <v>カルベジロール錠１０ｍｇ「サワイ」</v>
      </c>
      <c r="H216" s="208">
        <f>match_results!D213</f>
        <v>478</v>
      </c>
      <c r="I216" s="218">
        <f>match_results!E213</f>
        <v>100</v>
      </c>
      <c r="J216" s="225" t="s">
        <v>3917</v>
      </c>
      <c r="K216" s="15">
        <f ca="1">IF($J216="〇",OFFSET(集計!B$3,合体!$H216,0),"")</f>
        <v>9.16</v>
      </c>
      <c r="L216" s="15">
        <f ca="1">IF($J216="〇",OFFSET(集計!C$3,合体!$H216,0),"")</f>
        <v>1291.5384615384614</v>
      </c>
      <c r="M216" s="202">
        <f ca="1">IF($J216="〇",OFFSET(集計!D$3,合体!$H216,0),"")</f>
        <v>11830.492307692308</v>
      </c>
    </row>
    <row r="217" spans="2:13" x14ac:dyDescent="0.2">
      <c r="B217" s="201">
        <f t="shared" si="3"/>
        <v>213</v>
      </c>
      <c r="C217" s="15" t="str">
        <f>薬品マスタリスト_20260130100542!A215</f>
        <v>カルベジロール錠１０ｍｇ「ＤＳＥＰ」</v>
      </c>
      <c r="D217" s="15" t="str">
        <f>薬品マスタリスト_20260130100542!B215</f>
        <v>ｶﾙﾍﾞｼﾞﾛ-ﾙｼﾞﾖｳ10MGDSEP</v>
      </c>
      <c r="E217" s="15">
        <f>薬品マスタリスト_20260130100542!C215</f>
        <v>1</v>
      </c>
      <c r="F217" s="206" t="str">
        <f>薬品マスタリスト_20260130100542!D215</f>
        <v>錠剤</v>
      </c>
      <c r="G217" s="208" t="str">
        <f>match_results!C214</f>
        <v>カルベジロール錠１０ｍｇ「サワイ」</v>
      </c>
      <c r="H217" s="208">
        <f>match_results!D214</f>
        <v>478</v>
      </c>
      <c r="I217" s="218">
        <f>match_results!E214</f>
        <v>80</v>
      </c>
      <c r="J217" s="225"/>
      <c r="K217" s="15" t="str">
        <f ca="1">IF($J217="〇",OFFSET(集計!B$3,合体!$H217,0),"")</f>
        <v/>
      </c>
      <c r="L217" s="15" t="str">
        <f ca="1">IF($J217="〇",OFFSET(集計!C$3,合体!$H217,0),"")</f>
        <v/>
      </c>
      <c r="M217" s="202" t="str">
        <f ca="1">IF($J217="〇",OFFSET(集計!D$3,合体!$H217,0),"")</f>
        <v/>
      </c>
    </row>
    <row r="218" spans="2:13" x14ac:dyDescent="0.2">
      <c r="B218" s="201">
        <f t="shared" si="3"/>
        <v>214</v>
      </c>
      <c r="C218" s="15" t="str">
        <f>薬品マスタリスト_20260130100542!A216</f>
        <v>カルボシステイン錠２５０ｍｇ「トーワ」</v>
      </c>
      <c r="D218" s="15" t="str">
        <f>薬品マスタリスト_20260130100542!B216</f>
        <v>ｶﾙﾎﾞｼｽﾃｲﾝｼﾞｮｳ250mg｢ﾄｰﾜ｣</v>
      </c>
      <c r="E218" s="15">
        <f>薬品マスタリスト_20260130100542!C216</f>
        <v>1</v>
      </c>
      <c r="F218" s="206" t="str">
        <f>薬品マスタリスト_20260130100542!D216</f>
        <v>錠剤</v>
      </c>
      <c r="G218" s="208" t="str">
        <f>match_results!C215</f>
        <v>カルボシステイン錠２５０ｍｇ</v>
      </c>
      <c r="H218" s="208">
        <f>match_results!D215</f>
        <v>381</v>
      </c>
      <c r="I218" s="218">
        <f>match_results!E215</f>
        <v>84.848484848484802</v>
      </c>
      <c r="J218" s="225"/>
      <c r="K218" s="15" t="str">
        <f ca="1">IF($J218="〇",OFFSET(集計!B$3,合体!$H218,0),"")</f>
        <v/>
      </c>
      <c r="L218" s="15" t="str">
        <f ca="1">IF($J218="〇",OFFSET(集計!C$3,合体!$H218,0),"")</f>
        <v/>
      </c>
      <c r="M218" s="202" t="str">
        <f ca="1">IF($J218="〇",OFFSET(集計!D$3,合体!$H218,0),"")</f>
        <v/>
      </c>
    </row>
    <row r="219" spans="2:13" x14ac:dyDescent="0.2">
      <c r="B219" s="201">
        <f t="shared" si="3"/>
        <v>215</v>
      </c>
      <c r="C219" s="15" t="str">
        <f>薬品マスタリスト_20260130100542!A217</f>
        <v>カロナール細粒２０％</v>
      </c>
      <c r="D219" s="15" t="str">
        <f>薬品マスタリスト_20260130100542!B217</f>
        <v>ｶﾛﾅｰﾙｻｲﾘｭｳ20%</v>
      </c>
      <c r="E219" s="15">
        <f>薬品マスタリスト_20260130100542!C217</f>
        <v>3</v>
      </c>
      <c r="F219" s="206" t="str">
        <f>薬品マスタリスト_20260130100542!D217</f>
        <v>散</v>
      </c>
      <c r="G219" s="208" t="str">
        <f>match_results!C216</f>
        <v>カロナール坐剤２００</v>
      </c>
      <c r="H219" s="208">
        <f>match_results!D216</f>
        <v>237</v>
      </c>
      <c r="I219" s="218">
        <f>match_results!E216</f>
        <v>70</v>
      </c>
      <c r="J219" s="225"/>
      <c r="K219" s="15" t="str">
        <f ca="1">IF($J219="〇",OFFSET(集計!B$3,合体!$H219,0),"")</f>
        <v/>
      </c>
      <c r="L219" s="15" t="str">
        <f ca="1">IF($J219="〇",OFFSET(集計!C$3,合体!$H219,0),"")</f>
        <v/>
      </c>
      <c r="M219" s="202" t="str">
        <f ca="1">IF($J219="〇",OFFSET(集計!D$3,合体!$H219,0),"")</f>
        <v/>
      </c>
    </row>
    <row r="220" spans="2:13" x14ac:dyDescent="0.2">
      <c r="B220" s="201">
        <f t="shared" si="3"/>
        <v>216</v>
      </c>
      <c r="C220" s="15" t="str">
        <f>薬品マスタリスト_20260130100542!A218</f>
        <v>カロナール錠２００</v>
      </c>
      <c r="D220" s="15" t="str">
        <f>薬品マスタリスト_20260130100542!B218</f>
        <v>ｶﾛﾅｰﾙｼﾞｮｳ200</v>
      </c>
      <c r="E220" s="15">
        <f>薬品マスタリスト_20260130100542!C218</f>
        <v>1</v>
      </c>
      <c r="F220" s="206" t="str">
        <f>薬品マスタリスト_20260130100542!D218</f>
        <v>錠剤</v>
      </c>
      <c r="G220" s="208" t="str">
        <f>match_results!C217</f>
        <v>カロナール錠２００ｍｇ</v>
      </c>
      <c r="H220" s="208">
        <f>match_results!D217</f>
        <v>357</v>
      </c>
      <c r="I220" s="218">
        <f>match_results!E217</f>
        <v>90</v>
      </c>
      <c r="J220" s="225"/>
      <c r="K220" s="15" t="str">
        <f ca="1">IF($J220="〇",OFFSET(集計!B$3,合体!$H220,0),"")</f>
        <v/>
      </c>
      <c r="L220" s="15" t="str">
        <f ca="1">IF($J220="〇",OFFSET(集計!C$3,合体!$H220,0),"")</f>
        <v/>
      </c>
      <c r="M220" s="202" t="str">
        <f ca="1">IF($J220="〇",OFFSET(集計!D$3,合体!$H220,0),"")</f>
        <v/>
      </c>
    </row>
    <row r="221" spans="2:13" x14ac:dyDescent="0.2">
      <c r="B221" s="201">
        <f t="shared" si="3"/>
        <v>217</v>
      </c>
      <c r="C221" s="15" t="str">
        <f>薬品マスタリスト_20260130100542!A219</f>
        <v>カロナール坐剤２００</v>
      </c>
      <c r="D221" s="15" t="str">
        <f>薬品マスタリスト_20260130100542!B219</f>
        <v>ｶﾛﾅｰﾙｻﾞｻﾞｲ200</v>
      </c>
      <c r="E221" s="15">
        <f>薬品マスタリスト_20260130100542!C219</f>
        <v>12</v>
      </c>
      <c r="F221" s="206" t="str">
        <f>薬品マスタリスト_20260130100542!D219</f>
        <v>坐剤</v>
      </c>
      <c r="G221" s="208" t="str">
        <f>match_results!C218</f>
        <v>カロナール坐剤２００</v>
      </c>
      <c r="H221" s="208">
        <f>match_results!D218</f>
        <v>237</v>
      </c>
      <c r="I221" s="218">
        <f>match_results!E218</f>
        <v>100</v>
      </c>
      <c r="J221" s="225" t="s">
        <v>3917</v>
      </c>
      <c r="K221" s="15">
        <f ca="1">IF($J221="〇",OFFSET(集計!B$3,合体!$H221,0),"")</f>
        <v>28.5</v>
      </c>
      <c r="L221" s="15">
        <f ca="1">IF($J221="〇",OFFSET(集計!C$3,合体!$H221,0),"")</f>
        <v>118</v>
      </c>
      <c r="M221" s="202">
        <f ca="1">IF($J221="〇",OFFSET(集計!D$3,合体!$H221,0),"")</f>
        <v>3363</v>
      </c>
    </row>
    <row r="222" spans="2:13" x14ac:dyDescent="0.2">
      <c r="B222" s="201">
        <f t="shared" si="3"/>
        <v>218</v>
      </c>
      <c r="C222" s="15" t="str">
        <f>薬品マスタリスト_20260130100542!A220</f>
        <v>キシロカインビスカス２％</v>
      </c>
      <c r="D222" s="15" t="str">
        <f>薬品マスタリスト_20260130100542!B220</f>
        <v>ｷｼﾛｶｲﾝﾋﾞｽｶｽ2%</v>
      </c>
      <c r="E222" s="15">
        <f>薬品マスタリスト_20260130100542!C220</f>
        <v>7</v>
      </c>
      <c r="F222" s="206" t="str">
        <f>薬品マスタリスト_20260130100542!D220</f>
        <v>液（内用）</v>
      </c>
      <c r="G222" s="208" t="str">
        <f>match_results!C219</f>
        <v>キシロカイン　ビスカス２％</v>
      </c>
      <c r="H222" s="208">
        <f>match_results!D219</f>
        <v>7</v>
      </c>
      <c r="I222" s="218">
        <f>match_results!E219</f>
        <v>96</v>
      </c>
      <c r="J222" s="225"/>
      <c r="K222" s="15" t="str">
        <f ca="1">IF($J222="〇",OFFSET(集計!B$3,合体!$H222,0),"")</f>
        <v/>
      </c>
      <c r="L222" s="15" t="str">
        <f ca="1">IF($J222="〇",OFFSET(集計!C$3,合体!$H222,0),"")</f>
        <v/>
      </c>
      <c r="M222" s="202" t="str">
        <f ca="1">IF($J222="〇",OFFSET(集計!D$3,合体!$H222,0),"")</f>
        <v/>
      </c>
    </row>
    <row r="223" spans="2:13" x14ac:dyDescent="0.2">
      <c r="B223" s="201">
        <f t="shared" si="3"/>
        <v>219</v>
      </c>
      <c r="C223" s="15" t="str">
        <f>薬品マスタリスト_20260130100542!A221</f>
        <v>キシロカイン注シリンジ０．５％</v>
      </c>
      <c r="D223" s="15" t="str">
        <f>薬品マスタリスト_20260130100542!B221</f>
        <v>ｷｼﾛｶｲﾝﾁｭｳｼﾘﾝｼﾞ0.5%</v>
      </c>
      <c r="E223" s="15">
        <f>薬品マスタリスト_20260130100542!C221</f>
        <v>25</v>
      </c>
      <c r="F223" s="206" t="str">
        <f>薬品マスタリスト_20260130100542!D221</f>
        <v>注射剤</v>
      </c>
      <c r="G223" s="208" t="str">
        <f>match_results!C220</f>
        <v>キシロカイン注ポリアンプ０．５％</v>
      </c>
      <c r="H223" s="208">
        <f>match_results!D220</f>
        <v>9</v>
      </c>
      <c r="I223" s="218">
        <f>match_results!E220</f>
        <v>83.870967741935402</v>
      </c>
      <c r="J223" s="225"/>
      <c r="K223" s="15" t="str">
        <f ca="1">IF($J223="〇",OFFSET(集計!B$3,合体!$H223,0),"")</f>
        <v/>
      </c>
      <c r="L223" s="15" t="str">
        <f ca="1">IF($J223="〇",OFFSET(集計!C$3,合体!$H223,0),"")</f>
        <v/>
      </c>
      <c r="M223" s="202" t="str">
        <f ca="1">IF($J223="〇",OFFSET(集計!D$3,合体!$H223,0),"")</f>
        <v/>
      </c>
    </row>
    <row r="224" spans="2:13" x14ac:dyDescent="0.2">
      <c r="B224" s="201">
        <f t="shared" si="3"/>
        <v>220</v>
      </c>
      <c r="C224" s="15" t="str">
        <f>薬品マスタリスト_20260130100542!A222</f>
        <v>静注用キシロカイン２％</v>
      </c>
      <c r="D224" s="15" t="str">
        <f>薬品マスタリスト_20260130100542!B222</f>
        <v>ｼﾞｮｳﾁｭｳﾖｳｷｼﾛｶｲﾝ2%</v>
      </c>
      <c r="E224" s="15">
        <f>薬品マスタリスト_20260130100542!C222</f>
        <v>25</v>
      </c>
      <c r="F224" s="206" t="str">
        <f>薬品マスタリスト_20260130100542!D222</f>
        <v>注射剤</v>
      </c>
      <c r="G224" s="208" t="str">
        <f>match_results!C221</f>
        <v>静注用キシロカイン２％</v>
      </c>
      <c r="H224" s="208">
        <f>match_results!D221</f>
        <v>38</v>
      </c>
      <c r="I224" s="218">
        <f>match_results!E221</f>
        <v>100</v>
      </c>
      <c r="J224" s="225" t="s">
        <v>3917</v>
      </c>
      <c r="K224" s="15">
        <f ca="1">IF($J224="〇",OFFSET(集計!B$3,合体!$H224,0),"")</f>
        <v>107.1</v>
      </c>
      <c r="L224" s="15">
        <f ca="1">IF($J224="〇",OFFSET(集計!C$3,合体!$H224,0),"")</f>
        <v>4</v>
      </c>
      <c r="M224" s="202">
        <f ca="1">IF($J224="〇",OFFSET(集計!D$3,合体!$H224,0),"")</f>
        <v>428.4</v>
      </c>
    </row>
    <row r="225" spans="2:13" x14ac:dyDescent="0.2">
      <c r="B225" s="201">
        <f t="shared" si="3"/>
        <v>221</v>
      </c>
      <c r="C225" s="15" t="str">
        <f>薬品マスタリスト_20260130100542!A223</f>
        <v>キシロカインポンプスプレー８％</v>
      </c>
      <c r="D225" s="15" t="str">
        <f>薬品マスタリスト_20260130100542!B223</f>
        <v>ｷｼﾛｶｲﾝﾎﾟﾝﾌﾟｽﾌﾟﾚｰ8%</v>
      </c>
      <c r="E225" s="15">
        <f>薬品マスタリスト_20260130100542!C223</f>
        <v>18</v>
      </c>
      <c r="F225" s="206" t="str">
        <f>薬品マスタリスト_20260130100542!D223</f>
        <v>噴霧剤</v>
      </c>
      <c r="G225" s="208" t="str">
        <f>match_results!C222</f>
        <v>キシロカイン　ポンプスプレ－８％</v>
      </c>
      <c r="H225" s="208">
        <f>match_results!D222</f>
        <v>8</v>
      </c>
      <c r="I225" s="218">
        <f>match_results!E222</f>
        <v>90.322580645161196</v>
      </c>
      <c r="J225" s="225"/>
      <c r="K225" s="15" t="str">
        <f ca="1">IF($J225="〇",OFFSET(集計!B$3,合体!$H225,0),"")</f>
        <v/>
      </c>
      <c r="L225" s="15" t="str">
        <f ca="1">IF($J225="〇",OFFSET(集計!C$3,合体!$H225,0),"")</f>
        <v/>
      </c>
      <c r="M225" s="202" t="str">
        <f ca="1">IF($J225="〇",OFFSET(集計!D$3,合体!$H225,0),"")</f>
        <v/>
      </c>
    </row>
    <row r="226" spans="2:13" x14ac:dyDescent="0.2">
      <c r="B226" s="201">
        <f t="shared" si="3"/>
        <v>222</v>
      </c>
      <c r="C226" s="15" t="str">
        <f>薬品マスタリスト_20260130100542!A224</f>
        <v>球形吸着炭細粒「マイラン」</v>
      </c>
      <c r="D226" s="15" t="str">
        <f>薬品マスタリスト_20260130100542!B224</f>
        <v>ｷｭｳｹｲｷｭｳﾁｬｸﾀﾝｻｲﾘｭｳ｢ﾏｲﾗﾝ｣</v>
      </c>
      <c r="E226" s="15">
        <f>薬品マスタリスト_20260130100542!C224</f>
        <v>3</v>
      </c>
      <c r="F226" s="206" t="str">
        <f>薬品マスタリスト_20260130100542!D224</f>
        <v>散</v>
      </c>
      <c r="G226" s="208" t="str">
        <f>match_results!C223</f>
        <v>オランザピン細粒１％「ヨシトミ」</v>
      </c>
      <c r="H226" s="208">
        <f>match_results!D223</f>
        <v>474</v>
      </c>
      <c r="I226" s="218">
        <f>match_results!E223</f>
        <v>27.586206896551701</v>
      </c>
      <c r="J226" s="225"/>
      <c r="K226" s="15" t="str">
        <f ca="1">IF($J226="〇",OFFSET(集計!B$3,合体!$H226,0),"")</f>
        <v/>
      </c>
      <c r="L226" s="15" t="str">
        <f ca="1">IF($J226="〇",OFFSET(集計!C$3,合体!$H226,0),"")</f>
        <v/>
      </c>
      <c r="M226" s="202" t="str">
        <f ca="1">IF($J226="〇",OFFSET(集計!D$3,合体!$H226,0),"")</f>
        <v/>
      </c>
    </row>
    <row r="227" spans="2:13" x14ac:dyDescent="0.2">
      <c r="B227" s="201">
        <f t="shared" si="3"/>
        <v>223</v>
      </c>
      <c r="C227" s="15" t="str">
        <f>薬品マスタリスト_20260130100542!A225</f>
        <v>キュバール１００エアゾール</v>
      </c>
      <c r="D227" s="15" t="str">
        <f>薬品マスタリスト_20260130100542!B225</f>
        <v>ｷｭﾊﾞｰﾙ100ｴｱｿﾞｰﾙ</v>
      </c>
      <c r="E227" s="15">
        <f>薬品マスタリスト_20260130100542!C225</f>
        <v>10</v>
      </c>
      <c r="F227" s="206" t="str">
        <f>薬品マスタリスト_20260130100542!D225</f>
        <v>吸入剤</v>
      </c>
      <c r="G227" s="208" t="str">
        <f>match_results!C224</f>
        <v>キュバール１００エアゾール（大日本）　８．７ｇ</v>
      </c>
      <c r="H227" s="208">
        <f>match_results!D224</f>
        <v>120</v>
      </c>
      <c r="I227" s="218">
        <f>match_results!E224</f>
        <v>72.2222222222222</v>
      </c>
      <c r="J227" s="225"/>
      <c r="K227" s="15" t="str">
        <f ca="1">IF($J227="〇",OFFSET(集計!B$3,合体!$H227,0),"")</f>
        <v/>
      </c>
      <c r="L227" s="15" t="str">
        <f ca="1">IF($J227="〇",OFFSET(集計!C$3,合体!$H227,0),"")</f>
        <v/>
      </c>
      <c r="M227" s="202" t="str">
        <f ca="1">IF($J227="〇",OFFSET(集計!D$3,合体!$H227,0),"")</f>
        <v/>
      </c>
    </row>
    <row r="228" spans="2:13" x14ac:dyDescent="0.2">
      <c r="B228" s="201">
        <f t="shared" si="3"/>
        <v>224</v>
      </c>
      <c r="C228" s="15" t="str">
        <f>薬品マスタリスト_20260130100542!A226</f>
        <v>クアゼパム錠１５ｍｇ「アメル」</v>
      </c>
      <c r="D228" s="15" t="str">
        <f>薬品マスタリスト_20260130100542!B226</f>
        <v>ｸｱｾﾞﾊﾟﾑｼﾞｮｳ15mg｢ｱﾒﾙ｣</v>
      </c>
      <c r="E228" s="15">
        <f>薬品マスタリスト_20260130100542!C226</f>
        <v>1</v>
      </c>
      <c r="F228" s="206" t="str">
        <f>薬品マスタリスト_20260130100542!D226</f>
        <v>錠剤</v>
      </c>
      <c r="G228" s="208" t="str">
        <f>match_results!C225</f>
        <v>クアゼパム錠１５ｍｇ「アメル」</v>
      </c>
      <c r="H228" s="208">
        <f>match_results!D225</f>
        <v>176</v>
      </c>
      <c r="I228" s="218">
        <f>match_results!E225</f>
        <v>100</v>
      </c>
      <c r="J228" s="225" t="s">
        <v>3917</v>
      </c>
      <c r="K228" s="15">
        <f ca="1">IF($J228="〇",OFFSET(集計!B$3,合体!$H228,0),"")</f>
        <v>20.58</v>
      </c>
      <c r="L228" s="15">
        <f ca="1">IF($J228="〇",OFFSET(集計!C$3,合体!$H228,0),"")</f>
        <v>121</v>
      </c>
      <c r="M228" s="202">
        <f ca="1">IF($J228="〇",OFFSET(集計!D$3,合体!$H228,0),"")</f>
        <v>2490.1799999999998</v>
      </c>
    </row>
    <row r="229" spans="2:13" x14ac:dyDescent="0.2">
      <c r="B229" s="201">
        <f t="shared" si="3"/>
        <v>225</v>
      </c>
      <c r="C229" s="15" t="str">
        <f>薬品マスタリスト_20260130100542!A227</f>
        <v>空包</v>
      </c>
      <c r="D229" s="15" t="str">
        <f>薬品マスタリスト_20260130100542!B227</f>
        <v>空ﾎｳ</v>
      </c>
      <c r="E229" s="15">
        <f>薬品マスタリスト_20260130100542!C227</f>
        <v>24</v>
      </c>
      <c r="F229" s="206" t="str">
        <f>薬品マスタリスト_20260130100542!D227</f>
        <v>その他</v>
      </c>
      <c r="G229" s="208" t="str">
        <f>match_results!C226</f>
        <v>エビリファイ内用液分包３ｍｇ</v>
      </c>
      <c r="H229" s="208">
        <f>match_results!D226</f>
        <v>344</v>
      </c>
      <c r="I229" s="218">
        <f>match_results!E226</f>
        <v>12.5</v>
      </c>
      <c r="J229" s="225"/>
      <c r="K229" s="15" t="str">
        <f ca="1">IF($J229="〇",OFFSET(集計!B$3,合体!$H229,0),"")</f>
        <v/>
      </c>
      <c r="L229" s="15" t="str">
        <f ca="1">IF($J229="〇",OFFSET(集計!C$3,合体!$H229,0),"")</f>
        <v/>
      </c>
      <c r="M229" s="202" t="str">
        <f ca="1">IF($J229="〇",OFFSET(集計!D$3,合体!$H229,0),"")</f>
        <v/>
      </c>
    </row>
    <row r="230" spans="2:13" x14ac:dyDescent="0.2">
      <c r="B230" s="201">
        <f t="shared" si="3"/>
        <v>226</v>
      </c>
      <c r="C230" s="15" t="str">
        <f>薬品マスタリスト_20260130100542!A228</f>
        <v>クエチアピン錠１２．５ｍｇ「アメル」</v>
      </c>
      <c r="D230" s="15" t="str">
        <f>薬品マスタリスト_20260130100542!B228</f>
        <v>ｸｴﾁｱﾋﾟﾝｼﾞｮｳ12.5mg｢ｱﾒﾙ｣</v>
      </c>
      <c r="E230" s="15">
        <f>薬品マスタリスト_20260130100542!C228</f>
        <v>1</v>
      </c>
      <c r="F230" s="206" t="str">
        <f>薬品マスタリスト_20260130100542!D228</f>
        <v>錠剤</v>
      </c>
      <c r="G230" s="208" t="str">
        <f>match_results!C227</f>
        <v>クエチアピン錠１２．５ｍｇ</v>
      </c>
      <c r="H230" s="208">
        <f>match_results!D227</f>
        <v>418</v>
      </c>
      <c r="I230" s="218">
        <f>match_results!E227</f>
        <v>83.870967741935402</v>
      </c>
      <c r="J230" s="225"/>
      <c r="K230" s="15" t="str">
        <f ca="1">IF($J230="〇",OFFSET(集計!B$3,合体!$H230,0),"")</f>
        <v/>
      </c>
      <c r="L230" s="15" t="str">
        <f ca="1">IF($J230="〇",OFFSET(集計!C$3,合体!$H230,0),"")</f>
        <v/>
      </c>
      <c r="M230" s="202" t="str">
        <f ca="1">IF($J230="〇",OFFSET(集計!D$3,合体!$H230,0),"")</f>
        <v/>
      </c>
    </row>
    <row r="231" spans="2:13" x14ac:dyDescent="0.2">
      <c r="B231" s="201">
        <f t="shared" si="3"/>
        <v>227</v>
      </c>
      <c r="C231" s="15" t="str">
        <f>薬品マスタリスト_20260130100542!A229</f>
        <v>クエチアピン錠２５ｍｇ「アメル」</v>
      </c>
      <c r="D231" s="15" t="str">
        <f>薬品マスタリスト_20260130100542!B229</f>
        <v>ｸｴﾁｱﾋﾟﾝｼﾞｮｳ25mg｢ｱﾒﾙ｣</v>
      </c>
      <c r="E231" s="15">
        <f>薬品マスタリスト_20260130100542!C229</f>
        <v>1</v>
      </c>
      <c r="F231" s="206" t="str">
        <f>薬品マスタリスト_20260130100542!D229</f>
        <v>錠剤</v>
      </c>
      <c r="G231" s="208" t="str">
        <f>match_results!C228</f>
        <v>クエチアピン錠２５ｍｇ</v>
      </c>
      <c r="H231" s="208">
        <f>match_results!D228</f>
        <v>519</v>
      </c>
      <c r="I231" s="218">
        <f>match_results!E228</f>
        <v>81.481481481481495</v>
      </c>
      <c r="J231" s="225"/>
      <c r="K231" s="15" t="str">
        <f ca="1">IF($J231="〇",OFFSET(集計!B$3,合体!$H231,0),"")</f>
        <v/>
      </c>
      <c r="L231" s="15" t="str">
        <f ca="1">IF($J231="〇",OFFSET(集計!C$3,合体!$H231,0),"")</f>
        <v/>
      </c>
      <c r="M231" s="202" t="str">
        <f ca="1">IF($J231="〇",OFFSET(集計!D$3,合体!$H231,0),"")</f>
        <v/>
      </c>
    </row>
    <row r="232" spans="2:13" x14ac:dyDescent="0.2">
      <c r="B232" s="201">
        <f t="shared" si="3"/>
        <v>228</v>
      </c>
      <c r="C232" s="15" t="str">
        <f>薬品マスタリスト_20260130100542!A230</f>
        <v>クエチアピン錠１００ｍｇ「アメル」</v>
      </c>
      <c r="D232" s="15" t="str">
        <f>薬品マスタリスト_20260130100542!B230</f>
        <v>ｸｴﾁｱﾋﾟﾝｼﾞｮｳ100mg｢ｱﾒﾙ｣</v>
      </c>
      <c r="E232" s="15">
        <f>薬品マスタリスト_20260130100542!C230</f>
        <v>1</v>
      </c>
      <c r="F232" s="206" t="str">
        <f>薬品マスタリスト_20260130100542!D230</f>
        <v>錠剤</v>
      </c>
      <c r="G232" s="208" t="str">
        <f>match_results!C229</f>
        <v>クエチアピン錠１００ｍｇ</v>
      </c>
      <c r="H232" s="208">
        <f>match_results!D229</f>
        <v>607</v>
      </c>
      <c r="I232" s="218">
        <f>match_results!E229</f>
        <v>82.758620689655103</v>
      </c>
      <c r="J232" s="225"/>
      <c r="K232" s="15" t="str">
        <f ca="1">IF($J232="〇",OFFSET(集計!B$3,合体!$H232,0),"")</f>
        <v/>
      </c>
      <c r="L232" s="15" t="str">
        <f ca="1">IF($J232="〇",OFFSET(集計!C$3,合体!$H232,0),"")</f>
        <v/>
      </c>
      <c r="M232" s="202" t="str">
        <f ca="1">IF($J232="〇",OFFSET(集計!D$3,合体!$H232,0),"")</f>
        <v/>
      </c>
    </row>
    <row r="233" spans="2:13" x14ac:dyDescent="0.2">
      <c r="B233" s="201">
        <f t="shared" si="3"/>
        <v>229</v>
      </c>
      <c r="C233" s="15" t="str">
        <f>薬品マスタリスト_20260130100542!A231</f>
        <v>クエチアピン錠２００ｍｇ「アメル」</v>
      </c>
      <c r="D233" s="15" t="str">
        <f>薬品マスタリスト_20260130100542!B231</f>
        <v>ｸｴﾁｱﾋﾟﾝｼﾞｮｳ200mg｢ｱﾒﾙ｣</v>
      </c>
      <c r="E233" s="15">
        <f>薬品マスタリスト_20260130100542!C231</f>
        <v>1</v>
      </c>
      <c r="F233" s="206" t="str">
        <f>薬品マスタリスト_20260130100542!D231</f>
        <v>錠剤</v>
      </c>
      <c r="G233" s="208" t="str">
        <f>match_results!C230</f>
        <v>クエチアピン錠２００ｍｇ</v>
      </c>
      <c r="H233" s="208">
        <f>match_results!D230</f>
        <v>596</v>
      </c>
      <c r="I233" s="218">
        <f>match_results!E230</f>
        <v>82.758620689655103</v>
      </c>
      <c r="J233" s="225"/>
      <c r="K233" s="15" t="str">
        <f ca="1">IF($J233="〇",OFFSET(集計!B$3,合体!$H233,0),"")</f>
        <v/>
      </c>
      <c r="L233" s="15" t="str">
        <f ca="1">IF($J233="〇",OFFSET(集計!C$3,合体!$H233,0),"")</f>
        <v/>
      </c>
      <c r="M233" s="202" t="str">
        <f ca="1">IF($J233="〇",OFFSET(集計!D$3,合体!$H233,0),"")</f>
        <v/>
      </c>
    </row>
    <row r="234" spans="2:13" x14ac:dyDescent="0.2">
      <c r="B234" s="201">
        <f t="shared" si="3"/>
        <v>230</v>
      </c>
      <c r="C234" s="15" t="str">
        <f>薬品マスタリスト_20260130100542!A232</f>
        <v>クエチアピン細粒５０％「アメル」</v>
      </c>
      <c r="D234" s="15" t="str">
        <f>薬品マスタリスト_20260130100542!B232</f>
        <v>ｸｴﾁｱﾋﾟﾝｻｲﾘｭｳ50%｢ｱﾒﾙ｣</v>
      </c>
      <c r="E234" s="15">
        <f>薬品マスタリスト_20260130100542!C232</f>
        <v>3</v>
      </c>
      <c r="F234" s="206" t="str">
        <f>薬品マスタリスト_20260130100542!D232</f>
        <v>散</v>
      </c>
      <c r="G234" s="208" t="str">
        <f>match_results!C231</f>
        <v>クエチアピン細粒５０％</v>
      </c>
      <c r="H234" s="208">
        <f>match_results!D231</f>
        <v>540</v>
      </c>
      <c r="I234" s="218">
        <f>match_results!E231</f>
        <v>81.481481481481495</v>
      </c>
      <c r="J234" s="225"/>
      <c r="K234" s="15" t="str">
        <f ca="1">IF($J234="〇",OFFSET(集計!B$3,合体!$H234,0),"")</f>
        <v/>
      </c>
      <c r="L234" s="15" t="str">
        <f ca="1">IF($J234="〇",OFFSET(集計!C$3,合体!$H234,0),"")</f>
        <v/>
      </c>
      <c r="M234" s="202" t="str">
        <f ca="1">IF($J234="〇",OFFSET(集計!D$3,合体!$H234,0),"")</f>
        <v/>
      </c>
    </row>
    <row r="235" spans="2:13" x14ac:dyDescent="0.2">
      <c r="B235" s="201">
        <f t="shared" si="3"/>
        <v>231</v>
      </c>
      <c r="C235" s="15" t="str">
        <f>薬品マスタリスト_20260130100542!A233</f>
        <v>クービビック錠５０ｍｇ</v>
      </c>
      <c r="D235" s="15" t="str">
        <f>薬品マスタリスト_20260130100542!B233</f>
        <v>ｸ-ﾋﾞﾋﾞﾂｸｼﾞﾖｳ50MG</v>
      </c>
      <c r="E235" s="15">
        <f>薬品マスタリスト_20260130100542!C233</f>
        <v>1</v>
      </c>
      <c r="F235" s="206" t="str">
        <f>薬品マスタリスト_20260130100542!D233</f>
        <v>錠剤</v>
      </c>
      <c r="G235" s="208" t="str">
        <f>match_results!C232</f>
        <v>ク―ビビック錠５０ｍｇ</v>
      </c>
      <c r="H235" s="208">
        <f>match_results!D232</f>
        <v>386</v>
      </c>
      <c r="I235" s="218">
        <f>match_results!E232</f>
        <v>90.909090909090907</v>
      </c>
      <c r="J235" s="225"/>
      <c r="K235" s="15" t="str">
        <f ca="1">IF($J235="〇",OFFSET(集計!B$3,合体!$H235,0),"")</f>
        <v/>
      </c>
      <c r="L235" s="15" t="str">
        <f ca="1">IF($J235="〇",OFFSET(集計!C$3,合体!$H235,0),"")</f>
        <v/>
      </c>
      <c r="M235" s="202" t="str">
        <f ca="1">IF($J235="〇",OFFSET(集計!D$3,合体!$H235,0),"")</f>
        <v/>
      </c>
    </row>
    <row r="236" spans="2:13" x14ac:dyDescent="0.2">
      <c r="B236" s="201">
        <f t="shared" si="3"/>
        <v>232</v>
      </c>
      <c r="C236" s="15" t="str">
        <f>薬品マスタリスト_20260130100542!A234</f>
        <v>クービビック錠２５ｍｇ</v>
      </c>
      <c r="D236" s="15" t="str">
        <f>薬品マスタリスト_20260130100542!B234</f>
        <v>ｸ-ﾋﾞﾋﾞﾂｸｼﾞﾖｳ25MG</v>
      </c>
      <c r="E236" s="15">
        <f>薬品マスタリスト_20260130100542!C234</f>
        <v>1</v>
      </c>
      <c r="F236" s="206" t="str">
        <f>薬品マスタリスト_20260130100542!D234</f>
        <v>錠剤</v>
      </c>
      <c r="G236" s="208" t="str">
        <f>match_results!C233</f>
        <v>ク―ビビック錠５０ｍｇ</v>
      </c>
      <c r="H236" s="208">
        <f>match_results!D233</f>
        <v>386</v>
      </c>
      <c r="I236" s="218">
        <f>match_results!E233</f>
        <v>81.818181818181799</v>
      </c>
      <c r="J236" s="225"/>
      <c r="K236" s="15" t="str">
        <f ca="1">IF($J236="〇",OFFSET(集計!B$3,合体!$H236,0),"")</f>
        <v/>
      </c>
      <c r="L236" s="15" t="str">
        <f ca="1">IF($J236="〇",OFFSET(集計!C$3,合体!$H236,0),"")</f>
        <v/>
      </c>
      <c r="M236" s="202" t="str">
        <f ca="1">IF($J236="〇",OFFSET(集計!D$3,合体!$H236,0),"")</f>
        <v/>
      </c>
    </row>
    <row r="237" spans="2:13" x14ac:dyDescent="0.2">
      <c r="B237" s="201">
        <f t="shared" si="3"/>
        <v>233</v>
      </c>
      <c r="C237" s="15" t="str">
        <f>薬品マスタリスト_20260130100542!A235</f>
        <v>グーフィス錠５ｍｇ</v>
      </c>
      <c r="D237" s="15" t="str">
        <f>薬品マスタリスト_20260130100542!B235</f>
        <v>ｸﾞｰﾌｨｽｼﾞｮｳ5mg</v>
      </c>
      <c r="E237" s="15">
        <f>薬品マスタリスト_20260130100542!C235</f>
        <v>1</v>
      </c>
      <c r="F237" s="206" t="str">
        <f>薬品マスタリスト_20260130100542!D235</f>
        <v>錠剤</v>
      </c>
      <c r="G237" s="208" t="str">
        <f>match_results!C234</f>
        <v>グーフィス錠５ｍｇ</v>
      </c>
      <c r="H237" s="208">
        <f>match_results!D234</f>
        <v>638</v>
      </c>
      <c r="I237" s="218">
        <f>match_results!E234</f>
        <v>100</v>
      </c>
      <c r="J237" s="225" t="s">
        <v>3917</v>
      </c>
      <c r="K237" s="15">
        <f ca="1">IF($J237="〇",OFFSET(集計!B$3,合体!$H237,0),"")</f>
        <v>72.8</v>
      </c>
      <c r="L237" s="15">
        <f ca="1">IF($J237="〇",OFFSET(集計!C$3,合体!$H237,0),"")</f>
        <v>874.4545454545455</v>
      </c>
      <c r="M237" s="202">
        <f ca="1">IF($J237="〇",OFFSET(集計!D$3,合体!$H237,0),"")</f>
        <v>63660.290909090909</v>
      </c>
    </row>
    <row r="238" spans="2:13" x14ac:dyDescent="0.2">
      <c r="B238" s="201">
        <f t="shared" si="3"/>
        <v>234</v>
      </c>
      <c r="C238" s="15" t="str">
        <f>薬品マスタリスト_20260130100542!A236</f>
        <v>グラアルファ配合点眼液</v>
      </c>
      <c r="D238" s="15" t="str">
        <f>薬品マスタリスト_20260130100542!B236</f>
        <v>ｸﾞﾗｱﾙﾌｱﾊｲｺﾞｳﾃﾝｶﾞﾝｴｷ</v>
      </c>
      <c r="E238" s="15">
        <f>薬品マスタリスト_20260130100542!C236</f>
        <v>21</v>
      </c>
      <c r="F238" s="206" t="str">
        <f>薬品マスタリスト_20260130100542!D236</f>
        <v>点眼剤</v>
      </c>
      <c r="G238" s="208" t="str">
        <f>match_results!C235</f>
        <v>グラアルファ配合点眼液　５ｍｌ／本</v>
      </c>
      <c r="H238" s="208">
        <f>match_results!D235</f>
        <v>181</v>
      </c>
      <c r="I238" s="218">
        <f>match_results!E235</f>
        <v>78.571428571428498</v>
      </c>
      <c r="J238" s="225"/>
      <c r="K238" s="15" t="str">
        <f ca="1">IF($J238="〇",OFFSET(集計!B$3,合体!$H238,0),"")</f>
        <v/>
      </c>
      <c r="L238" s="15" t="str">
        <f ca="1">IF($J238="〇",OFFSET(集計!C$3,合体!$H238,0),"")</f>
        <v/>
      </c>
      <c r="M238" s="202" t="str">
        <f ca="1">IF($J238="〇",OFFSET(集計!D$3,合体!$H238,0),"")</f>
        <v/>
      </c>
    </row>
    <row r="239" spans="2:13" x14ac:dyDescent="0.2">
      <c r="B239" s="201">
        <f t="shared" si="3"/>
        <v>235</v>
      </c>
      <c r="C239" s="15" t="str">
        <f>薬品マスタリスト_20260130100542!A237</f>
        <v>グラクティブ錠５０ｍｇ</v>
      </c>
      <c r="D239" s="15" t="str">
        <f>薬品マスタリスト_20260130100542!B237</f>
        <v>ｸﾞﾗｸﾃｨﾌﾞｼﾞｮｳ50mg</v>
      </c>
      <c r="E239" s="15">
        <f>薬品マスタリスト_20260130100542!C237</f>
        <v>1</v>
      </c>
      <c r="F239" s="206" t="str">
        <f>薬品マスタリスト_20260130100542!D237</f>
        <v>錠剤</v>
      </c>
      <c r="G239" s="208" t="str">
        <f>match_results!C236</f>
        <v>グラクティブ錠５０ｍｇ</v>
      </c>
      <c r="H239" s="208">
        <f>match_results!D236</f>
        <v>634</v>
      </c>
      <c r="I239" s="218">
        <f>match_results!E236</f>
        <v>100</v>
      </c>
      <c r="J239" s="225" t="s">
        <v>3917</v>
      </c>
      <c r="K239" s="15">
        <f ca="1">IF($J239="〇",OFFSET(集計!B$3,合体!$H239,0),"")</f>
        <v>97.24</v>
      </c>
      <c r="L239" s="15">
        <f ca="1">IF($J239="〇",OFFSET(集計!C$3,合体!$H239,0),"")</f>
        <v>600</v>
      </c>
      <c r="M239" s="202">
        <f ca="1">IF($J239="〇",OFFSET(集計!D$3,合体!$H239,0),"")</f>
        <v>58344</v>
      </c>
    </row>
    <row r="240" spans="2:13" x14ac:dyDescent="0.2">
      <c r="B240" s="201">
        <f t="shared" si="3"/>
        <v>236</v>
      </c>
      <c r="C240" s="15" t="str">
        <f>薬品マスタリスト_20260130100542!A238</f>
        <v>クラシエ葛根湯エキス細粒</v>
      </c>
      <c r="D240" s="15" t="str">
        <f>薬品マスタリスト_20260130100542!B238</f>
        <v>ｸﾗｼｴｶｯｺﾝﾄｳｴｷｽｻｲﾘｭｳ</v>
      </c>
      <c r="E240" s="15">
        <f>薬品マスタリスト_20260130100542!C238</f>
        <v>3</v>
      </c>
      <c r="F240" s="206" t="str">
        <f>薬品マスタリスト_20260130100542!D238</f>
        <v>散</v>
      </c>
      <c r="G240" s="208" t="str">
        <f>match_results!C237</f>
        <v>クラシエ葛根湯　ＥＫ－１　２．５ｇ／包</v>
      </c>
      <c r="H240" s="208">
        <f>match_results!D237</f>
        <v>456</v>
      </c>
      <c r="I240" s="218">
        <f>match_results!E237</f>
        <v>45.161290322580598</v>
      </c>
      <c r="J240" s="225"/>
      <c r="K240" s="15" t="str">
        <f ca="1">IF($J240="〇",OFFSET(集計!B$3,合体!$H240,0),"")</f>
        <v/>
      </c>
      <c r="L240" s="15" t="str">
        <f ca="1">IF($J240="〇",OFFSET(集計!C$3,合体!$H240,0),"")</f>
        <v/>
      </c>
      <c r="M240" s="202" t="str">
        <f ca="1">IF($J240="〇",OFFSET(集計!D$3,合体!$H240,0),"")</f>
        <v/>
      </c>
    </row>
    <row r="241" spans="2:13" x14ac:dyDescent="0.2">
      <c r="B241" s="201">
        <f t="shared" si="3"/>
        <v>237</v>
      </c>
      <c r="C241" s="15" t="str">
        <f>薬品マスタリスト_20260130100542!A239</f>
        <v>クラシエ黄連解毒湯エキス細粒</v>
      </c>
      <c r="D241" s="15" t="str">
        <f>薬品マスタリスト_20260130100542!B239</f>
        <v>ｸﾗｼｴｵｳﾚﾝｹﾞﾄﾞｸﾄｳｴｷｽｻｲﾘｭｳ</v>
      </c>
      <c r="E241" s="15">
        <f>薬品マスタリスト_20260130100542!C239</f>
        <v>3</v>
      </c>
      <c r="F241" s="206" t="str">
        <f>薬品マスタリスト_20260130100542!D239</f>
        <v>散</v>
      </c>
      <c r="G241" s="208" t="str">
        <f>match_results!C238</f>
        <v>クラシエ黄連解毒湯　ＫＢ－１５　３．０ｇ／包</v>
      </c>
      <c r="H241" s="208">
        <f>match_results!D238</f>
        <v>221</v>
      </c>
      <c r="I241" s="218">
        <f>match_results!E238</f>
        <v>50</v>
      </c>
      <c r="J241" s="225"/>
      <c r="K241" s="15" t="str">
        <f ca="1">IF($J241="〇",OFFSET(集計!B$3,合体!$H241,0),"")</f>
        <v/>
      </c>
      <c r="L241" s="15" t="str">
        <f ca="1">IF($J241="〇",OFFSET(集計!C$3,合体!$H241,0),"")</f>
        <v/>
      </c>
      <c r="M241" s="202" t="str">
        <f ca="1">IF($J241="〇",OFFSET(集計!D$3,合体!$H241,0),"")</f>
        <v/>
      </c>
    </row>
    <row r="242" spans="2:13" x14ac:dyDescent="0.2">
      <c r="B242" s="201">
        <f t="shared" si="3"/>
        <v>238</v>
      </c>
      <c r="C242" s="15" t="str">
        <f>薬品マスタリスト_20260130100542!A240</f>
        <v>クラシエ小青竜湯エキス細粒</v>
      </c>
      <c r="D242" s="15" t="str">
        <f>薬品マスタリスト_20260130100542!B240</f>
        <v>ｸﾗｼｴｼｮｳｾｲﾘｭｳﾄｳｴｷｽｻｲﾘｭｳ</v>
      </c>
      <c r="E242" s="15">
        <f>薬品マスタリスト_20260130100542!C240</f>
        <v>3</v>
      </c>
      <c r="F242" s="206" t="str">
        <f>薬品マスタリスト_20260130100542!D240</f>
        <v>散</v>
      </c>
      <c r="G242" s="208" t="str">
        <f>match_results!C239</f>
        <v>クラシエ小青龍湯ＥＫ－１９　２．０ｇ／包</v>
      </c>
      <c r="H242" s="208">
        <f>match_results!D239</f>
        <v>132</v>
      </c>
      <c r="I242" s="218">
        <f>match_results!E239</f>
        <v>42.424242424242401</v>
      </c>
      <c r="J242" s="225"/>
      <c r="K242" s="15" t="str">
        <f ca="1">IF($J242="〇",OFFSET(集計!B$3,合体!$H242,0),"")</f>
        <v/>
      </c>
      <c r="L242" s="15" t="str">
        <f ca="1">IF($J242="〇",OFFSET(集計!C$3,合体!$H242,0),"")</f>
        <v/>
      </c>
      <c r="M242" s="202" t="str">
        <f ca="1">IF($J242="〇",OFFSET(集計!D$3,合体!$H242,0),"")</f>
        <v/>
      </c>
    </row>
    <row r="243" spans="2:13" x14ac:dyDescent="0.2">
      <c r="B243" s="201">
        <f t="shared" si="3"/>
        <v>239</v>
      </c>
      <c r="C243" s="15" t="str">
        <f>薬品マスタリスト_20260130100542!A241</f>
        <v>クラシエ加味逍遙散料エキス細粒</v>
      </c>
      <c r="D243" s="15" t="str">
        <f>薬品マスタリスト_20260130100542!B241</f>
        <v>ｸﾗｼｴｶﾐｼｮｳﾖｳｻﾝﾘｮｳｴｷｽｻｲﾘｭｳ</v>
      </c>
      <c r="E243" s="15">
        <f>薬品マスタリスト_20260130100542!C241</f>
        <v>3</v>
      </c>
      <c r="F243" s="206" t="str">
        <f>薬品マスタリスト_20260130100542!D241</f>
        <v>散</v>
      </c>
      <c r="G243" s="208" t="str">
        <f>match_results!C240</f>
        <v>クラシエ加味逍遥散ＫＢ－２４　３．０ｇ／包</v>
      </c>
      <c r="H243" s="208">
        <f>match_results!D240</f>
        <v>315</v>
      </c>
      <c r="I243" s="218">
        <f>match_results!E240</f>
        <v>44.4444444444444</v>
      </c>
      <c r="J243" s="225"/>
      <c r="K243" s="15" t="str">
        <f ca="1">IF($J243="〇",OFFSET(集計!B$3,合体!$H243,0),"")</f>
        <v/>
      </c>
      <c r="L243" s="15" t="str">
        <f ca="1">IF($J243="〇",OFFSET(集計!C$3,合体!$H243,0),"")</f>
        <v/>
      </c>
      <c r="M243" s="202" t="str">
        <f ca="1">IF($J243="〇",OFFSET(集計!D$3,合体!$H243,0),"")</f>
        <v/>
      </c>
    </row>
    <row r="244" spans="2:13" x14ac:dyDescent="0.2">
      <c r="B244" s="201">
        <f t="shared" si="3"/>
        <v>240</v>
      </c>
      <c r="C244" s="15" t="str">
        <f>薬品マスタリスト_20260130100542!A242</f>
        <v>クラシエ猪苓湯エキス細粒</v>
      </c>
      <c r="D244" s="15" t="str">
        <f>薬品マスタリスト_20260130100542!B242</f>
        <v>ｸﾗｼｴﾁｮﾚｲﾄｳｴｷｽｻｲﾘｭｳ</v>
      </c>
      <c r="E244" s="15">
        <f>薬品マスタリスト_20260130100542!C242</f>
        <v>3</v>
      </c>
      <c r="F244" s="206" t="str">
        <f>薬品マスタリスト_20260130100542!D242</f>
        <v>散</v>
      </c>
      <c r="G244" s="208" t="str">
        <f>match_results!C241</f>
        <v>クラシエ猪苓湯ＥＫ－４０　２．０ｇ／包</v>
      </c>
      <c r="H244" s="208">
        <f>match_results!D241</f>
        <v>228</v>
      </c>
      <c r="I244" s="218">
        <f>match_results!E241</f>
        <v>45.161290322580598</v>
      </c>
      <c r="J244" s="225"/>
      <c r="K244" s="15" t="str">
        <f ca="1">IF($J244="〇",OFFSET(集計!B$3,合体!$H244,0),"")</f>
        <v/>
      </c>
      <c r="L244" s="15" t="str">
        <f ca="1">IF($J244="〇",OFFSET(集計!C$3,合体!$H244,0),"")</f>
        <v/>
      </c>
      <c r="M244" s="202" t="str">
        <f ca="1">IF($J244="〇",OFFSET(集計!D$3,合体!$H244,0),"")</f>
        <v/>
      </c>
    </row>
    <row r="245" spans="2:13" x14ac:dyDescent="0.2">
      <c r="B245" s="201">
        <f t="shared" si="3"/>
        <v>241</v>
      </c>
      <c r="C245" s="15" t="str">
        <f>薬品マスタリスト_20260130100542!A243</f>
        <v>クラシエ補中益気湯エキス細粒</v>
      </c>
      <c r="D245" s="15" t="str">
        <f>薬品マスタリスト_20260130100542!B243</f>
        <v>ｸﾗｼｴﾎﾁｭｳｴｯｷﾄｳｴｷｽｻｲﾘｭｳ</v>
      </c>
      <c r="E245" s="15">
        <f>薬品マスタリスト_20260130100542!C243</f>
        <v>3</v>
      </c>
      <c r="F245" s="206" t="str">
        <f>薬品マスタリスト_20260130100542!D243</f>
        <v>散</v>
      </c>
      <c r="G245" s="208" t="str">
        <f>match_results!C242</f>
        <v>クラシエ補中益気湯　ＫＢ－４１　３．７５ｇ／包</v>
      </c>
      <c r="H245" s="208">
        <f>match_results!D242</f>
        <v>537</v>
      </c>
      <c r="I245" s="218">
        <f>match_results!E242</f>
        <v>48.648648648648603</v>
      </c>
      <c r="J245" s="225"/>
      <c r="K245" s="15" t="str">
        <f ca="1">IF($J245="〇",OFFSET(集計!B$3,合体!$H245,0),"")</f>
        <v/>
      </c>
      <c r="L245" s="15" t="str">
        <f ca="1">IF($J245="〇",OFFSET(集計!C$3,合体!$H245,0),"")</f>
        <v/>
      </c>
      <c r="M245" s="202" t="str">
        <f ca="1">IF($J245="〇",OFFSET(集計!D$3,合体!$H245,0),"")</f>
        <v/>
      </c>
    </row>
    <row r="246" spans="2:13" x14ac:dyDescent="0.2">
      <c r="B246" s="201">
        <f t="shared" si="3"/>
        <v>242</v>
      </c>
      <c r="C246" s="15" t="str">
        <f>薬品マスタリスト_20260130100542!A244</f>
        <v>クラシエ加味帰脾湯エキス細粒</v>
      </c>
      <c r="D246" s="15" t="str">
        <f>薬品マスタリスト_20260130100542!B244</f>
        <v>ｸﾗｼｴｶﾐｷﾋﾄｳｴｷｽｻｲﾘｭｳ</v>
      </c>
      <c r="E246" s="15">
        <f>薬品マスタリスト_20260130100542!C244</f>
        <v>3</v>
      </c>
      <c r="F246" s="206" t="str">
        <f>薬品マスタリスト_20260130100542!D244</f>
        <v>散</v>
      </c>
      <c r="G246" s="208" t="str">
        <f>match_results!C243</f>
        <v>クラシエ加味逍遥散ＫＢ－２４　３．０ｇ／包</v>
      </c>
      <c r="H246" s="208">
        <f>match_results!D243</f>
        <v>315</v>
      </c>
      <c r="I246" s="218">
        <f>match_results!E243</f>
        <v>34.285714285714199</v>
      </c>
      <c r="J246" s="225"/>
      <c r="K246" s="15" t="str">
        <f ca="1">IF($J246="〇",OFFSET(集計!B$3,合体!$H246,0),"")</f>
        <v/>
      </c>
      <c r="L246" s="15" t="str">
        <f ca="1">IF($J246="〇",OFFSET(集計!C$3,合体!$H246,0),"")</f>
        <v/>
      </c>
      <c r="M246" s="202" t="str">
        <f ca="1">IF($J246="〇",OFFSET(集計!D$3,合体!$H246,0),"")</f>
        <v/>
      </c>
    </row>
    <row r="247" spans="2:13" x14ac:dyDescent="0.2">
      <c r="B247" s="201">
        <f t="shared" si="3"/>
        <v>243</v>
      </c>
      <c r="C247" s="15" t="str">
        <f>薬品マスタリスト_20260130100542!A245</f>
        <v>クラシエ人参養栄湯エキス細粒</v>
      </c>
      <c r="D247" s="15" t="str">
        <f>薬品マスタリスト_20260130100542!B245</f>
        <v>ｸﾗｼｴﾆﾝｼﾞﾝﾖｳｴｲﾄｳｴｷｽｻｲﾘﾕｳ</v>
      </c>
      <c r="E247" s="15">
        <f>薬品マスタリスト_20260130100542!C245</f>
        <v>4</v>
      </c>
      <c r="F247" s="206" t="str">
        <f>薬品マスタリスト_20260130100542!D245</f>
        <v>細粒</v>
      </c>
      <c r="G247" s="208" t="str">
        <f>match_results!C244</f>
        <v>クエチアピン細粒５０％</v>
      </c>
      <c r="H247" s="208">
        <f>match_results!D244</f>
        <v>540</v>
      </c>
      <c r="I247" s="218">
        <f>match_results!E244</f>
        <v>31.999999999999901</v>
      </c>
      <c r="J247" s="225"/>
      <c r="K247" s="15" t="str">
        <f ca="1">IF($J247="〇",OFFSET(集計!B$3,合体!$H247,0),"")</f>
        <v/>
      </c>
      <c r="L247" s="15" t="str">
        <f ca="1">IF($J247="〇",OFFSET(集計!C$3,合体!$H247,0),"")</f>
        <v/>
      </c>
      <c r="M247" s="202" t="str">
        <f ca="1">IF($J247="〇",OFFSET(集計!D$3,合体!$H247,0),"")</f>
        <v/>
      </c>
    </row>
    <row r="248" spans="2:13" x14ac:dyDescent="0.2">
      <c r="B248" s="201">
        <f t="shared" si="3"/>
        <v>244</v>
      </c>
      <c r="C248" s="15" t="str">
        <f>薬品マスタリスト_20260130100542!A246</f>
        <v>クラシエ柴苓湯エキス細粒</v>
      </c>
      <c r="D248" s="15" t="str">
        <f>薬品マスタリスト_20260130100542!B246</f>
        <v>ｸﾗｼｴｻｲﾚｲﾄｳｴｷｽｻｲﾘｭｳ</v>
      </c>
      <c r="E248" s="15">
        <f>薬品マスタリスト_20260130100542!C246</f>
        <v>3</v>
      </c>
      <c r="F248" s="206" t="str">
        <f>薬品マスタリスト_20260130100542!D246</f>
        <v>散</v>
      </c>
      <c r="G248" s="208" t="str">
        <f>match_results!C245</f>
        <v>クラシエ柴苓湯　ＥＫ－１１４　２．７ｇ／包</v>
      </c>
      <c r="H248" s="208">
        <f>match_results!D245</f>
        <v>586</v>
      </c>
      <c r="I248" s="218">
        <f>match_results!E245</f>
        <v>42.424242424242401</v>
      </c>
      <c r="J248" s="225"/>
      <c r="K248" s="15" t="str">
        <f ca="1">IF($J248="〇",OFFSET(集計!B$3,合体!$H248,0),"")</f>
        <v/>
      </c>
      <c r="L248" s="15" t="str">
        <f ca="1">IF($J248="〇",OFFSET(集計!C$3,合体!$H248,0),"")</f>
        <v/>
      </c>
      <c r="M248" s="202" t="str">
        <f ca="1">IF($J248="〇",OFFSET(集計!D$3,合体!$H248,0),"")</f>
        <v/>
      </c>
    </row>
    <row r="249" spans="2:13" x14ac:dyDescent="0.2">
      <c r="B249" s="201">
        <f t="shared" si="3"/>
        <v>245</v>
      </c>
      <c r="C249" s="15" t="str">
        <f>薬品マスタリスト_20260130100542!A247</f>
        <v>グラナテック点眼液０．４％</v>
      </c>
      <c r="D249" s="15" t="str">
        <f>薬品マスタリスト_20260130100542!B247</f>
        <v>ｸﾞﾗﾅﾃｯｸﾃﾝｶﾞﾝｴｷ0.4%</v>
      </c>
      <c r="E249" s="15">
        <f>薬品マスタリスト_20260130100542!C247</f>
        <v>21</v>
      </c>
      <c r="F249" s="206" t="str">
        <f>薬品マスタリスト_20260130100542!D247</f>
        <v>点眼剤</v>
      </c>
      <c r="G249" s="208" t="str">
        <f>match_results!C246</f>
        <v>グラナテック点眼０．４％</v>
      </c>
      <c r="H249" s="208">
        <f>match_results!D246</f>
        <v>503</v>
      </c>
      <c r="I249" s="218">
        <f>match_results!E246</f>
        <v>96</v>
      </c>
      <c r="J249" s="225"/>
      <c r="K249" s="15" t="str">
        <f ca="1">IF($J249="〇",OFFSET(集計!B$3,合体!$H249,0),"")</f>
        <v/>
      </c>
      <c r="L249" s="15" t="str">
        <f ca="1">IF($J249="〇",OFFSET(集計!C$3,合体!$H249,0),"")</f>
        <v/>
      </c>
      <c r="M249" s="202" t="str">
        <f ca="1">IF($J249="〇",OFFSET(集計!D$3,合体!$H249,0),"")</f>
        <v/>
      </c>
    </row>
    <row r="250" spans="2:13" x14ac:dyDescent="0.2">
      <c r="B250" s="201">
        <f t="shared" si="3"/>
        <v>246</v>
      </c>
      <c r="C250" s="15" t="str">
        <f>薬品マスタリスト_20260130100542!A248</f>
        <v>グラマリール錠２５ｍｇ</v>
      </c>
      <c r="D250" s="15" t="str">
        <f>薬品マスタリスト_20260130100542!B248</f>
        <v>ｸﾞﾗﾏﾘｰﾙｼﾞｮｳ25mg</v>
      </c>
      <c r="E250" s="15">
        <f>薬品マスタリスト_20260130100542!C248</f>
        <v>1</v>
      </c>
      <c r="F250" s="206" t="str">
        <f>薬品マスタリスト_20260130100542!D248</f>
        <v>錠剤</v>
      </c>
      <c r="G250" s="208" t="str">
        <f>match_results!C247</f>
        <v>グラマリール錠２５ｍｇ</v>
      </c>
      <c r="H250" s="208">
        <f>match_results!D247</f>
        <v>583</v>
      </c>
      <c r="I250" s="218">
        <f>match_results!E247</f>
        <v>100</v>
      </c>
      <c r="J250" s="225" t="s">
        <v>3917</v>
      </c>
      <c r="K250" s="15">
        <f ca="1">IF($J250="〇",OFFSET(集計!B$3,合体!$H250,0),"")</f>
        <v>12.1</v>
      </c>
      <c r="L250" s="15">
        <f ca="1">IF($J250="〇",OFFSET(集計!C$3,合体!$H250,0),"")</f>
        <v>2355.5555555555557</v>
      </c>
      <c r="M250" s="202">
        <f ca="1">IF($J250="〇",OFFSET(集計!D$3,合体!$H250,0),"")</f>
        <v>28502.222222222223</v>
      </c>
    </row>
    <row r="251" spans="2:13" x14ac:dyDescent="0.2">
      <c r="B251" s="201">
        <f t="shared" si="3"/>
        <v>247</v>
      </c>
      <c r="C251" s="15" t="str">
        <f>薬品マスタリスト_20260130100542!A249</f>
        <v>グラマリール錠５０ｍｇ</v>
      </c>
      <c r="D251" s="15" t="str">
        <f>薬品マスタリスト_20260130100542!B249</f>
        <v>ｸﾞﾗﾏﾘｰﾙｼﾞｮｳ50mg</v>
      </c>
      <c r="E251" s="15">
        <f>薬品マスタリスト_20260130100542!C249</f>
        <v>1</v>
      </c>
      <c r="F251" s="206" t="str">
        <f>薬品マスタリスト_20260130100542!D249</f>
        <v>錠剤</v>
      </c>
      <c r="G251" s="208" t="str">
        <f>match_results!C248</f>
        <v>グラマリール錠５０ｍｇ</v>
      </c>
      <c r="H251" s="208">
        <f>match_results!D248</f>
        <v>112</v>
      </c>
      <c r="I251" s="218">
        <f>match_results!E248</f>
        <v>100</v>
      </c>
      <c r="J251" s="225" t="s">
        <v>3917</v>
      </c>
      <c r="K251" s="15">
        <f ca="1">IF($J251="〇",OFFSET(集計!B$3,合体!$H251,0),"")</f>
        <v>15.59</v>
      </c>
      <c r="L251" s="15">
        <f ca="1">IF($J251="〇",OFFSET(集計!C$3,合体!$H251,0),"")</f>
        <v>100</v>
      </c>
      <c r="M251" s="202">
        <f ca="1">IF($J251="〇",OFFSET(集計!D$3,合体!$H251,0),"")</f>
        <v>1559</v>
      </c>
    </row>
    <row r="252" spans="2:13" x14ac:dyDescent="0.2">
      <c r="B252" s="201">
        <f t="shared" si="3"/>
        <v>248</v>
      </c>
      <c r="C252" s="15" t="str">
        <f>薬品マスタリスト_20260130100542!A250</f>
        <v>グラマリール細粒１０％</v>
      </c>
      <c r="D252" s="15" t="str">
        <f>薬品マスタリスト_20260130100542!B250</f>
        <v>ｸﾞﾗﾏﾘｰﾙｻｲﾘｭｳ10%</v>
      </c>
      <c r="E252" s="15">
        <f>薬品マスタリスト_20260130100542!C250</f>
        <v>3</v>
      </c>
      <c r="F252" s="206" t="str">
        <f>薬品マスタリスト_20260130100542!D250</f>
        <v>散</v>
      </c>
      <c r="G252" s="208" t="str">
        <f>match_results!C249</f>
        <v>グラマリール細粒１０％</v>
      </c>
      <c r="H252" s="208">
        <f>match_results!D249</f>
        <v>58</v>
      </c>
      <c r="I252" s="218">
        <f>match_results!E249</f>
        <v>100</v>
      </c>
      <c r="J252" s="225" t="s">
        <v>3917</v>
      </c>
      <c r="K252" s="15">
        <f ca="1">IF($J252="〇",OFFSET(集計!B$3,合体!$H252,0),"")</f>
        <v>18.97</v>
      </c>
      <c r="L252" s="15">
        <f ca="1">IF($J252="〇",OFFSET(集計!C$3,合体!$H252,0),"")</f>
        <v>37</v>
      </c>
      <c r="M252" s="202">
        <f ca="1">IF($J252="〇",OFFSET(集計!D$3,合体!$H252,0),"")</f>
        <v>701.89</v>
      </c>
    </row>
    <row r="253" spans="2:13" x14ac:dyDescent="0.2">
      <c r="B253" s="201">
        <f t="shared" si="3"/>
        <v>249</v>
      </c>
      <c r="C253" s="15" t="str">
        <f>薬品マスタリスト_20260130100542!A251</f>
        <v>クラリチン錠１０ｍｇ</v>
      </c>
      <c r="D253" s="15" t="str">
        <f>薬品マスタリスト_20260130100542!B251</f>
        <v>ｸﾗﾘﾁﾝｼﾞｮｳ10mg</v>
      </c>
      <c r="E253" s="15">
        <f>薬品マスタリスト_20260130100542!C251</f>
        <v>1</v>
      </c>
      <c r="F253" s="206" t="str">
        <f>薬品マスタリスト_20260130100542!D251</f>
        <v>錠剤</v>
      </c>
      <c r="G253" s="208" t="str">
        <f>match_results!C250</f>
        <v>トリメブチン錠１００ｍｇ</v>
      </c>
      <c r="H253" s="208">
        <f>match_results!D250</f>
        <v>364</v>
      </c>
      <c r="I253" s="218">
        <f>match_results!E250</f>
        <v>72.727272727272705</v>
      </c>
      <c r="J253" s="225"/>
      <c r="K253" s="15" t="str">
        <f ca="1">IF($J253="〇",OFFSET(集計!B$3,合体!$H253,0),"")</f>
        <v/>
      </c>
      <c r="L253" s="15" t="str">
        <f ca="1">IF($J253="〇",OFFSET(集計!C$3,合体!$H253,0),"")</f>
        <v/>
      </c>
      <c r="M253" s="202" t="str">
        <f ca="1">IF($J253="〇",OFFSET(集計!D$3,合体!$H253,0),"")</f>
        <v/>
      </c>
    </row>
    <row r="254" spans="2:13" x14ac:dyDescent="0.2">
      <c r="B254" s="201">
        <f t="shared" si="3"/>
        <v>250</v>
      </c>
      <c r="C254" s="15" t="str">
        <f>薬品マスタリスト_20260130100542!A252</f>
        <v>クラリシッド錠２００ｍｇ</v>
      </c>
      <c r="D254" s="15" t="str">
        <f>薬品マスタリスト_20260130100542!B252</f>
        <v>ｸﾗﾘｼｯﾄﾞｼﾞｮｳ200mg</v>
      </c>
      <c r="E254" s="15">
        <f>薬品マスタリスト_20260130100542!C252</f>
        <v>1</v>
      </c>
      <c r="F254" s="206" t="str">
        <f>薬品マスタリスト_20260130100542!D252</f>
        <v>錠剤</v>
      </c>
      <c r="G254" s="208" t="str">
        <f>match_results!C251</f>
        <v>クラリシッド錠２００ＭＧ</v>
      </c>
      <c r="H254" s="208">
        <f>match_results!D251</f>
        <v>558</v>
      </c>
      <c r="I254" s="218">
        <f>match_results!E251</f>
        <v>83.3333333333333</v>
      </c>
      <c r="J254" s="225"/>
      <c r="K254" s="15" t="str">
        <f ca="1">IF($J254="〇",OFFSET(集計!B$3,合体!$H254,0),"")</f>
        <v/>
      </c>
      <c r="L254" s="15" t="str">
        <f ca="1">IF($J254="〇",OFFSET(集計!C$3,合体!$H254,0),"")</f>
        <v/>
      </c>
      <c r="M254" s="202" t="str">
        <f ca="1">IF($J254="〇",OFFSET(集計!D$3,合体!$H254,0),"")</f>
        <v/>
      </c>
    </row>
    <row r="255" spans="2:13" x14ac:dyDescent="0.2">
      <c r="B255" s="201">
        <f t="shared" si="3"/>
        <v>251</v>
      </c>
      <c r="C255" s="15" t="str">
        <f>薬品マスタリスト_20260130100542!A253</f>
        <v>グランダキシン錠５０</v>
      </c>
      <c r="D255" s="15" t="str">
        <f>薬品マスタリスト_20260130100542!B253</f>
        <v>ｸﾞﾗﾝﾀﾞｷｼﾝｼﾞｮｳ50</v>
      </c>
      <c r="E255" s="15">
        <f>薬品マスタリスト_20260130100542!C253</f>
        <v>1</v>
      </c>
      <c r="F255" s="206" t="str">
        <f>薬品マスタリスト_20260130100542!D253</f>
        <v>錠剤</v>
      </c>
      <c r="G255" s="208" t="str">
        <f>match_results!C252</f>
        <v>グランダキシン錠５０ｍｇ</v>
      </c>
      <c r="H255" s="208">
        <f>match_results!D252</f>
        <v>135</v>
      </c>
      <c r="I255" s="218">
        <f>match_results!E252</f>
        <v>90.909090909090907</v>
      </c>
      <c r="J255" s="225"/>
      <c r="K255" s="15" t="str">
        <f ca="1">IF($J255="〇",OFFSET(集計!B$3,合体!$H255,0),"")</f>
        <v/>
      </c>
      <c r="L255" s="15" t="str">
        <f ca="1">IF($J255="〇",OFFSET(集計!C$3,合体!$H255,0),"")</f>
        <v/>
      </c>
      <c r="M255" s="202" t="str">
        <f ca="1">IF($J255="〇",OFFSET(集計!D$3,合体!$H255,0),"")</f>
        <v/>
      </c>
    </row>
    <row r="256" spans="2:13" x14ac:dyDescent="0.2">
      <c r="B256" s="201">
        <f t="shared" si="3"/>
        <v>252</v>
      </c>
      <c r="C256" s="15" t="str">
        <f>薬品マスタリスト_20260130100542!A254</f>
        <v>グリセオール注</v>
      </c>
      <c r="D256" s="15" t="str">
        <f>薬品マスタリスト_20260130100542!B254</f>
        <v>ｸﾞﾘｾｵｰﾙﾁｭｳ</v>
      </c>
      <c r="E256" s="15">
        <f>薬品マスタリスト_20260130100542!C254</f>
        <v>25</v>
      </c>
      <c r="F256" s="206" t="str">
        <f>薬品マスタリスト_20260130100542!D254</f>
        <v>注射剤</v>
      </c>
      <c r="G256" s="208" t="str">
        <f>match_results!C253</f>
        <v>グリセオール注　２００ｍＬＸ１０袋</v>
      </c>
      <c r="H256" s="208">
        <f>match_results!D253</f>
        <v>210</v>
      </c>
      <c r="I256" s="218">
        <f>match_results!E253</f>
        <v>58.3333333333333</v>
      </c>
      <c r="J256" s="225"/>
      <c r="K256" s="15" t="str">
        <f ca="1">IF($J256="〇",OFFSET(集計!B$3,合体!$H256,0),"")</f>
        <v/>
      </c>
      <c r="L256" s="15" t="str">
        <f ca="1">IF($J256="〇",OFFSET(集計!C$3,合体!$H256,0),"")</f>
        <v/>
      </c>
      <c r="M256" s="202" t="str">
        <f ca="1">IF($J256="〇",OFFSET(集計!D$3,合体!$H256,0),"")</f>
        <v/>
      </c>
    </row>
    <row r="257" spans="2:13" x14ac:dyDescent="0.2">
      <c r="B257" s="201">
        <f t="shared" si="3"/>
        <v>253</v>
      </c>
      <c r="C257" s="15" t="str">
        <f>薬品マスタリスト_20260130100542!A255</f>
        <v>グリセリン浣腸液５０％「ムネ」６０ｍＬ</v>
      </c>
      <c r="D257" s="15" t="str">
        <f>薬品マスタリスト_20260130100542!B255</f>
        <v>ｸﾞﾘｾﾘﾝｶﾝﾁｮｳｴｷ50%｢ﾑﾈ｣60mL</v>
      </c>
      <c r="E257" s="15">
        <f>薬品マスタリスト_20260130100542!C255</f>
        <v>13</v>
      </c>
      <c r="F257" s="206" t="str">
        <f>薬品マスタリスト_20260130100542!D255</f>
        <v>浣腸</v>
      </c>
      <c r="G257" s="208" t="str">
        <f>match_results!C254</f>
        <v>グリセリン浣腸液５０％「ムネ」６０ｍｌ</v>
      </c>
      <c r="H257" s="208">
        <f>match_results!D254</f>
        <v>556</v>
      </c>
      <c r="I257" s="218">
        <f>match_results!E254</f>
        <v>94.736842105263094</v>
      </c>
      <c r="J257" s="225"/>
      <c r="K257" s="15" t="str">
        <f ca="1">IF($J257="〇",OFFSET(集計!B$3,合体!$H257,0),"")</f>
        <v/>
      </c>
      <c r="L257" s="15" t="str">
        <f ca="1">IF($J257="〇",OFFSET(集計!C$3,合体!$H257,0),"")</f>
        <v/>
      </c>
      <c r="M257" s="202" t="str">
        <f ca="1">IF($J257="〇",OFFSET(集計!D$3,合体!$H257,0),"")</f>
        <v/>
      </c>
    </row>
    <row r="258" spans="2:13" x14ac:dyDescent="0.2">
      <c r="B258" s="201">
        <f t="shared" si="3"/>
        <v>254</v>
      </c>
      <c r="C258" s="15" t="str">
        <f>薬品マスタリスト_20260130100542!A256</f>
        <v>グリチロン配合錠</v>
      </c>
      <c r="D258" s="15" t="str">
        <f>薬品マスタリスト_20260130100542!B256</f>
        <v>ｸﾞﾘﾁﾛﾝﾊｲｺﾞｳｼﾞｮｳ</v>
      </c>
      <c r="E258" s="15">
        <f>薬品マスタリスト_20260130100542!C256</f>
        <v>1</v>
      </c>
      <c r="F258" s="206" t="str">
        <f>薬品マスタリスト_20260130100542!D256</f>
        <v>錠剤</v>
      </c>
      <c r="G258" s="208" t="str">
        <f>match_results!C255</f>
        <v>グリチロン配合錠</v>
      </c>
      <c r="H258" s="208">
        <f>match_results!D255</f>
        <v>363</v>
      </c>
      <c r="I258" s="218">
        <f>match_results!E255</f>
        <v>100</v>
      </c>
      <c r="J258" s="225" t="s">
        <v>3917</v>
      </c>
      <c r="K258" s="15">
        <f ca="1">IF($J258="〇",OFFSET(集計!B$3,合体!$H258,0),"")</f>
        <v>5.08</v>
      </c>
      <c r="L258" s="15">
        <f ca="1">IF($J258="〇",OFFSET(集計!C$3,合体!$H258,0),"")</f>
        <v>1308</v>
      </c>
      <c r="M258" s="202">
        <f ca="1">IF($J258="〇",OFFSET(集計!D$3,合体!$H258,0),"")</f>
        <v>6644.64</v>
      </c>
    </row>
    <row r="259" spans="2:13" x14ac:dyDescent="0.2">
      <c r="B259" s="201">
        <f t="shared" si="3"/>
        <v>255</v>
      </c>
      <c r="C259" s="15" t="str">
        <f>薬品マスタリスト_20260130100542!A257</f>
        <v>グリファーゲン静注２０ｍＬ</v>
      </c>
      <c r="D259" s="15" t="str">
        <f>薬品マスタリスト_20260130100542!B257</f>
        <v>ｸﾞﾘﾌｧｰｹﾞﾝｼﾞｮｳﾁｭｳ20mL</v>
      </c>
      <c r="E259" s="15">
        <f>薬品マスタリスト_20260130100542!C257</f>
        <v>25</v>
      </c>
      <c r="F259" s="206" t="str">
        <f>薬品マスタリスト_20260130100542!D257</f>
        <v>注射剤</v>
      </c>
      <c r="G259" s="208" t="str">
        <f>match_results!C256</f>
        <v>グリセオール注　２００ｍＬＸ１０袋</v>
      </c>
      <c r="H259" s="208">
        <f>match_results!D256</f>
        <v>210</v>
      </c>
      <c r="I259" s="218">
        <f>match_results!E256</f>
        <v>53.3333333333333</v>
      </c>
      <c r="J259" s="225"/>
      <c r="K259" s="15" t="str">
        <f ca="1">IF($J259="〇",OFFSET(集計!B$3,合体!$H259,0),"")</f>
        <v/>
      </c>
      <c r="L259" s="15" t="str">
        <f ca="1">IF($J259="〇",OFFSET(集計!C$3,合体!$H259,0),"")</f>
        <v/>
      </c>
      <c r="M259" s="202" t="str">
        <f ca="1">IF($J259="〇",OFFSET(集計!D$3,合体!$H259,0),"")</f>
        <v/>
      </c>
    </row>
    <row r="260" spans="2:13" x14ac:dyDescent="0.2">
      <c r="B260" s="201">
        <f t="shared" si="3"/>
        <v>256</v>
      </c>
      <c r="C260" s="15" t="str">
        <f>薬品マスタリスト_20260130100542!A258</f>
        <v>グリメピリド錠１ｍｇ「トーワ」</v>
      </c>
      <c r="D260" s="15" t="str">
        <f>薬品マスタリスト_20260130100542!B258</f>
        <v>ｸﾞﾘﾒﾋﾟﾘﾄﾞｼﾞｮｳ1mg｢ﾄｰﾜ｣</v>
      </c>
      <c r="E260" s="15">
        <f>薬品マスタリスト_20260130100542!C258</f>
        <v>1</v>
      </c>
      <c r="F260" s="206" t="str">
        <f>薬品マスタリスト_20260130100542!D258</f>
        <v>錠剤</v>
      </c>
      <c r="G260" s="208" t="str">
        <f>match_results!C257</f>
        <v>グリメピリドＯＤ錠１ｍｇ</v>
      </c>
      <c r="H260" s="208">
        <f>match_results!D257</f>
        <v>218</v>
      </c>
      <c r="I260" s="218">
        <f>match_results!E257</f>
        <v>74.074074074074005</v>
      </c>
      <c r="J260" s="225"/>
      <c r="K260" s="15" t="str">
        <f ca="1">IF($J260="〇",OFFSET(集計!B$3,合体!$H260,0),"")</f>
        <v/>
      </c>
      <c r="L260" s="15" t="str">
        <f ca="1">IF($J260="〇",OFFSET(集計!C$3,合体!$H260,0),"")</f>
        <v/>
      </c>
      <c r="M260" s="202" t="str">
        <f ca="1">IF($J260="〇",OFFSET(集計!D$3,合体!$H260,0),"")</f>
        <v/>
      </c>
    </row>
    <row r="261" spans="2:13" x14ac:dyDescent="0.2">
      <c r="B261" s="201">
        <f t="shared" si="3"/>
        <v>257</v>
      </c>
      <c r="C261" s="15" t="str">
        <f>薬品マスタリスト_20260130100542!A259</f>
        <v>グリメピリドＯＤ錠１ｍｇ「トーワ」</v>
      </c>
      <c r="D261" s="15" t="str">
        <f>薬品マスタリスト_20260130100542!B259</f>
        <v>ｸﾞﾘﾒﾋﾟﾘﾄﾞODｼﾞﾖｳ1MGﾄ-ﾜ</v>
      </c>
      <c r="E261" s="15">
        <f>薬品マスタリスト_20260130100542!C259</f>
        <v>1</v>
      </c>
      <c r="F261" s="206" t="str">
        <f>薬品マスタリスト_20260130100542!D259</f>
        <v>錠剤</v>
      </c>
      <c r="G261" s="208" t="str">
        <f>match_results!C258</f>
        <v>グリメピリドＯＤ錠１ｍｇ</v>
      </c>
      <c r="H261" s="208">
        <f>match_results!D258</f>
        <v>218</v>
      </c>
      <c r="I261" s="218">
        <f>match_results!E258</f>
        <v>82.758620689655103</v>
      </c>
      <c r="J261" s="225"/>
      <c r="K261" s="15" t="str">
        <f ca="1">IF($J261="〇",OFFSET(集計!B$3,合体!$H261,0),"")</f>
        <v/>
      </c>
      <c r="L261" s="15" t="str">
        <f ca="1">IF($J261="〇",OFFSET(集計!C$3,合体!$H261,0),"")</f>
        <v/>
      </c>
      <c r="M261" s="202" t="str">
        <f ca="1">IF($J261="〇",OFFSET(集計!D$3,合体!$H261,0),"")</f>
        <v/>
      </c>
    </row>
    <row r="262" spans="2:13" x14ac:dyDescent="0.2">
      <c r="B262" s="201">
        <f t="shared" si="3"/>
        <v>258</v>
      </c>
      <c r="C262" s="15" t="str">
        <f>薬品マスタリスト_20260130100542!A260</f>
        <v>クリンダマイシンリン酸エステル注３００ｍｇ「トーワ」</v>
      </c>
      <c r="D262" s="15" t="str">
        <f>薬品マスタリスト_20260130100542!B260</f>
        <v>ｸﾘﾝﾀﾞﾏｲｼﾝﾘﾝｻﾝｴｽﾃﾙﾁﾕｳ300MGﾄ-ﾜ</v>
      </c>
      <c r="E262" s="15">
        <f>薬品マスタリスト_20260130100542!C260</f>
        <v>25</v>
      </c>
      <c r="F262" s="206" t="str">
        <f>薬品マスタリスト_20260130100542!D260</f>
        <v>注射剤</v>
      </c>
      <c r="G262" s="208" t="str">
        <f>match_results!C259</f>
        <v>クリンダマイシンリン酸エステル注射液３００</v>
      </c>
      <c r="H262" s="208">
        <f>match_results!D259</f>
        <v>244</v>
      </c>
      <c r="I262" s="218">
        <f>match_results!E259</f>
        <v>80.851063829787194</v>
      </c>
      <c r="J262" s="225"/>
      <c r="K262" s="15" t="str">
        <f ca="1">IF($J262="〇",OFFSET(集計!B$3,合体!$H262,0),"")</f>
        <v/>
      </c>
      <c r="L262" s="15" t="str">
        <f ca="1">IF($J262="〇",OFFSET(集計!C$3,合体!$H262,0),"")</f>
        <v/>
      </c>
      <c r="M262" s="202" t="str">
        <f ca="1">IF($J262="〇",OFFSET(集計!D$3,合体!$H262,0),"")</f>
        <v/>
      </c>
    </row>
    <row r="263" spans="2:13" x14ac:dyDescent="0.2">
      <c r="B263" s="201">
        <f t="shared" ref="B263:B326" si="4">B262+1</f>
        <v>259</v>
      </c>
      <c r="C263" s="15" t="str">
        <f>薬品マスタリスト_20260130100542!A261</f>
        <v>クリンダマイシンリン酸エステル６００ｍｇ注射液</v>
      </c>
      <c r="D263" s="15" t="str">
        <f>薬品マスタリスト_20260130100542!B261</f>
        <v>ｸﾘﾝﾀﾞﾏｲｼﾝﾘﾝｻﾝｴｽﾃﾙ600MGﾁﾕｳｼﾔｴｷ</v>
      </c>
      <c r="E263" s="15">
        <f>薬品マスタリスト_20260130100542!C261</f>
        <v>25</v>
      </c>
      <c r="F263" s="206" t="str">
        <f>薬品マスタリスト_20260130100542!D261</f>
        <v>注射剤</v>
      </c>
      <c r="G263" s="208" t="str">
        <f>match_results!C260</f>
        <v>クリンダマイシンリン酸エステル注射液３００</v>
      </c>
      <c r="H263" s="208">
        <f>match_results!D260</f>
        <v>244</v>
      </c>
      <c r="I263" s="218">
        <f>match_results!E260</f>
        <v>81.818181818181799</v>
      </c>
      <c r="J263" s="225"/>
      <c r="K263" s="15" t="str">
        <f ca="1">IF($J263="〇",OFFSET(集計!B$3,合体!$H263,0),"")</f>
        <v/>
      </c>
      <c r="L263" s="15" t="str">
        <f ca="1">IF($J263="〇",OFFSET(集計!C$3,合体!$H263,0),"")</f>
        <v/>
      </c>
      <c r="M263" s="202" t="str">
        <f ca="1">IF($J263="〇",OFFSET(集計!D$3,合体!$H263,0),"")</f>
        <v/>
      </c>
    </row>
    <row r="264" spans="2:13" x14ac:dyDescent="0.2">
      <c r="B264" s="201">
        <f t="shared" si="4"/>
        <v>260</v>
      </c>
      <c r="C264" s="15" t="str">
        <f>薬品マスタリスト_20260130100542!A262</f>
        <v>クリンダマイシンリン酸エステル注射液６００ｍｇ「サワイ」</v>
      </c>
      <c r="D264" s="15" t="str">
        <f>薬品マスタリスト_20260130100542!B262</f>
        <v>ｸﾘﾝﾀﾞﾏｲｼﾝﾘﾝｻﾝｴｽﾃﾙﾁﾕｳｼﾔｴｷ600MGｻﾜｲ</v>
      </c>
      <c r="E264" s="15">
        <f>薬品マスタリスト_20260130100542!C262</f>
        <v>25</v>
      </c>
      <c r="F264" s="206" t="str">
        <f>薬品マスタリスト_20260130100542!D262</f>
        <v>注射剤</v>
      </c>
      <c r="G264" s="208" t="str">
        <f>match_results!C261</f>
        <v>クリンダマイシンリン酸エステル注射液３００</v>
      </c>
      <c r="H264" s="208">
        <f>match_results!D261</f>
        <v>244</v>
      </c>
      <c r="I264" s="218">
        <f>match_results!E261</f>
        <v>81.632653061224403</v>
      </c>
      <c r="J264" s="225"/>
      <c r="K264" s="15" t="str">
        <f ca="1">IF($J264="〇",OFFSET(集計!B$3,合体!$H264,0),"")</f>
        <v/>
      </c>
      <c r="L264" s="15" t="str">
        <f ca="1">IF($J264="〇",OFFSET(集計!C$3,合体!$H264,0),"")</f>
        <v/>
      </c>
      <c r="M264" s="202" t="str">
        <f ca="1">IF($J264="〇",OFFSET(集計!D$3,合体!$H264,0),"")</f>
        <v/>
      </c>
    </row>
    <row r="265" spans="2:13" x14ac:dyDescent="0.2">
      <c r="B265" s="201">
        <f t="shared" si="4"/>
        <v>261</v>
      </c>
      <c r="C265" s="15" t="str">
        <f>薬品マスタリスト_20260130100542!A263</f>
        <v>クレナフィン爪外用液１０％</v>
      </c>
      <c r="D265" s="15" t="str">
        <f>薬品マスタリスト_20260130100542!B263</f>
        <v>ｸﾚﾅﾌｨﾝ爪ｶﾞｲﾖｳｴｷ10%</v>
      </c>
      <c r="E265" s="15">
        <f>薬品マスタリスト_20260130100542!C263</f>
        <v>17</v>
      </c>
      <c r="F265" s="206" t="str">
        <f>薬品マスタリスト_20260130100542!D263</f>
        <v>外用液剤</v>
      </c>
      <c r="G265" s="208" t="str">
        <f>match_results!C262</f>
        <v>クレナフィン爪液</v>
      </c>
      <c r="H265" s="208">
        <f>match_results!D262</f>
        <v>496</v>
      </c>
      <c r="I265" s="218">
        <f>match_results!E262</f>
        <v>76.190476190476105</v>
      </c>
      <c r="J265" s="225"/>
      <c r="K265" s="15" t="str">
        <f ca="1">IF($J265="〇",OFFSET(集計!B$3,合体!$H265,0),"")</f>
        <v/>
      </c>
      <c r="L265" s="15" t="str">
        <f ca="1">IF($J265="〇",OFFSET(集計!C$3,合体!$H265,0),"")</f>
        <v/>
      </c>
      <c r="M265" s="202" t="str">
        <f ca="1">IF($J265="〇",OFFSET(集計!D$3,合体!$H265,0),"")</f>
        <v/>
      </c>
    </row>
    <row r="266" spans="2:13" x14ac:dyDescent="0.2">
      <c r="B266" s="201">
        <f t="shared" si="4"/>
        <v>262</v>
      </c>
      <c r="C266" s="15" t="str">
        <f>薬品マスタリスト_20260130100542!A264</f>
        <v>クレミン錠２５ｍｇ</v>
      </c>
      <c r="D266" s="15" t="str">
        <f>薬品マスタリスト_20260130100542!B264</f>
        <v>ｸﾚﾐﾝｼﾞｮｳ25mg</v>
      </c>
      <c r="E266" s="15">
        <f>薬品マスタリスト_20260130100542!C264</f>
        <v>1</v>
      </c>
      <c r="F266" s="206" t="str">
        <f>薬品マスタリスト_20260130100542!D264</f>
        <v>錠剤</v>
      </c>
      <c r="G266" s="208" t="str">
        <f>match_results!C263</f>
        <v>トレドミン錠２５ｍｇ</v>
      </c>
      <c r="H266" s="208">
        <f>match_results!D263</f>
        <v>396</v>
      </c>
      <c r="I266" s="218">
        <f>match_results!E263</f>
        <v>84.210526315789394</v>
      </c>
      <c r="J266" s="225"/>
      <c r="K266" s="15" t="str">
        <f ca="1">IF($J266="〇",OFFSET(集計!B$3,合体!$H266,0),"")</f>
        <v/>
      </c>
      <c r="L266" s="15" t="str">
        <f ca="1">IF($J266="〇",OFFSET(集計!C$3,合体!$H266,0),"")</f>
        <v/>
      </c>
      <c r="M266" s="202" t="str">
        <f ca="1">IF($J266="〇",OFFSET(集計!D$3,合体!$H266,0),"")</f>
        <v/>
      </c>
    </row>
    <row r="267" spans="2:13" x14ac:dyDescent="0.2">
      <c r="B267" s="201">
        <f t="shared" si="4"/>
        <v>263</v>
      </c>
      <c r="C267" s="15" t="str">
        <f>薬品マスタリスト_20260130100542!A265</f>
        <v>クレメジン細粒分包２ｇ</v>
      </c>
      <c r="D267" s="15" t="str">
        <f>薬品マスタリスト_20260130100542!B265</f>
        <v>ｸﾚﾒｼﾞﾝｻｲﾘｭｳﾌﾞﾝﾎﾟｳ2g</v>
      </c>
      <c r="E267" s="15">
        <f>薬品マスタリスト_20260130100542!C265</f>
        <v>3</v>
      </c>
      <c r="F267" s="206" t="str">
        <f>薬品マスタリスト_20260130100542!D265</f>
        <v>散</v>
      </c>
      <c r="G267" s="208" t="str">
        <f>match_results!C264</f>
        <v>クレメジン細粒２ｇ</v>
      </c>
      <c r="H267" s="208">
        <f>match_results!D264</f>
        <v>402</v>
      </c>
      <c r="I267" s="218">
        <f>match_results!E264</f>
        <v>90</v>
      </c>
      <c r="J267" s="225"/>
      <c r="K267" s="15" t="str">
        <f ca="1">IF($J267="〇",OFFSET(集計!B$3,合体!$H267,0),"")</f>
        <v/>
      </c>
      <c r="L267" s="15" t="str">
        <f ca="1">IF($J267="〇",OFFSET(集計!C$3,合体!$H267,0),"")</f>
        <v/>
      </c>
      <c r="M267" s="202" t="str">
        <f ca="1">IF($J267="〇",OFFSET(集計!D$3,合体!$H267,0),"")</f>
        <v/>
      </c>
    </row>
    <row r="268" spans="2:13" x14ac:dyDescent="0.2">
      <c r="B268" s="201">
        <f t="shared" si="4"/>
        <v>264</v>
      </c>
      <c r="C268" s="15" t="str">
        <f>薬品マスタリスト_20260130100542!A266</f>
        <v>クロピドグレル錠２５ｍｇ「トーワ」</v>
      </c>
      <c r="D268" s="15" t="str">
        <f>薬品マスタリスト_20260130100542!B266</f>
        <v>ｸﾛﾋﾟﾄﾞｸﾞﾚﾙｼﾞｮｳ25mg｢ﾄｰﾜ｣</v>
      </c>
      <c r="E268" s="15">
        <f>薬品マスタリスト_20260130100542!C266</f>
        <v>1</v>
      </c>
      <c r="F268" s="206" t="str">
        <f>薬品マスタリスト_20260130100542!D266</f>
        <v>錠剤</v>
      </c>
      <c r="G268" s="208" t="str">
        <f>match_results!C265</f>
        <v>クロピトグレル錠２５ｍｇ</v>
      </c>
      <c r="H268" s="208">
        <f>match_results!D265</f>
        <v>149</v>
      </c>
      <c r="I268" s="218">
        <f>match_results!E265</f>
        <v>75.862068965517196</v>
      </c>
      <c r="J268" s="225"/>
      <c r="K268" s="15" t="str">
        <f ca="1">IF($J268="〇",OFFSET(集計!B$3,合体!$H268,0),"")</f>
        <v/>
      </c>
      <c r="L268" s="15" t="str">
        <f ca="1">IF($J268="〇",OFFSET(集計!C$3,合体!$H268,0),"")</f>
        <v/>
      </c>
      <c r="M268" s="202" t="str">
        <f ca="1">IF($J268="〇",OFFSET(集計!D$3,合体!$H268,0),"")</f>
        <v/>
      </c>
    </row>
    <row r="269" spans="2:13" x14ac:dyDescent="0.2">
      <c r="B269" s="201">
        <f t="shared" si="4"/>
        <v>265</v>
      </c>
      <c r="C269" s="15" t="str">
        <f>薬品マスタリスト_20260130100542!A267</f>
        <v>クロピドグレル錠７５ｍｇ「トーワ」</v>
      </c>
      <c r="D269" s="15" t="str">
        <f>薬品マスタリスト_20260130100542!B267</f>
        <v>ｸﾛﾋﾟﾄﾞｸﾞﾚﾙｼﾞｮｳ75mg｢ﾄｰﾜ｣</v>
      </c>
      <c r="E269" s="15">
        <f>薬品マスタリスト_20260130100542!C267</f>
        <v>1</v>
      </c>
      <c r="F269" s="206" t="str">
        <f>薬品マスタリスト_20260130100542!D267</f>
        <v>錠剤</v>
      </c>
      <c r="G269" s="208" t="str">
        <f>match_results!C266</f>
        <v>クロピトグレル錠７５ｍｇ</v>
      </c>
      <c r="H269" s="208">
        <f>match_results!D266</f>
        <v>441</v>
      </c>
      <c r="I269" s="218">
        <f>match_results!E266</f>
        <v>75.862068965517196</v>
      </c>
      <c r="J269" s="225"/>
      <c r="K269" s="15" t="str">
        <f ca="1">IF($J269="〇",OFFSET(集計!B$3,合体!$H269,0),"")</f>
        <v/>
      </c>
      <c r="L269" s="15" t="str">
        <f ca="1">IF($J269="〇",OFFSET(集計!C$3,合体!$H269,0),"")</f>
        <v/>
      </c>
      <c r="M269" s="202" t="str">
        <f ca="1">IF($J269="〇",OFFSET(集計!D$3,合体!$H269,0),"")</f>
        <v/>
      </c>
    </row>
    <row r="270" spans="2:13" x14ac:dyDescent="0.2">
      <c r="B270" s="201">
        <f t="shared" si="4"/>
        <v>266</v>
      </c>
      <c r="C270" s="15" t="str">
        <f>薬品マスタリスト_20260130100542!A268</f>
        <v>クロピドグレル錠２５ｍｇ「ＪＧ」</v>
      </c>
      <c r="D270" s="15" t="str">
        <f>薬品マスタリスト_20260130100542!B268</f>
        <v>ｸﾛﾋﾟﾄﾞｸﾞﾚﾙｼﾞﾖｳ25MGJG</v>
      </c>
      <c r="E270" s="15">
        <f>薬品マスタリスト_20260130100542!C268</f>
        <v>1</v>
      </c>
      <c r="F270" s="206" t="str">
        <f>薬品マスタリスト_20260130100542!D268</f>
        <v>錠剤</v>
      </c>
      <c r="G270" s="208" t="str">
        <f>match_results!C267</f>
        <v>クロピトグレル錠２５ｍｇ</v>
      </c>
      <c r="H270" s="208">
        <f>match_results!D267</f>
        <v>149</v>
      </c>
      <c r="I270" s="218">
        <f>match_results!E267</f>
        <v>78.571428571428498</v>
      </c>
      <c r="J270" s="225"/>
      <c r="K270" s="15" t="str">
        <f ca="1">IF($J270="〇",OFFSET(集計!B$3,合体!$H270,0),"")</f>
        <v/>
      </c>
      <c r="L270" s="15" t="str">
        <f ca="1">IF($J270="〇",OFFSET(集計!C$3,合体!$H270,0),"")</f>
        <v/>
      </c>
      <c r="M270" s="202" t="str">
        <f ca="1">IF($J270="〇",OFFSET(集計!D$3,合体!$H270,0),"")</f>
        <v/>
      </c>
    </row>
    <row r="271" spans="2:13" x14ac:dyDescent="0.2">
      <c r="B271" s="201">
        <f t="shared" si="4"/>
        <v>267</v>
      </c>
      <c r="C271" s="15" t="str">
        <f>薬品マスタリスト_20260130100542!A269</f>
        <v>クロピドグレル錠７５ｍｇ「ＪＧ」</v>
      </c>
      <c r="D271" s="15" t="str">
        <f>薬品マスタリスト_20260130100542!B269</f>
        <v>ｸﾛﾋﾟﾄﾞｸﾞﾚﾙｼﾞﾖｳ75MGJG</v>
      </c>
      <c r="E271" s="15">
        <f>薬品マスタリスト_20260130100542!C269</f>
        <v>1</v>
      </c>
      <c r="F271" s="206" t="str">
        <f>薬品マスタリスト_20260130100542!D269</f>
        <v>錠剤</v>
      </c>
      <c r="G271" s="208" t="str">
        <f>match_results!C268</f>
        <v>クロピトグレル錠７５ｍｇ</v>
      </c>
      <c r="H271" s="208">
        <f>match_results!D268</f>
        <v>441</v>
      </c>
      <c r="I271" s="218">
        <f>match_results!E268</f>
        <v>78.571428571428498</v>
      </c>
      <c r="J271" s="225"/>
      <c r="K271" s="15" t="str">
        <f ca="1">IF($J271="〇",OFFSET(集計!B$3,合体!$H271,0),"")</f>
        <v/>
      </c>
      <c r="L271" s="15" t="str">
        <f ca="1">IF($J271="〇",OFFSET(集計!C$3,合体!$H271,0),"")</f>
        <v/>
      </c>
      <c r="M271" s="202" t="str">
        <f ca="1">IF($J271="〇",OFFSET(集計!D$3,合体!$H271,0),"")</f>
        <v/>
      </c>
    </row>
    <row r="272" spans="2:13" x14ac:dyDescent="0.2">
      <c r="B272" s="201">
        <f t="shared" si="4"/>
        <v>268</v>
      </c>
      <c r="C272" s="15" t="str">
        <f>薬品マスタリスト_20260130100542!A270</f>
        <v>クロフェクトン錠２５ｍｇ</v>
      </c>
      <c r="D272" s="15" t="str">
        <f>薬品マスタリスト_20260130100542!B270</f>
        <v>ｸﾛﾌｪｸﾄﾝｼﾞｮｳ25mg</v>
      </c>
      <c r="E272" s="15">
        <f>薬品マスタリスト_20260130100542!C270</f>
        <v>1</v>
      </c>
      <c r="F272" s="206" t="str">
        <f>薬品マスタリスト_20260130100542!D270</f>
        <v>錠剤</v>
      </c>
      <c r="G272" s="208" t="str">
        <f>match_results!C269</f>
        <v>クロフェクトン錠２５ｍｇ</v>
      </c>
      <c r="H272" s="208">
        <f>match_results!D269</f>
        <v>189</v>
      </c>
      <c r="I272" s="218">
        <f>match_results!E269</f>
        <v>100</v>
      </c>
      <c r="J272" s="225" t="s">
        <v>3917</v>
      </c>
      <c r="K272" s="15">
        <f ca="1">IF($J272="〇",OFFSET(集計!B$3,合体!$H272,0),"")</f>
        <v>15.77</v>
      </c>
      <c r="L272" s="15">
        <f ca="1">IF($J272="〇",OFFSET(集計!C$3,合体!$H272,0),"")</f>
        <v>166</v>
      </c>
      <c r="M272" s="202">
        <f ca="1">IF($J272="〇",OFFSET(集計!D$3,合体!$H272,0),"")</f>
        <v>2617.8199999999997</v>
      </c>
    </row>
    <row r="273" spans="2:13" x14ac:dyDescent="0.2">
      <c r="B273" s="201">
        <f t="shared" si="4"/>
        <v>269</v>
      </c>
      <c r="C273" s="15" t="str">
        <f>薬品マスタリスト_20260130100542!A271</f>
        <v>クロベタゾールプロピオン酸エステル軟膏０．０５％「イワキ」</v>
      </c>
      <c r="D273" s="15" t="str">
        <f>薬品マスタリスト_20260130100542!B271</f>
        <v>ｸﾛﾍﾞﾀｿﾞ-ﾙﾌﾟﾛﾋﾟｵﾝｻﾝｴｽﾃﾙﾅﾝｺｳ0.05%ｲﾜｷ</v>
      </c>
      <c r="E273" s="15">
        <f>薬品マスタリスト_20260130100542!C271</f>
        <v>14</v>
      </c>
      <c r="F273" s="206" t="str">
        <f>薬品マスタリスト_20260130100542!D271</f>
        <v>軟膏</v>
      </c>
      <c r="G273" s="208" t="str">
        <f>match_results!C270</f>
        <v>ビソプロロールフマル酸（０．６２５）「トーワ」</v>
      </c>
      <c r="H273" s="208">
        <f>match_results!D270</f>
        <v>139</v>
      </c>
      <c r="I273" s="218">
        <f>match_results!E270</f>
        <v>38.461538461538403</v>
      </c>
      <c r="J273" s="225"/>
      <c r="K273" s="15" t="str">
        <f ca="1">IF($J273="〇",OFFSET(集計!B$3,合体!$H273,0),"")</f>
        <v/>
      </c>
      <c r="L273" s="15" t="str">
        <f ca="1">IF($J273="〇",OFFSET(集計!C$3,合体!$H273,0),"")</f>
        <v/>
      </c>
      <c r="M273" s="202" t="str">
        <f ca="1">IF($J273="〇",OFFSET(集計!D$3,合体!$H273,0),"")</f>
        <v/>
      </c>
    </row>
    <row r="274" spans="2:13" x14ac:dyDescent="0.2">
      <c r="B274" s="201">
        <f t="shared" si="4"/>
        <v>270</v>
      </c>
      <c r="C274" s="15" t="str">
        <f>薬品マスタリスト_20260130100542!A272</f>
        <v>クロマイ腟錠１００ｍｇ</v>
      </c>
      <c r="D274" s="15" t="str">
        <f>薬品マスタリスト_20260130100542!B272</f>
        <v>ｸﾛﾏｲﾁﾂｼﾞｮｳ100mg</v>
      </c>
      <c r="E274" s="15">
        <f>薬品マスタリスト_20260130100542!C272</f>
        <v>11</v>
      </c>
      <c r="F274" s="206" t="str">
        <f>薬品マスタリスト_20260130100542!D272</f>
        <v>膣錠</v>
      </c>
      <c r="G274" s="208" t="str">
        <f>match_results!C271</f>
        <v>クロマイ膣錠１００ｍｇ　ＳＰ　１００錠</v>
      </c>
      <c r="H274" s="208">
        <f>match_results!D271</f>
        <v>239</v>
      </c>
      <c r="I274" s="218">
        <f>match_results!E271</f>
        <v>66.6666666666666</v>
      </c>
      <c r="J274" s="225"/>
      <c r="K274" s="15" t="str">
        <f ca="1">IF($J274="〇",OFFSET(集計!B$3,合体!$H274,0),"")</f>
        <v/>
      </c>
      <c r="L274" s="15" t="str">
        <f ca="1">IF($J274="〇",OFFSET(集計!C$3,合体!$H274,0),"")</f>
        <v/>
      </c>
      <c r="M274" s="202" t="str">
        <f ca="1">IF($J274="〇",OFFSET(集計!D$3,合体!$H274,0),"")</f>
        <v/>
      </c>
    </row>
    <row r="275" spans="2:13" x14ac:dyDescent="0.2">
      <c r="B275" s="201">
        <f t="shared" si="4"/>
        <v>271</v>
      </c>
      <c r="C275" s="15" t="str">
        <f>薬品マスタリスト_20260130100542!A273</f>
        <v>クロモグリク酸Ｎａ点眼液２％「トーワ」</v>
      </c>
      <c r="D275" s="15" t="str">
        <f>薬品マスタリスト_20260130100542!B273</f>
        <v>ｸﾛﾓｸﾞﾘｸｻﾝNaﾃﾝｶﾞﾝｴｷ2%｢ﾄｰﾜ｣</v>
      </c>
      <c r="E275" s="15">
        <f>薬品マスタリスト_20260130100542!C273</f>
        <v>21</v>
      </c>
      <c r="F275" s="206" t="str">
        <f>薬品マスタリスト_20260130100542!D273</f>
        <v>点眼剤</v>
      </c>
      <c r="G275" s="208" t="str">
        <f>match_results!C272</f>
        <v>クロモグリク酸Ｎａ点眼液２％　５ｍＬＸ１０</v>
      </c>
      <c r="H275" s="208">
        <f>match_results!D272</f>
        <v>130</v>
      </c>
      <c r="I275" s="218">
        <f>match_results!E272</f>
        <v>70</v>
      </c>
      <c r="J275" s="225"/>
      <c r="K275" s="15" t="str">
        <f ca="1">IF($J275="〇",OFFSET(集計!B$3,合体!$H275,0),"")</f>
        <v/>
      </c>
      <c r="L275" s="15" t="str">
        <f ca="1">IF($J275="〇",OFFSET(集計!C$3,合体!$H275,0),"")</f>
        <v/>
      </c>
      <c r="M275" s="202" t="str">
        <f ca="1">IF($J275="〇",OFFSET(集計!D$3,合体!$H275,0),"")</f>
        <v/>
      </c>
    </row>
    <row r="276" spans="2:13" x14ac:dyDescent="0.2">
      <c r="B276" s="201">
        <f t="shared" si="4"/>
        <v>272</v>
      </c>
      <c r="C276" s="15" t="str">
        <f>薬品マスタリスト_20260130100542!A274</f>
        <v>クロモグリク酸Ｎａ点眼液２％「ニッテン」</v>
      </c>
      <c r="D276" s="15" t="str">
        <f>薬品マスタリスト_20260130100542!B274</f>
        <v>ｸﾛﾓｸﾞﾘｸｻﾝNaﾃﾝｶﾞﾝｴｷ2%｢ﾆｯﾃﾝ｣</v>
      </c>
      <c r="E276" s="15">
        <f>薬品マスタリスト_20260130100542!C274</f>
        <v>21</v>
      </c>
      <c r="F276" s="206" t="str">
        <f>薬品マスタリスト_20260130100542!D274</f>
        <v>点眼剤</v>
      </c>
      <c r="G276" s="208" t="str">
        <f>match_results!C273</f>
        <v>クロモグリク酸Ｎａ点眼液２％　５ｍＬＸ１０</v>
      </c>
      <c r="H276" s="208">
        <f>match_results!D273</f>
        <v>130</v>
      </c>
      <c r="I276" s="218">
        <f>match_results!E273</f>
        <v>68.292682926829201</v>
      </c>
      <c r="J276" s="225"/>
      <c r="K276" s="15" t="str">
        <f ca="1">IF($J276="〇",OFFSET(集計!B$3,合体!$H276,0),"")</f>
        <v/>
      </c>
      <c r="L276" s="15" t="str">
        <f ca="1">IF($J276="〇",OFFSET(集計!C$3,合体!$H276,0),"")</f>
        <v/>
      </c>
      <c r="M276" s="202" t="str">
        <f ca="1">IF($J276="〇",OFFSET(集計!D$3,合体!$H276,0),"")</f>
        <v/>
      </c>
    </row>
    <row r="277" spans="2:13" x14ac:dyDescent="0.2">
      <c r="B277" s="201">
        <f t="shared" si="4"/>
        <v>273</v>
      </c>
      <c r="C277" s="15" t="str">
        <f>薬品マスタリスト_20260130100542!A275</f>
        <v>クロモグリク酸Ｎａ点鼻液２％「トーワ」</v>
      </c>
      <c r="D277" s="15" t="str">
        <f>薬品マスタリスト_20260130100542!B275</f>
        <v>ｸﾛﾓｸﾞﾘｸｻﾝNaﾃﾝﾋﾞｴｷ2%｢ﾄｰﾜ｣</v>
      </c>
      <c r="E277" s="15">
        <f>薬品マスタリスト_20260130100542!C275</f>
        <v>23</v>
      </c>
      <c r="F277" s="206" t="str">
        <f>薬品マスタリスト_20260130100542!D275</f>
        <v>点鼻薬</v>
      </c>
      <c r="G277" s="208" t="str">
        <f>match_results!C274</f>
        <v>クロモグリク酸Ｎａ点眼液２％　５ｍＬＸ１０</v>
      </c>
      <c r="H277" s="208">
        <f>match_results!D274</f>
        <v>130</v>
      </c>
      <c r="I277" s="218">
        <f>match_results!E274</f>
        <v>65</v>
      </c>
      <c r="J277" s="225"/>
      <c r="K277" s="15" t="str">
        <f ca="1">IF($J277="〇",OFFSET(集計!B$3,合体!$H277,0),"")</f>
        <v/>
      </c>
      <c r="L277" s="15" t="str">
        <f ca="1">IF($J277="〇",OFFSET(集計!C$3,合体!$H277,0),"")</f>
        <v/>
      </c>
      <c r="M277" s="202" t="str">
        <f ca="1">IF($J277="〇",OFFSET(集計!D$3,合体!$H277,0),"")</f>
        <v/>
      </c>
    </row>
    <row r="278" spans="2:13" x14ac:dyDescent="0.2">
      <c r="B278" s="201">
        <f t="shared" si="4"/>
        <v>274</v>
      </c>
      <c r="C278" s="15" t="str">
        <f>薬品マスタリスト_20260130100542!A276</f>
        <v>クロモグリク酸Ｎａ点眼液２％「ニットー」</v>
      </c>
      <c r="D278" s="15" t="str">
        <f>薬品マスタリスト_20260130100542!B276</f>
        <v>ｸﾛﾓｸﾞﾘｸｻﾝNAﾃﾝｶﾞﾝｴｷ2%ﾆﾂﾄ-</v>
      </c>
      <c r="E278" s="15">
        <f>薬品マスタリスト_20260130100542!C276</f>
        <v>21</v>
      </c>
      <c r="F278" s="206" t="str">
        <f>薬品マスタリスト_20260130100542!D276</f>
        <v>点眼剤</v>
      </c>
      <c r="G278" s="208" t="str">
        <f>match_results!C275</f>
        <v>クロモグリク酸Ｎａ点眼液２％　５ｍＬＸ１０</v>
      </c>
      <c r="H278" s="208">
        <f>match_results!D275</f>
        <v>130</v>
      </c>
      <c r="I278" s="218">
        <f>match_results!E275</f>
        <v>68.292682926829201</v>
      </c>
      <c r="J278" s="225"/>
      <c r="K278" s="15" t="str">
        <f ca="1">IF($J278="〇",OFFSET(集計!B$3,合体!$H278,0),"")</f>
        <v/>
      </c>
      <c r="L278" s="15" t="str">
        <f ca="1">IF($J278="〇",OFFSET(集計!C$3,合体!$H278,0),"")</f>
        <v/>
      </c>
      <c r="M278" s="202" t="str">
        <f ca="1">IF($J278="〇",OFFSET(集計!D$3,合体!$H278,0),"")</f>
        <v/>
      </c>
    </row>
    <row r="279" spans="2:13" x14ac:dyDescent="0.2">
      <c r="B279" s="201">
        <f t="shared" si="4"/>
        <v>275</v>
      </c>
      <c r="C279" s="15" t="str">
        <f>薬品マスタリスト_20260130100542!A277</f>
        <v>ｄ－クロルフェニラミンマレイン酸塩徐放錠６ｍｇ「武田テバ」</v>
      </c>
      <c r="D279" s="15" t="str">
        <f>薬品マスタリスト_20260130100542!B277</f>
        <v>Dｸﾛﾙﾌｴﾆﾗﾐﾝﾏﾚｲﾝｻﾝｴﾝｼﾞﾖﾎｳｼﾞﾖｳ6MGﾀｹﾀﾞﾃﾊﾞ</v>
      </c>
      <c r="E279" s="15">
        <f>薬品マスタリスト_20260130100542!C277</f>
        <v>1</v>
      </c>
      <c r="F279" s="206" t="str">
        <f>薬品マスタリスト_20260130100542!D277</f>
        <v>錠剤</v>
      </c>
      <c r="G279" s="208" t="str">
        <f>match_results!C276</f>
        <v>クロフェクトン錠２５ｍｇ</v>
      </c>
      <c r="H279" s="208">
        <f>match_results!D276</f>
        <v>189</v>
      </c>
      <c r="I279" s="218">
        <f>match_results!E276</f>
        <v>39.024390243902403</v>
      </c>
      <c r="J279" s="225"/>
      <c r="K279" s="15" t="str">
        <f ca="1">IF($J279="〇",OFFSET(集計!B$3,合体!$H279,0),"")</f>
        <v/>
      </c>
      <c r="L279" s="15" t="str">
        <f ca="1">IF($J279="〇",OFFSET(集計!C$3,合体!$H279,0),"")</f>
        <v/>
      </c>
      <c r="M279" s="202" t="str">
        <f ca="1">IF($J279="〇",OFFSET(集計!D$3,合体!$H279,0),"")</f>
        <v/>
      </c>
    </row>
    <row r="280" spans="2:13" x14ac:dyDescent="0.2">
      <c r="B280" s="201">
        <f t="shared" si="4"/>
        <v>276</v>
      </c>
      <c r="C280" s="15" t="str">
        <f>薬品マスタリスト_20260130100542!A278</f>
        <v>ケイツーＮ静注１０ｍｇ</v>
      </c>
      <c r="D280" s="15" t="str">
        <f>薬品マスタリスト_20260130100542!B278</f>
        <v>ｹｲﾂｰNｼﾞｮｳﾁｭｳ10mg</v>
      </c>
      <c r="E280" s="15">
        <f>薬品マスタリスト_20260130100542!C278</f>
        <v>25</v>
      </c>
      <c r="F280" s="206" t="str">
        <f>薬品マスタリスト_20260130100542!D278</f>
        <v>注射剤</v>
      </c>
      <c r="G280" s="208" t="str">
        <f>match_results!C277</f>
        <v>ケイツーＮ静注１０ｍｇ　２ｍＬＸ１０管</v>
      </c>
      <c r="H280" s="208">
        <f>match_results!D277</f>
        <v>46</v>
      </c>
      <c r="I280" s="218">
        <f>match_results!E277</f>
        <v>73.3333333333333</v>
      </c>
      <c r="J280" s="225"/>
      <c r="K280" s="15" t="str">
        <f ca="1">IF($J280="〇",OFFSET(集計!B$3,合体!$H280,0),"")</f>
        <v/>
      </c>
      <c r="L280" s="15" t="str">
        <f ca="1">IF($J280="〇",OFFSET(集計!C$3,合体!$H280,0),"")</f>
        <v/>
      </c>
      <c r="M280" s="202" t="str">
        <f ca="1">IF($J280="〇",OFFSET(集計!D$3,合体!$H280,0),"")</f>
        <v/>
      </c>
    </row>
    <row r="281" spans="2:13" x14ac:dyDescent="0.2">
      <c r="B281" s="201">
        <f t="shared" si="4"/>
        <v>277</v>
      </c>
      <c r="C281" s="15" t="str">
        <f>薬品マスタリスト_20260130100542!A279</f>
        <v>ケトチフェン点鼻液０．０５％「サワイ」</v>
      </c>
      <c r="D281" s="15" t="str">
        <f>薬品マスタリスト_20260130100542!B279</f>
        <v>ｹﾄﾁﾌｪﾝﾃﾝﾋﾞｴｷ0.05%｢ｻﾜｲ｣</v>
      </c>
      <c r="E281" s="15">
        <f>薬品マスタリスト_20260130100542!C279</f>
        <v>23</v>
      </c>
      <c r="F281" s="206" t="str">
        <f>薬品マスタリスト_20260130100542!D279</f>
        <v>点鼻薬</v>
      </c>
      <c r="G281" s="208" t="str">
        <f>match_results!C278</f>
        <v>ケトチフェン点鼻液</v>
      </c>
      <c r="H281" s="208">
        <f>match_results!D278</f>
        <v>100</v>
      </c>
      <c r="I281" s="218">
        <f>match_results!E278</f>
        <v>64.285714285714207</v>
      </c>
      <c r="J281" s="225"/>
      <c r="K281" s="15" t="str">
        <f ca="1">IF($J281="〇",OFFSET(集計!B$3,合体!$H281,0),"")</f>
        <v/>
      </c>
      <c r="L281" s="15" t="str">
        <f ca="1">IF($J281="〇",OFFSET(集計!C$3,合体!$H281,0),"")</f>
        <v/>
      </c>
      <c r="M281" s="202" t="str">
        <f ca="1">IF($J281="〇",OFFSET(集計!D$3,合体!$H281,0),"")</f>
        <v/>
      </c>
    </row>
    <row r="282" spans="2:13" x14ac:dyDescent="0.2">
      <c r="B282" s="201">
        <f t="shared" si="4"/>
        <v>278</v>
      </c>
      <c r="C282" s="15" t="str">
        <f>薬品マスタリスト_20260130100542!A280</f>
        <v>ケトプロフェンパップ３０ｍｇ「三和」</v>
      </c>
      <c r="D282" s="15" t="str">
        <f>薬品マスタリスト_20260130100542!B280</f>
        <v>ｹﾄﾌﾟﾛﾌｪﾝﾊﾟｯﾌﾟ30mg｢ｻﾝﾜ｣</v>
      </c>
      <c r="E282" s="15">
        <f>薬品マスタリスト_20260130100542!C280</f>
        <v>19</v>
      </c>
      <c r="F282" s="206" t="str">
        <f>薬品マスタリスト_20260130100542!D280</f>
        <v>貼付剤</v>
      </c>
      <c r="G282" s="208" t="str">
        <f>match_results!C279</f>
        <v>ケトプロフェンパップ３０（７枚入）</v>
      </c>
      <c r="H282" s="208">
        <f>match_results!D279</f>
        <v>460</v>
      </c>
      <c r="I282" s="218">
        <f>match_results!E279</f>
        <v>68.571428571428498</v>
      </c>
      <c r="J282" s="225"/>
      <c r="K282" s="15" t="str">
        <f ca="1">IF($J282="〇",OFFSET(集計!B$3,合体!$H282,0),"")</f>
        <v/>
      </c>
      <c r="L282" s="15" t="str">
        <f ca="1">IF($J282="〇",OFFSET(集計!C$3,合体!$H282,0),"")</f>
        <v/>
      </c>
      <c r="M282" s="202" t="str">
        <f ca="1">IF($J282="〇",OFFSET(集計!D$3,合体!$H282,0),"")</f>
        <v/>
      </c>
    </row>
    <row r="283" spans="2:13" x14ac:dyDescent="0.2">
      <c r="B283" s="201">
        <f t="shared" si="4"/>
        <v>279</v>
      </c>
      <c r="C283" s="15" t="str">
        <f>薬品マスタリスト_20260130100542!A281</f>
        <v>ケフラールカプセル２５０ｍｇ</v>
      </c>
      <c r="D283" s="15" t="str">
        <f>薬品マスタリスト_20260130100542!B281</f>
        <v>ｹﾌﾗｰﾙｶﾌﾟｾﾙ250mg</v>
      </c>
      <c r="E283" s="15">
        <f>薬品マスタリスト_20260130100542!C281</f>
        <v>2</v>
      </c>
      <c r="F283" s="206" t="str">
        <f>薬品マスタリスト_20260130100542!D281</f>
        <v>カプセル</v>
      </c>
      <c r="G283" s="208" t="str">
        <f>match_results!C280</f>
        <v>ケフレックスカプセル２５０ｍｇ</v>
      </c>
      <c r="H283" s="208">
        <f>match_results!D280</f>
        <v>417</v>
      </c>
      <c r="I283" s="218">
        <f>match_results!E280</f>
        <v>75.862068965517196</v>
      </c>
      <c r="J283" s="225"/>
      <c r="K283" s="15" t="str">
        <f ca="1">IF($J283="〇",OFFSET(集計!B$3,合体!$H283,0),"")</f>
        <v/>
      </c>
      <c r="L283" s="15" t="str">
        <f ca="1">IF($J283="〇",OFFSET(集計!C$3,合体!$H283,0),"")</f>
        <v/>
      </c>
      <c r="M283" s="202" t="str">
        <f ca="1">IF($J283="〇",OFFSET(集計!D$3,合体!$H283,0),"")</f>
        <v/>
      </c>
    </row>
    <row r="284" spans="2:13" x14ac:dyDescent="0.2">
      <c r="B284" s="201">
        <f t="shared" si="4"/>
        <v>280</v>
      </c>
      <c r="C284" s="15" t="str">
        <f>薬品マスタリスト_20260130100542!A282</f>
        <v>ケフレックスカプセル２５０ｍｇ</v>
      </c>
      <c r="D284" s="15" t="str">
        <f>薬品マスタリスト_20260130100542!B282</f>
        <v>ｹﾌﾚﾂｸｽｶﾌﾟｾﾙ250MG</v>
      </c>
      <c r="E284" s="15">
        <f>薬品マスタリスト_20260130100542!C282</f>
        <v>2</v>
      </c>
      <c r="F284" s="206" t="str">
        <f>薬品マスタリスト_20260130100542!D282</f>
        <v>カプセル</v>
      </c>
      <c r="G284" s="208" t="str">
        <f>match_results!C281</f>
        <v>ケフレックスカプセル２５０ｍｇ</v>
      </c>
      <c r="H284" s="208">
        <f>match_results!D281</f>
        <v>417</v>
      </c>
      <c r="I284" s="218">
        <f>match_results!E281</f>
        <v>100</v>
      </c>
      <c r="J284" s="225" t="s">
        <v>3917</v>
      </c>
      <c r="K284" s="15">
        <f ca="1">IF($J284="〇",OFFSET(集計!B$3,合体!$H284,0),"")</f>
        <v>28.63</v>
      </c>
      <c r="L284" s="15">
        <f ca="1">IF($J284="〇",OFFSET(集計!C$3,合体!$H284,0),"")</f>
        <v>301</v>
      </c>
      <c r="M284" s="202">
        <f ca="1">IF($J284="〇",OFFSET(集計!D$3,合体!$H284,0),"")</f>
        <v>8617.6299999999992</v>
      </c>
    </row>
    <row r="285" spans="2:13" x14ac:dyDescent="0.2">
      <c r="B285" s="201">
        <f t="shared" si="4"/>
        <v>281</v>
      </c>
      <c r="C285" s="15" t="str">
        <f>薬品マスタリスト_20260130100542!A283</f>
        <v>ゲーベンクリーム１％</v>
      </c>
      <c r="D285" s="15" t="str">
        <f>薬品マスタリスト_20260130100542!B283</f>
        <v>ｹﾞ-ﾍﾞﾝｸﾘ-ﾑ1%</v>
      </c>
      <c r="E285" s="15">
        <f>薬品マスタリスト_20260130100542!C283</f>
        <v>15</v>
      </c>
      <c r="F285" s="206" t="str">
        <f>薬品マスタリスト_20260130100542!D283</f>
        <v>クリーム</v>
      </c>
      <c r="G285" s="208" t="str">
        <f>match_results!C282</f>
        <v>ゲーベンクリーム１％　１００ｇ／個</v>
      </c>
      <c r="H285" s="208">
        <f>match_results!D282</f>
        <v>155</v>
      </c>
      <c r="I285" s="218">
        <f>match_results!E282</f>
        <v>74.074074074074005</v>
      </c>
      <c r="J285" s="225"/>
      <c r="K285" s="15" t="str">
        <f ca="1">IF($J285="〇",OFFSET(集計!B$3,合体!$H285,0),"")</f>
        <v/>
      </c>
      <c r="L285" s="15" t="str">
        <f ca="1">IF($J285="〇",OFFSET(集計!C$3,合体!$H285,0),"")</f>
        <v/>
      </c>
      <c r="M285" s="202" t="str">
        <f ca="1">IF($J285="〇",OFFSET(集計!D$3,合体!$H285,0),"")</f>
        <v/>
      </c>
    </row>
    <row r="286" spans="2:13" x14ac:dyDescent="0.2">
      <c r="B286" s="201">
        <f t="shared" si="4"/>
        <v>282</v>
      </c>
      <c r="C286" s="15" t="str">
        <f>薬品マスタリスト_20260130100542!A284</f>
        <v>ケルロング錠１０ｍｇ</v>
      </c>
      <c r="D286" s="15" t="str">
        <f>薬品マスタリスト_20260130100542!B284</f>
        <v>ｹﾙﾛﾝｸﾞｼﾞｮｳ10mg</v>
      </c>
      <c r="E286" s="15">
        <f>薬品マスタリスト_20260130100542!C284</f>
        <v>1</v>
      </c>
      <c r="F286" s="206" t="str">
        <f>薬品マスタリスト_20260130100542!D284</f>
        <v>錠剤</v>
      </c>
      <c r="G286" s="208" t="str">
        <f>match_results!C283</f>
        <v>シングレア錠１０ｍｇ</v>
      </c>
      <c r="H286" s="208">
        <f>match_results!D283</f>
        <v>560</v>
      </c>
      <c r="I286" s="218">
        <f>match_results!E283</f>
        <v>70</v>
      </c>
      <c r="J286" s="225"/>
      <c r="K286" s="15" t="str">
        <f ca="1">IF($J286="〇",OFFSET(集計!B$3,合体!$H286,0),"")</f>
        <v/>
      </c>
      <c r="L286" s="15" t="str">
        <f ca="1">IF($J286="〇",OFFSET(集計!C$3,合体!$H286,0),"")</f>
        <v/>
      </c>
      <c r="M286" s="202" t="str">
        <f ca="1">IF($J286="〇",OFFSET(集計!D$3,合体!$H286,0),"")</f>
        <v/>
      </c>
    </row>
    <row r="287" spans="2:13" x14ac:dyDescent="0.2">
      <c r="B287" s="201">
        <f t="shared" si="4"/>
        <v>283</v>
      </c>
      <c r="C287" s="15" t="str">
        <f>薬品マスタリスト_20260130100542!A285</f>
        <v>ゲンタマイシン硫酸塩軟膏０．１％「イワキ」</v>
      </c>
      <c r="D287" s="15" t="str">
        <f>薬品マスタリスト_20260130100542!B285</f>
        <v>ｹﾞﾝﾀﾏｲｼﾝﾘｭｳｻﾝｴﾝﾅﾝｺｳ0.1%｢ｲﾜｷ｣</v>
      </c>
      <c r="E287" s="15">
        <f>薬品マスタリスト_20260130100542!C285</f>
        <v>14</v>
      </c>
      <c r="F287" s="206" t="str">
        <f>薬品マスタリスト_20260130100542!D285</f>
        <v>軟膏</v>
      </c>
      <c r="G287" s="208" t="str">
        <f>match_results!C284</f>
        <v>ゲンタマイシン軟膏０．１％　１０ｇ／本</v>
      </c>
      <c r="H287" s="208">
        <f>match_results!D284</f>
        <v>196</v>
      </c>
      <c r="I287" s="218">
        <f>match_results!E284</f>
        <v>65</v>
      </c>
      <c r="J287" s="225"/>
      <c r="K287" s="15" t="str">
        <f ca="1">IF($J287="〇",OFFSET(集計!B$3,合体!$H287,0),"")</f>
        <v/>
      </c>
      <c r="L287" s="15" t="str">
        <f ca="1">IF($J287="〇",OFFSET(集計!C$3,合体!$H287,0),"")</f>
        <v/>
      </c>
      <c r="M287" s="202" t="str">
        <f ca="1">IF($J287="〇",OFFSET(集計!D$3,合体!$H287,0),"")</f>
        <v/>
      </c>
    </row>
    <row r="288" spans="2:13" x14ac:dyDescent="0.2">
      <c r="B288" s="201">
        <f t="shared" si="4"/>
        <v>284</v>
      </c>
      <c r="C288" s="15" t="str">
        <f>薬品マスタリスト_20260130100542!A286</f>
        <v>アイトロール錠１０ｍｇ</v>
      </c>
      <c r="D288" s="15" t="str">
        <f>薬品マスタリスト_20260130100542!B286</f>
        <v>ｱｲﾄﾛ-ﾙｼﾞﾖｳ10MG</v>
      </c>
      <c r="E288" s="15">
        <f>薬品マスタリスト_20260130100542!C286</f>
        <v>1</v>
      </c>
      <c r="F288" s="206" t="str">
        <f>薬品マスタリスト_20260130100542!D286</f>
        <v>錠剤</v>
      </c>
      <c r="G288" s="208" t="str">
        <f>match_results!C285</f>
        <v>アロプリノール錠１００ｍｇ</v>
      </c>
      <c r="H288" s="208">
        <f>match_results!D285</f>
        <v>520</v>
      </c>
      <c r="I288" s="218">
        <f>match_results!E285</f>
        <v>75</v>
      </c>
      <c r="J288" s="225"/>
      <c r="K288" s="15" t="str">
        <f ca="1">IF($J288="〇",OFFSET(集計!B$3,合体!$H288,0),"")</f>
        <v/>
      </c>
      <c r="L288" s="15" t="str">
        <f ca="1">IF($J288="〇",OFFSET(集計!C$3,合体!$H288,0),"")</f>
        <v/>
      </c>
      <c r="M288" s="202" t="str">
        <f ca="1">IF($J288="〇",OFFSET(集計!D$3,合体!$H288,0),"")</f>
        <v/>
      </c>
    </row>
    <row r="289" spans="2:13" x14ac:dyDescent="0.2">
      <c r="B289" s="201">
        <f t="shared" si="4"/>
        <v>285</v>
      </c>
      <c r="C289" s="15" t="str">
        <f>薬品マスタリスト_20260130100542!A287</f>
        <v>塩化リゾチーム１０ｍｇ錠</v>
      </c>
      <c r="D289" s="15" t="str">
        <f>薬品マスタリスト_20260130100542!B287</f>
        <v>ｴﾝｶﾘｿﾞﾁ-ﾑ10MGｼﾞﾖｳ</v>
      </c>
      <c r="E289" s="15">
        <f>薬品マスタリスト_20260130100542!C287</f>
        <v>1</v>
      </c>
      <c r="F289" s="206" t="str">
        <f>薬品マスタリスト_20260130100542!D287</f>
        <v>錠剤</v>
      </c>
      <c r="G289" s="208" t="str">
        <f>match_results!C286</f>
        <v>エホチール注１０ｍｇ</v>
      </c>
      <c r="H289" s="208">
        <f>match_results!D286</f>
        <v>60</v>
      </c>
      <c r="I289" s="218">
        <f>match_results!E286</f>
        <v>54.545454545454497</v>
      </c>
      <c r="J289" s="225"/>
      <c r="K289" s="15" t="str">
        <f ca="1">IF($J289="〇",OFFSET(集計!B$3,合体!$H289,0),"")</f>
        <v/>
      </c>
      <c r="L289" s="15" t="str">
        <f ca="1">IF($J289="〇",OFFSET(集計!C$3,合体!$H289,0),"")</f>
        <v/>
      </c>
      <c r="M289" s="202" t="str">
        <f ca="1">IF($J289="〇",OFFSET(集計!D$3,合体!$H289,0),"")</f>
        <v/>
      </c>
    </row>
    <row r="290" spans="2:13" x14ac:dyDescent="0.2">
      <c r="B290" s="201">
        <f t="shared" si="4"/>
        <v>286</v>
      </c>
      <c r="C290" s="15" t="str">
        <f>薬品マスタリスト_20260130100542!A288</f>
        <v>コートリル錠１０ｍｇ</v>
      </c>
      <c r="D290" s="15" t="str">
        <f>薬品マスタリスト_20260130100542!B288</f>
        <v>ｺ-ﾄﾘﾙｼﾞﾖｳ10MG</v>
      </c>
      <c r="E290" s="15">
        <f>薬品マスタリスト_20260130100542!C288</f>
        <v>1</v>
      </c>
      <c r="F290" s="206" t="str">
        <f>薬品マスタリスト_20260130100542!D288</f>
        <v>錠剤</v>
      </c>
      <c r="G290" s="208" t="str">
        <f>match_results!C287</f>
        <v>リマチル錠１００ｍｇ</v>
      </c>
      <c r="H290" s="208">
        <f>match_results!D287</f>
        <v>351</v>
      </c>
      <c r="I290" s="218">
        <f>match_results!E287</f>
        <v>70</v>
      </c>
      <c r="J290" s="225"/>
      <c r="K290" s="15" t="str">
        <f ca="1">IF($J290="〇",OFFSET(集計!B$3,合体!$H290,0),"")</f>
        <v/>
      </c>
      <c r="L290" s="15" t="str">
        <f ca="1">IF($J290="〇",OFFSET(集計!C$3,合体!$H290,0),"")</f>
        <v/>
      </c>
      <c r="M290" s="202" t="str">
        <f ca="1">IF($J290="〇",OFFSET(集計!D$3,合体!$H290,0),"")</f>
        <v/>
      </c>
    </row>
    <row r="291" spans="2:13" x14ac:dyDescent="0.2">
      <c r="B291" s="201">
        <f t="shared" si="4"/>
        <v>287</v>
      </c>
      <c r="C291" s="15" t="str">
        <f>薬品マスタリスト_20260130100542!A289</f>
        <v>コソプト配合点眼液</v>
      </c>
      <c r="D291" s="15" t="str">
        <f>薬品マスタリスト_20260130100542!B289</f>
        <v>ｺｿﾌﾟﾄﾊｲｺﾞｳﾃﾝｶﾞﾝｴｷ</v>
      </c>
      <c r="E291" s="15">
        <f>薬品マスタリスト_20260130100542!C289</f>
        <v>21</v>
      </c>
      <c r="F291" s="206" t="str">
        <f>薬品マスタリスト_20260130100542!D289</f>
        <v>点眼剤</v>
      </c>
      <c r="G291" s="208" t="str">
        <f>match_results!C288</f>
        <v>コソプト配合点眼</v>
      </c>
      <c r="H291" s="208">
        <f>match_results!D288</f>
        <v>522</v>
      </c>
      <c r="I291" s="218">
        <f>match_results!E288</f>
        <v>94.117647058823493</v>
      </c>
      <c r="J291" s="225"/>
      <c r="K291" s="15" t="str">
        <f ca="1">IF($J291="〇",OFFSET(集計!B$3,合体!$H291,0),"")</f>
        <v/>
      </c>
      <c r="L291" s="15" t="str">
        <f ca="1">IF($J291="〇",OFFSET(集計!C$3,合体!$H291,0),"")</f>
        <v/>
      </c>
      <c r="M291" s="202" t="str">
        <f ca="1">IF($J291="〇",OFFSET(集計!D$3,合体!$H291,0),"")</f>
        <v/>
      </c>
    </row>
    <row r="292" spans="2:13" x14ac:dyDescent="0.2">
      <c r="B292" s="201">
        <f t="shared" si="4"/>
        <v>288</v>
      </c>
      <c r="C292" s="15" t="str">
        <f>薬品マスタリスト_20260130100542!A290</f>
        <v>コタロー消風散エキス細粒</v>
      </c>
      <c r="D292" s="15" t="str">
        <f>薬品マスタリスト_20260130100542!B290</f>
        <v>ｺﾀﾛｰｼｮｳﾌｳｻﾝｴｷｽｻｲﾘｭｳ</v>
      </c>
      <c r="E292" s="15">
        <f>薬品マスタリスト_20260130100542!C290</f>
        <v>3</v>
      </c>
      <c r="F292" s="206" t="str">
        <f>薬品マスタリスト_20260130100542!D290</f>
        <v>散</v>
      </c>
      <c r="G292" s="208" t="str">
        <f>match_results!C289</f>
        <v>ロキソニン細粒１０％　</v>
      </c>
      <c r="H292" s="208">
        <f>match_results!D289</f>
        <v>369</v>
      </c>
      <c r="I292" s="218">
        <f>match_results!E289</f>
        <v>36.363636363636303</v>
      </c>
      <c r="J292" s="225"/>
      <c r="K292" s="15" t="str">
        <f ca="1">IF($J292="〇",OFFSET(集計!B$3,合体!$H292,0),"")</f>
        <v/>
      </c>
      <c r="L292" s="15" t="str">
        <f ca="1">IF($J292="〇",OFFSET(集計!C$3,合体!$H292,0),"")</f>
        <v/>
      </c>
      <c r="M292" s="202" t="str">
        <f ca="1">IF($J292="〇",OFFSET(集計!D$3,合体!$H292,0),"")</f>
        <v/>
      </c>
    </row>
    <row r="293" spans="2:13" x14ac:dyDescent="0.2">
      <c r="B293" s="201">
        <f t="shared" si="4"/>
        <v>289</v>
      </c>
      <c r="C293" s="15" t="str">
        <f>薬品マスタリスト_20260130100542!A291</f>
        <v>コデインリン酸塩散１％「フソー」</v>
      </c>
      <c r="D293" s="15" t="str">
        <f>薬品マスタリスト_20260130100542!B291</f>
        <v>ｺﾃﾞｲﾝﾘﾝｻﾝｴﾝｻﾝ1%｢ﾌｿｰ｣</v>
      </c>
      <c r="E293" s="15">
        <f>薬品マスタリスト_20260130100542!C291</f>
        <v>3</v>
      </c>
      <c r="F293" s="206" t="str">
        <f>薬品マスタリスト_20260130100542!D291</f>
        <v>散</v>
      </c>
      <c r="G293" s="208" t="str">
        <f>match_results!C290</f>
        <v>モサプリドクエン酸塩散１％「日医工」</v>
      </c>
      <c r="H293" s="208">
        <f>match_results!D290</f>
        <v>128</v>
      </c>
      <c r="I293" s="218">
        <f>match_results!E290</f>
        <v>52.941176470588204</v>
      </c>
      <c r="J293" s="225"/>
      <c r="K293" s="15" t="str">
        <f ca="1">IF($J293="〇",OFFSET(集計!B$3,合体!$H293,0),"")</f>
        <v/>
      </c>
      <c r="L293" s="15" t="str">
        <f ca="1">IF($J293="〇",OFFSET(集計!C$3,合体!$H293,0),"")</f>
        <v/>
      </c>
      <c r="M293" s="202" t="str">
        <f ca="1">IF($J293="〇",OFFSET(集計!D$3,合体!$H293,0),"")</f>
        <v/>
      </c>
    </row>
    <row r="294" spans="2:13" x14ac:dyDescent="0.2">
      <c r="B294" s="201">
        <f t="shared" si="4"/>
        <v>290</v>
      </c>
      <c r="C294" s="15" t="str">
        <f>薬品マスタリスト_20260130100542!A292</f>
        <v>ゴナックス皮下注用８０ｍｇ</v>
      </c>
      <c r="D294" s="15" t="str">
        <f>薬品マスタリスト_20260130100542!B292</f>
        <v>ｺﾞﾅｯｸｽﾋｶﾁｭｳﾖｳ80mg</v>
      </c>
      <c r="E294" s="15">
        <f>薬品マスタリスト_20260130100542!C292</f>
        <v>25</v>
      </c>
      <c r="F294" s="206" t="str">
        <f>薬品マスタリスト_20260130100542!D292</f>
        <v>注射剤</v>
      </c>
      <c r="G294" s="208" t="str">
        <f>match_results!C291</f>
        <v>ソラナックス０．４ｍｇ錠　</v>
      </c>
      <c r="H294" s="208">
        <f>match_results!D291</f>
        <v>465</v>
      </c>
      <c r="I294" s="218">
        <f>match_results!E291</f>
        <v>56</v>
      </c>
      <c r="J294" s="225"/>
      <c r="K294" s="15" t="str">
        <f ca="1">IF($J294="〇",OFFSET(集計!B$3,合体!$H294,0),"")</f>
        <v/>
      </c>
      <c r="L294" s="15" t="str">
        <f ca="1">IF($J294="〇",OFFSET(集計!C$3,合体!$H294,0),"")</f>
        <v/>
      </c>
      <c r="M294" s="202" t="str">
        <f ca="1">IF($J294="〇",OFFSET(集計!D$3,合体!$H294,0),"")</f>
        <v/>
      </c>
    </row>
    <row r="295" spans="2:13" x14ac:dyDescent="0.2">
      <c r="B295" s="201">
        <f t="shared" si="4"/>
        <v>291</v>
      </c>
      <c r="C295" s="15" t="str">
        <f>薬品マスタリスト_20260130100542!A293</f>
        <v>コムタン錠１００ｍｇ</v>
      </c>
      <c r="D295" s="15" t="str">
        <f>薬品マスタリスト_20260130100542!B293</f>
        <v>ｺﾑﾀﾝｼﾞｮｳ100mg</v>
      </c>
      <c r="E295" s="15">
        <f>薬品マスタリスト_20260130100542!C293</f>
        <v>1</v>
      </c>
      <c r="F295" s="206" t="str">
        <f>薬品マスタリスト_20260130100542!D293</f>
        <v>錠剤</v>
      </c>
      <c r="G295" s="208" t="str">
        <f>match_results!C292</f>
        <v>バナン錠１００ｍｇ　</v>
      </c>
      <c r="H295" s="208">
        <f>match_results!D292</f>
        <v>395</v>
      </c>
      <c r="I295" s="218">
        <f>match_results!E292</f>
        <v>73.684210526315795</v>
      </c>
      <c r="J295" s="225"/>
      <c r="K295" s="15" t="str">
        <f ca="1">IF($J295="〇",OFFSET(集計!B$3,合体!$H295,0),"")</f>
        <v/>
      </c>
      <c r="L295" s="15" t="str">
        <f ca="1">IF($J295="〇",OFFSET(集計!C$3,合体!$H295,0),"")</f>
        <v/>
      </c>
      <c r="M295" s="202" t="str">
        <f ca="1">IF($J295="〇",OFFSET(集計!D$3,合体!$H295,0),"")</f>
        <v/>
      </c>
    </row>
    <row r="296" spans="2:13" x14ac:dyDescent="0.2">
      <c r="B296" s="201">
        <f t="shared" si="4"/>
        <v>292</v>
      </c>
      <c r="C296" s="15" t="str">
        <f>薬品マスタリスト_20260130100542!A294</f>
        <v>コールタイジン点鼻液</v>
      </c>
      <c r="D296" s="15" t="str">
        <f>薬品マスタリスト_20260130100542!B294</f>
        <v>ｺｰﾙﾀｲｼﾞﾝﾃﾝﾋﾞｴｷ</v>
      </c>
      <c r="E296" s="15">
        <f>薬品マスタリスト_20260130100542!C294</f>
        <v>23</v>
      </c>
      <c r="F296" s="206" t="str">
        <f>薬品マスタリスト_20260130100542!D294</f>
        <v>点鼻薬</v>
      </c>
      <c r="G296" s="208" t="str">
        <f>match_results!C293</f>
        <v>コールタイジン点鼻液　１５ｍＬＸ１０</v>
      </c>
      <c r="H296" s="208">
        <f>match_results!D293</f>
        <v>104</v>
      </c>
      <c r="I296" s="218">
        <f>match_results!E293</f>
        <v>71.428571428571402</v>
      </c>
      <c r="J296" s="225"/>
      <c r="K296" s="15" t="str">
        <f ca="1">IF($J296="〇",OFFSET(集計!B$3,合体!$H296,0),"")</f>
        <v/>
      </c>
      <c r="L296" s="15" t="str">
        <f ca="1">IF($J296="〇",OFFSET(集計!C$3,合体!$H296,0),"")</f>
        <v/>
      </c>
      <c r="M296" s="202" t="str">
        <f ca="1">IF($J296="〇",OFFSET(集計!D$3,合体!$H296,0),"")</f>
        <v/>
      </c>
    </row>
    <row r="297" spans="2:13" x14ac:dyDescent="0.2">
      <c r="B297" s="201">
        <f t="shared" si="4"/>
        <v>293</v>
      </c>
      <c r="C297" s="15" t="str">
        <f>薬品マスタリスト_20260130100542!A295</f>
        <v>コンサータ錠１８ｍｇ</v>
      </c>
      <c r="D297" s="15" t="str">
        <f>薬品マスタリスト_20260130100542!B295</f>
        <v>ｺﾝｻｰﾀｼﾞｮｳ18mg</v>
      </c>
      <c r="E297" s="15">
        <f>薬品マスタリスト_20260130100542!C295</f>
        <v>1</v>
      </c>
      <c r="F297" s="206" t="str">
        <f>薬品マスタリスト_20260130100542!D295</f>
        <v>錠剤</v>
      </c>
      <c r="G297" s="208" t="str">
        <f>match_results!C294</f>
        <v>コンサータ錠１８ｍｇ</v>
      </c>
      <c r="H297" s="208">
        <f>match_results!D294</f>
        <v>591</v>
      </c>
      <c r="I297" s="218">
        <f>match_results!E294</f>
        <v>100</v>
      </c>
      <c r="J297" s="225" t="s">
        <v>3917</v>
      </c>
      <c r="K297" s="15">
        <f ca="1">IF($J297="〇",OFFSET(集計!B$3,合体!$H297,0),"")</f>
        <v>205.62</v>
      </c>
      <c r="L297" s="15">
        <f ca="1">IF($J297="〇",OFFSET(集計!C$3,合体!$H297,0),"")</f>
        <v>154</v>
      </c>
      <c r="M297" s="202">
        <f ca="1">IF($J297="〇",OFFSET(集計!D$3,合体!$H297,0),"")</f>
        <v>31665.48</v>
      </c>
    </row>
    <row r="298" spans="2:13" x14ac:dyDescent="0.2">
      <c r="B298" s="201">
        <f t="shared" si="4"/>
        <v>294</v>
      </c>
      <c r="C298" s="15" t="str">
        <f>薬品マスタリスト_20260130100542!A296</f>
        <v>コントミン糖衣錠２５ｍｇ</v>
      </c>
      <c r="D298" s="15" t="str">
        <f>薬品マスタリスト_20260130100542!B296</f>
        <v>ｺﾝﾄﾐﾝﾄｳｲｼﾞｮｳ25mg</v>
      </c>
      <c r="E298" s="15">
        <f>薬品マスタリスト_20260130100542!C296</f>
        <v>1</v>
      </c>
      <c r="F298" s="206" t="str">
        <f>薬品マスタリスト_20260130100542!D296</f>
        <v>錠剤</v>
      </c>
      <c r="G298" s="208" t="str">
        <f>match_results!C295</f>
        <v>コントミン糖衣錠２５ｍｇ　</v>
      </c>
      <c r="H298" s="208">
        <f>match_results!D295</f>
        <v>430</v>
      </c>
      <c r="I298" s="218">
        <f>match_results!E295</f>
        <v>100</v>
      </c>
      <c r="J298" s="225" t="s">
        <v>3917</v>
      </c>
      <c r="K298" s="15">
        <f ca="1">IF($J298="〇",OFFSET(集計!B$3,合体!$H298,0),"")</f>
        <v>7.99</v>
      </c>
      <c r="L298" s="15">
        <f ca="1">IF($J298="〇",OFFSET(集計!C$3,合体!$H298,0),"")</f>
        <v>1132.3636363636363</v>
      </c>
      <c r="M298" s="202">
        <f ca="1">IF($J298="〇",OFFSET(集計!D$3,合体!$H298,0),"")</f>
        <v>9047.5854545454531</v>
      </c>
    </row>
    <row r="299" spans="2:13" x14ac:dyDescent="0.2">
      <c r="B299" s="201">
        <f t="shared" si="4"/>
        <v>295</v>
      </c>
      <c r="C299" s="15" t="str">
        <f>薬品マスタリスト_20260130100542!A297</f>
        <v>コントミン糖衣錠５０ｍｇ</v>
      </c>
      <c r="D299" s="15" t="str">
        <f>薬品マスタリスト_20260130100542!B297</f>
        <v>ｺﾝﾄﾐﾝﾄｳｲｼﾞｮｳ50mg</v>
      </c>
      <c r="E299" s="15">
        <f>薬品マスタリスト_20260130100542!C297</f>
        <v>1</v>
      </c>
      <c r="F299" s="206" t="str">
        <f>薬品マスタリスト_20260130100542!D297</f>
        <v>錠剤</v>
      </c>
      <c r="G299" s="208" t="str">
        <f>match_results!C296</f>
        <v>コントミン糖衣錠５０ｍｇ　</v>
      </c>
      <c r="H299" s="208">
        <f>match_results!D296</f>
        <v>491</v>
      </c>
      <c r="I299" s="218">
        <f>match_results!E296</f>
        <v>100</v>
      </c>
      <c r="J299" s="225" t="s">
        <v>3917</v>
      </c>
      <c r="K299" s="15">
        <f ca="1">IF($J299="〇",OFFSET(集計!B$3,合体!$H299,0),"")</f>
        <v>7.99</v>
      </c>
      <c r="L299" s="15">
        <f ca="1">IF($J299="〇",OFFSET(集計!C$3,合体!$H299,0),"")</f>
        <v>1616.6666666666667</v>
      </c>
      <c r="M299" s="202">
        <f ca="1">IF($J299="〇",OFFSET(集計!D$3,合体!$H299,0),"")</f>
        <v>12917.166666666668</v>
      </c>
    </row>
    <row r="300" spans="2:13" x14ac:dyDescent="0.2">
      <c r="B300" s="201">
        <f t="shared" si="4"/>
        <v>296</v>
      </c>
      <c r="C300" s="15" t="str">
        <f>薬品マスタリスト_20260130100542!A298</f>
        <v>コントミン糖衣錠１００ｍｇ</v>
      </c>
      <c r="D300" s="15" t="str">
        <f>薬品マスタリスト_20260130100542!B298</f>
        <v>ｺﾝﾄﾐﾝﾄｳｲｼﾞｮｳ100mg</v>
      </c>
      <c r="E300" s="15">
        <f>薬品マスタリスト_20260130100542!C298</f>
        <v>1</v>
      </c>
      <c r="F300" s="206" t="str">
        <f>薬品マスタリスト_20260130100542!D298</f>
        <v>錠剤</v>
      </c>
      <c r="G300" s="208" t="str">
        <f>match_results!C297</f>
        <v>コントミン糖衣錠１００ｍｇ　</v>
      </c>
      <c r="H300" s="208">
        <f>match_results!D297</f>
        <v>467</v>
      </c>
      <c r="I300" s="218">
        <f>match_results!E297</f>
        <v>100</v>
      </c>
      <c r="J300" s="225" t="s">
        <v>3917</v>
      </c>
      <c r="K300" s="15">
        <f ca="1">IF($J300="〇",OFFSET(集計!B$3,合体!$H300,0),"")</f>
        <v>7.99</v>
      </c>
      <c r="L300" s="15">
        <f ca="1">IF($J300="〇",OFFSET(集計!C$3,合体!$H300,0),"")</f>
        <v>1358.5</v>
      </c>
      <c r="M300" s="202">
        <f ca="1">IF($J300="〇",OFFSET(集計!D$3,合体!$H300,0),"")</f>
        <v>10854.415000000001</v>
      </c>
    </row>
    <row r="301" spans="2:13" x14ac:dyDescent="0.2">
      <c r="B301" s="201">
        <f t="shared" si="4"/>
        <v>297</v>
      </c>
      <c r="C301" s="15" t="str">
        <f>薬品マスタリスト_20260130100542!A299</f>
        <v>サアミオン錠５ｍｇ</v>
      </c>
      <c r="D301" s="15" t="str">
        <f>薬品マスタリスト_20260130100542!B299</f>
        <v>ｻｱﾐｵﾝｼﾞｮｳ5mg</v>
      </c>
      <c r="E301" s="15">
        <f>薬品マスタリスト_20260130100542!C299</f>
        <v>1</v>
      </c>
      <c r="F301" s="206" t="str">
        <f>薬品マスタリスト_20260130100542!D299</f>
        <v>錠剤</v>
      </c>
      <c r="G301" s="208" t="str">
        <f>match_results!C298</f>
        <v>ヒルナミン錠５ｍｇ</v>
      </c>
      <c r="H301" s="208">
        <f>match_results!D298</f>
        <v>449</v>
      </c>
      <c r="I301" s="218">
        <f>match_results!E298</f>
        <v>66.6666666666666</v>
      </c>
      <c r="J301" s="225"/>
      <c r="K301" s="15" t="str">
        <f ca="1">IF($J301="〇",OFFSET(集計!B$3,合体!$H301,0),"")</f>
        <v/>
      </c>
      <c r="L301" s="15" t="str">
        <f ca="1">IF($J301="〇",OFFSET(集計!C$3,合体!$H301,0),"")</f>
        <v/>
      </c>
      <c r="M301" s="202" t="str">
        <f ca="1">IF($J301="〇",OFFSET(集計!D$3,合体!$H301,0),"")</f>
        <v/>
      </c>
    </row>
    <row r="302" spans="2:13" x14ac:dyDescent="0.2">
      <c r="B302" s="201">
        <f t="shared" si="4"/>
        <v>298</v>
      </c>
      <c r="C302" s="15" t="str">
        <f>薬品マスタリスト_20260130100542!A300</f>
        <v>サノレックス錠０．５ｍｇ</v>
      </c>
      <c r="D302" s="15" t="str">
        <f>薬品マスタリスト_20260130100542!B300</f>
        <v>ｻﾉﾚｯｸｽｼﾞｮｳ0.5mg</v>
      </c>
      <c r="E302" s="15">
        <f>薬品マスタリスト_20260130100542!C300</f>
        <v>1</v>
      </c>
      <c r="F302" s="206" t="str">
        <f>薬品マスタリスト_20260130100542!D300</f>
        <v>錠剤</v>
      </c>
      <c r="G302" s="208" t="str">
        <f>match_results!C299</f>
        <v>リンゼス錠０．２５ｍｇ</v>
      </c>
      <c r="H302" s="208">
        <f>match_results!D299</f>
        <v>199</v>
      </c>
      <c r="I302" s="218">
        <f>match_results!E299</f>
        <v>60.869565217391298</v>
      </c>
      <c r="J302" s="225"/>
      <c r="K302" s="15" t="str">
        <f ca="1">IF($J302="〇",OFFSET(集計!B$3,合体!$H302,0),"")</f>
        <v/>
      </c>
      <c r="L302" s="15" t="str">
        <f ca="1">IF($J302="〇",OFFSET(集計!C$3,合体!$H302,0),"")</f>
        <v/>
      </c>
      <c r="M302" s="202" t="str">
        <f ca="1">IF($J302="〇",OFFSET(集計!D$3,合体!$H302,0),"")</f>
        <v/>
      </c>
    </row>
    <row r="303" spans="2:13" x14ac:dyDescent="0.2">
      <c r="B303" s="201">
        <f t="shared" si="4"/>
        <v>299</v>
      </c>
      <c r="C303" s="15" t="str">
        <f>薬品マスタリスト_20260130100542!A301</f>
        <v>５％サリチル酸ワセリン軟膏東豊</v>
      </c>
      <c r="D303" s="15" t="str">
        <f>薬品マスタリスト_20260130100542!B301</f>
        <v>5%ｻﾘﾁﾙｻﾝﾜｾﾘﾝﾅﾝｺｳﾄｳﾎｳ</v>
      </c>
      <c r="E303" s="15">
        <f>薬品マスタリスト_20260130100542!C301</f>
        <v>14</v>
      </c>
      <c r="F303" s="206" t="str">
        <f>薬品マスタリスト_20260130100542!D301</f>
        <v>軟膏</v>
      </c>
      <c r="G303" s="208" t="str">
        <f>match_results!C300</f>
        <v>５％　サリチル酸ワセリン　軟膏　５００ｇ</v>
      </c>
      <c r="H303" s="208">
        <f>match_results!D300</f>
        <v>462</v>
      </c>
      <c r="I303" s="218">
        <f>match_results!E300</f>
        <v>62.857142857142797</v>
      </c>
      <c r="J303" s="225"/>
      <c r="K303" s="15" t="str">
        <f ca="1">IF($J303="〇",OFFSET(集計!B$3,合体!$H303,0),"")</f>
        <v/>
      </c>
      <c r="L303" s="15" t="str">
        <f ca="1">IF($J303="〇",OFFSET(集計!C$3,合体!$H303,0),"")</f>
        <v/>
      </c>
      <c r="M303" s="202" t="str">
        <f ca="1">IF($J303="〇",OFFSET(集計!D$3,合体!$H303,0),"")</f>
        <v/>
      </c>
    </row>
    <row r="304" spans="2:13" x14ac:dyDescent="0.2">
      <c r="B304" s="201">
        <f t="shared" si="4"/>
        <v>300</v>
      </c>
      <c r="C304" s="15" t="str">
        <f>薬品マスタリスト_20260130100542!A302</f>
        <v>サリベートエアゾール</v>
      </c>
      <c r="D304" s="15" t="str">
        <f>薬品マスタリスト_20260130100542!B302</f>
        <v>ｻﾘﾍﾞ-ﾄｴｱｿﾞ-ﾙ</v>
      </c>
      <c r="E304" s="15">
        <f>薬品マスタリスト_20260130100542!C302</f>
        <v>24</v>
      </c>
      <c r="F304" s="206" t="str">
        <f>薬品マスタリスト_20260130100542!D302</f>
        <v>その他</v>
      </c>
      <c r="G304" s="208" t="str">
        <f>match_results!C301</f>
        <v>リボトリール錠１㎎　</v>
      </c>
      <c r="H304" s="208">
        <f>match_results!D301</f>
        <v>542</v>
      </c>
      <c r="I304" s="218">
        <f>match_results!E301</f>
        <v>42.105263157894697</v>
      </c>
      <c r="J304" s="225"/>
      <c r="K304" s="15" t="str">
        <f ca="1">IF($J304="〇",OFFSET(集計!B$3,合体!$H304,0),"")</f>
        <v/>
      </c>
      <c r="L304" s="15" t="str">
        <f ca="1">IF($J304="〇",OFFSET(集計!C$3,合体!$H304,0),"")</f>
        <v/>
      </c>
      <c r="M304" s="202" t="str">
        <f ca="1">IF($J304="〇",OFFSET(集計!D$3,合体!$H304,0),"")</f>
        <v/>
      </c>
    </row>
    <row r="305" spans="2:13" x14ac:dyDescent="0.2">
      <c r="B305" s="201">
        <f t="shared" si="4"/>
        <v>301</v>
      </c>
      <c r="C305" s="15" t="str">
        <f>薬品マスタリスト_20260130100542!A303</f>
        <v>サワシリン錠２５０</v>
      </c>
      <c r="D305" s="15" t="str">
        <f>薬品マスタリスト_20260130100542!B303</f>
        <v>ｻﾜｼﾘﾝｼﾞｮｳ250</v>
      </c>
      <c r="E305" s="15">
        <f>薬品マスタリスト_20260130100542!C303</f>
        <v>1</v>
      </c>
      <c r="F305" s="206" t="str">
        <f>薬品マスタリスト_20260130100542!D303</f>
        <v>錠剤</v>
      </c>
      <c r="G305" s="208" t="str">
        <f>match_results!C302</f>
        <v>サワシリン錠２５０　ＳＰ　　　　　　　　　１００錠</v>
      </c>
      <c r="H305" s="208">
        <f>match_results!D302</f>
        <v>317</v>
      </c>
      <c r="I305" s="218">
        <f>match_results!E302</f>
        <v>69.230769230769198</v>
      </c>
      <c r="J305" s="225"/>
      <c r="K305" s="15" t="str">
        <f ca="1">IF($J305="〇",OFFSET(集計!B$3,合体!$H305,0),"")</f>
        <v/>
      </c>
      <c r="L305" s="15" t="str">
        <f ca="1">IF($J305="〇",OFFSET(集計!C$3,合体!$H305,0),"")</f>
        <v/>
      </c>
      <c r="M305" s="202" t="str">
        <f ca="1">IF($J305="〇",OFFSET(集計!D$3,合体!$H305,0),"")</f>
        <v/>
      </c>
    </row>
    <row r="306" spans="2:13" x14ac:dyDescent="0.2">
      <c r="B306" s="201">
        <f t="shared" si="4"/>
        <v>302</v>
      </c>
      <c r="C306" s="15" t="str">
        <f>薬品マスタリスト_20260130100542!A304</f>
        <v>酸化マグネシウム</v>
      </c>
      <c r="D306" s="15" t="str">
        <f>薬品マスタリスト_20260130100542!B304</f>
        <v>ｻﾝｶﾏｸﾞﾈｼｳﾑ</v>
      </c>
      <c r="E306" s="15">
        <f>薬品マスタリスト_20260130100542!C304</f>
        <v>3</v>
      </c>
      <c r="F306" s="206" t="str">
        <f>薬品マスタリスト_20260130100542!D304</f>
        <v>散</v>
      </c>
      <c r="G306" s="208" t="str">
        <f>match_results!C303</f>
        <v>塩化カリウム</v>
      </c>
      <c r="H306" s="208">
        <f>match_results!D303</f>
        <v>78</v>
      </c>
      <c r="I306" s="218">
        <f>match_results!E303</f>
        <v>42.857142857142797</v>
      </c>
      <c r="J306" s="225"/>
      <c r="K306" s="15" t="str">
        <f ca="1">IF($J306="〇",OFFSET(集計!B$3,合体!$H306,0),"")</f>
        <v/>
      </c>
      <c r="L306" s="15" t="str">
        <f ca="1">IF($J306="〇",OFFSET(集計!C$3,合体!$H306,0),"")</f>
        <v/>
      </c>
      <c r="M306" s="202" t="str">
        <f ca="1">IF($J306="〇",OFFSET(集計!D$3,合体!$H306,0),"")</f>
        <v/>
      </c>
    </row>
    <row r="307" spans="2:13" x14ac:dyDescent="0.2">
      <c r="B307" s="201">
        <f t="shared" si="4"/>
        <v>303</v>
      </c>
      <c r="C307" s="15" t="str">
        <f>薬品マスタリスト_20260130100542!A305</f>
        <v>サンリズムカプセル２５ｍｇ</v>
      </c>
      <c r="D307" s="15" t="str">
        <f>薬品マスタリスト_20260130100542!B305</f>
        <v>ｻﾝﾘｽﾞﾑｶﾌﾟｾﾙ25mg</v>
      </c>
      <c r="E307" s="15">
        <f>薬品マスタリスト_20260130100542!C305</f>
        <v>2</v>
      </c>
      <c r="F307" s="206" t="str">
        <f>薬品マスタリスト_20260130100542!D305</f>
        <v>カプセル</v>
      </c>
      <c r="G307" s="208" t="str">
        <f>match_results!C304</f>
        <v>トランサミンカプセル２５０ｍｇ</v>
      </c>
      <c r="H307" s="208">
        <f>match_results!D304</f>
        <v>401</v>
      </c>
      <c r="I307" s="218">
        <f>match_results!E304</f>
        <v>71.428571428571402</v>
      </c>
      <c r="J307" s="225"/>
      <c r="K307" s="15" t="str">
        <f ca="1">IF($J307="〇",OFFSET(集計!B$3,合体!$H307,0),"")</f>
        <v/>
      </c>
      <c r="L307" s="15" t="str">
        <f ca="1">IF($J307="〇",OFFSET(集計!C$3,合体!$H307,0),"")</f>
        <v/>
      </c>
      <c r="M307" s="202" t="str">
        <f ca="1">IF($J307="〇",OFFSET(集計!D$3,合体!$H307,0),"")</f>
        <v/>
      </c>
    </row>
    <row r="308" spans="2:13" x14ac:dyDescent="0.2">
      <c r="B308" s="201">
        <f t="shared" si="4"/>
        <v>304</v>
      </c>
      <c r="C308" s="15" t="str">
        <f>薬品マスタリスト_20260130100542!A306</f>
        <v>ジアゼパム錠２ｍｇ「アメル」</v>
      </c>
      <c r="D308" s="15" t="str">
        <f>薬品マスタリスト_20260130100542!B306</f>
        <v>ｼﾞｱｾﾞﾊﾟﾑｼﾞｮｳ2mg｢ｱﾒﾙ｣</v>
      </c>
      <c r="E308" s="15">
        <f>薬品マスタリスト_20260130100542!C306</f>
        <v>1</v>
      </c>
      <c r="F308" s="206" t="str">
        <f>薬品マスタリスト_20260130100542!D306</f>
        <v>錠剤</v>
      </c>
      <c r="G308" s="208" t="str">
        <f>match_results!C305</f>
        <v>ジアゼパム錠２ｍｇ「アメル」</v>
      </c>
      <c r="H308" s="208">
        <f>match_results!D305</f>
        <v>164</v>
      </c>
      <c r="I308" s="218">
        <f>match_results!E305</f>
        <v>100</v>
      </c>
      <c r="J308" s="225" t="s">
        <v>3917</v>
      </c>
      <c r="K308" s="15">
        <f ca="1">IF($J308="〇",OFFSET(集計!B$3,合体!$H308,0),"")</f>
        <v>4.83</v>
      </c>
      <c r="L308" s="15">
        <f ca="1">IF($J308="〇",OFFSET(集計!C$3,合体!$H308,0),"")</f>
        <v>490</v>
      </c>
      <c r="M308" s="202">
        <f ca="1">IF($J308="〇",OFFSET(集計!D$3,合体!$H308,0),"")</f>
        <v>2366.6999999999998</v>
      </c>
    </row>
    <row r="309" spans="2:13" x14ac:dyDescent="0.2">
      <c r="B309" s="201">
        <f t="shared" si="4"/>
        <v>305</v>
      </c>
      <c r="C309" s="15" t="str">
        <f>薬品マスタリスト_20260130100542!A307</f>
        <v>ジアゼパム錠５ｍｇ「アメル」</v>
      </c>
      <c r="D309" s="15" t="str">
        <f>薬品マスタリスト_20260130100542!B307</f>
        <v>ｼﾞｱｾﾞﾊﾟﾑｼﾞｮｳ5mg｢ｱﾒﾙ｣</v>
      </c>
      <c r="E309" s="15">
        <f>薬品マスタリスト_20260130100542!C307</f>
        <v>1</v>
      </c>
      <c r="F309" s="206" t="str">
        <f>薬品マスタリスト_20260130100542!D307</f>
        <v>錠剤</v>
      </c>
      <c r="G309" s="208" t="str">
        <f>match_results!C306</f>
        <v>ジアゼパム錠５ｍｇ「アメル」　</v>
      </c>
      <c r="H309" s="208">
        <f>match_results!D306</f>
        <v>318</v>
      </c>
      <c r="I309" s="218">
        <f>match_results!E306</f>
        <v>100</v>
      </c>
      <c r="J309" s="225" t="s">
        <v>3917</v>
      </c>
      <c r="K309" s="15">
        <f ca="1">IF($J309="〇",OFFSET(集計!B$3,合体!$H309,0),"")</f>
        <v>4.9800000000000004</v>
      </c>
      <c r="L309" s="15">
        <f ca="1">IF($J309="〇",OFFSET(集計!C$3,合体!$H309,0),"")</f>
        <v>1038</v>
      </c>
      <c r="M309" s="202">
        <f ca="1">IF($J309="〇",OFFSET(集計!D$3,合体!$H309,0),"")</f>
        <v>5169.2400000000007</v>
      </c>
    </row>
    <row r="310" spans="2:13" x14ac:dyDescent="0.2">
      <c r="B310" s="201">
        <f t="shared" si="4"/>
        <v>306</v>
      </c>
      <c r="C310" s="15" t="str">
        <f>薬品マスタリスト_20260130100542!A308</f>
        <v>ジアゼパム注射液５ｍｇ「ＮＩＧ」</v>
      </c>
      <c r="D310" s="15" t="str">
        <f>薬品マスタリスト_20260130100542!B308</f>
        <v>ｼﾞｱｾﾞﾊﾟﾑﾁﾕｳｼﾔｴｷ5MGNIG</v>
      </c>
      <c r="E310" s="15">
        <f>薬品マスタリスト_20260130100542!C308</f>
        <v>25</v>
      </c>
      <c r="F310" s="206" t="str">
        <f>薬品マスタリスト_20260130100542!D308</f>
        <v>注射剤</v>
      </c>
      <c r="G310" s="208" t="str">
        <f>match_results!C307</f>
        <v>ジアゼパム注射液「ＮＩＧ」</v>
      </c>
      <c r="H310" s="208">
        <f>match_results!D307</f>
        <v>144</v>
      </c>
      <c r="I310" s="218">
        <f>match_results!E307</f>
        <v>89.655172413793096</v>
      </c>
      <c r="J310" s="225"/>
      <c r="K310" s="15" t="str">
        <f ca="1">IF($J310="〇",OFFSET(集計!B$3,合体!$H310,0),"")</f>
        <v/>
      </c>
      <c r="L310" s="15" t="str">
        <f ca="1">IF($J310="〇",OFFSET(集計!C$3,合体!$H310,0),"")</f>
        <v/>
      </c>
      <c r="M310" s="202" t="str">
        <f ca="1">IF($J310="〇",OFFSET(集計!D$3,合体!$H310,0),"")</f>
        <v/>
      </c>
    </row>
    <row r="311" spans="2:13" x14ac:dyDescent="0.2">
      <c r="B311" s="201">
        <f t="shared" si="4"/>
        <v>307</v>
      </c>
      <c r="C311" s="15" t="str">
        <f>薬品マスタリスト_20260130100542!A309</f>
        <v>シアナマイド内用液１％「タナベ」</v>
      </c>
      <c r="D311" s="15" t="str">
        <f>薬品マスタリスト_20260130100542!B309</f>
        <v>ｼｱﾅﾏｲﾄﾞﾅｲﾖｳｴｷ1%｢ﾀﾅﾍﾞ｣</v>
      </c>
      <c r="E311" s="15">
        <f>薬品マスタリスト_20260130100542!C309</f>
        <v>7</v>
      </c>
      <c r="F311" s="206" t="str">
        <f>薬品マスタリスト_20260130100542!D309</f>
        <v>液（内用）</v>
      </c>
      <c r="G311" s="208" t="str">
        <f>match_results!C308</f>
        <v>シアナマイド内用液１％「タナベ」　１００ｍＬ</v>
      </c>
      <c r="H311" s="208">
        <f>match_results!D308</f>
        <v>77</v>
      </c>
      <c r="I311" s="218">
        <f>match_results!E308</f>
        <v>84.210526315789394</v>
      </c>
      <c r="J311" s="225"/>
      <c r="K311" s="15" t="str">
        <f ca="1">IF($J311="〇",OFFSET(集計!B$3,合体!$H311,0),"")</f>
        <v/>
      </c>
      <c r="L311" s="15" t="str">
        <f ca="1">IF($J311="〇",OFFSET(集計!C$3,合体!$H311,0),"")</f>
        <v/>
      </c>
      <c r="M311" s="202" t="str">
        <f ca="1">IF($J311="〇",OFFSET(集計!D$3,合体!$H311,0),"")</f>
        <v/>
      </c>
    </row>
    <row r="312" spans="2:13" x14ac:dyDescent="0.2">
      <c r="B312" s="201">
        <f t="shared" si="4"/>
        <v>308</v>
      </c>
      <c r="C312" s="15" t="str">
        <f>薬品マスタリスト_20260130100542!A310</f>
        <v>シアノコバラミン点眼液０．０２％「日点」</v>
      </c>
      <c r="D312" s="15" t="str">
        <f>薬品マスタリスト_20260130100542!B310</f>
        <v>ｼｱﾉｺﾊﾞﾗﾐﾝﾃﾝｶﾞﾝｴｷ0.02%｢ﾆｯﾃﾝ｣</v>
      </c>
      <c r="E312" s="15">
        <f>薬品マスタリスト_20260130100542!C310</f>
        <v>21</v>
      </c>
      <c r="F312" s="206" t="str">
        <f>薬品マスタリスト_20260130100542!D310</f>
        <v>点眼剤</v>
      </c>
      <c r="G312" s="208" t="str">
        <f>match_results!C309</f>
        <v>シアノコバラミン点眼液０．０２％　５ｍＬＸ１０</v>
      </c>
      <c r="H312" s="208">
        <f>match_results!D309</f>
        <v>54</v>
      </c>
      <c r="I312" s="218">
        <f>match_results!E309</f>
        <v>74.418604651162795</v>
      </c>
      <c r="J312" s="225"/>
      <c r="K312" s="15" t="str">
        <f ca="1">IF($J312="〇",OFFSET(集計!B$3,合体!$H312,0),"")</f>
        <v/>
      </c>
      <c r="L312" s="15" t="str">
        <f ca="1">IF($J312="〇",OFFSET(集計!C$3,合体!$H312,0),"")</f>
        <v/>
      </c>
      <c r="M312" s="202" t="str">
        <f ca="1">IF($J312="〇",OFFSET(集計!D$3,合体!$H312,0),"")</f>
        <v/>
      </c>
    </row>
    <row r="313" spans="2:13" x14ac:dyDescent="0.2">
      <c r="B313" s="201">
        <f t="shared" si="4"/>
        <v>309</v>
      </c>
      <c r="C313" s="15" t="str">
        <f>薬品マスタリスト_20260130100542!A311</f>
        <v>ジェイゾロフト錠２５ｍｇ</v>
      </c>
      <c r="D313" s="15" t="str">
        <f>薬品マスタリスト_20260130100542!B311</f>
        <v>ｼﾞｪｲｿﾞﾛﾌﾄｼﾞｮｳ25mg</v>
      </c>
      <c r="E313" s="15">
        <f>薬品マスタリスト_20260130100542!C311</f>
        <v>1</v>
      </c>
      <c r="F313" s="206" t="str">
        <f>薬品マスタリスト_20260130100542!D311</f>
        <v>錠剤</v>
      </c>
      <c r="G313" s="208" t="str">
        <f>match_results!C310</f>
        <v>クロフェクトン錠２５ｍｇ</v>
      </c>
      <c r="H313" s="208">
        <f>match_results!D310</f>
        <v>189</v>
      </c>
      <c r="I313" s="218">
        <f>match_results!E310</f>
        <v>66.6666666666666</v>
      </c>
      <c r="J313" s="225"/>
      <c r="K313" s="15" t="str">
        <f ca="1">IF($J313="〇",OFFSET(集計!B$3,合体!$H313,0),"")</f>
        <v/>
      </c>
      <c r="L313" s="15" t="str">
        <f ca="1">IF($J313="〇",OFFSET(集計!C$3,合体!$H313,0),"")</f>
        <v/>
      </c>
      <c r="M313" s="202" t="str">
        <f ca="1">IF($J313="〇",OFFSET(集計!D$3,合体!$H313,0),"")</f>
        <v/>
      </c>
    </row>
    <row r="314" spans="2:13" x14ac:dyDescent="0.2">
      <c r="B314" s="201">
        <f t="shared" si="4"/>
        <v>310</v>
      </c>
      <c r="C314" s="15" t="str">
        <f>薬品マスタリスト_20260130100542!A312</f>
        <v>ジェニナック錠２００ｍｇ</v>
      </c>
      <c r="D314" s="15" t="str">
        <f>薬品マスタリスト_20260130100542!B312</f>
        <v>ｼﾞｴﾆﾅﾂｸｼﾞﾖｳ200MG</v>
      </c>
      <c r="E314" s="15">
        <f>薬品マスタリスト_20260130100542!C312</f>
        <v>1</v>
      </c>
      <c r="F314" s="206" t="str">
        <f>薬品マスタリスト_20260130100542!D312</f>
        <v>錠剤</v>
      </c>
      <c r="G314" s="208" t="str">
        <f>match_results!C311</f>
        <v>ジェニナック錠２００ＭＧ</v>
      </c>
      <c r="H314" s="208">
        <f>match_results!D311</f>
        <v>584</v>
      </c>
      <c r="I314" s="218">
        <f>match_results!E311</f>
        <v>83.3333333333333</v>
      </c>
      <c r="J314" s="225"/>
      <c r="K314" s="15" t="str">
        <f ca="1">IF($J314="〇",OFFSET(集計!B$3,合体!$H314,0),"")</f>
        <v/>
      </c>
      <c r="L314" s="15" t="str">
        <f ca="1">IF($J314="〇",OFFSET(集計!C$3,合体!$H314,0),"")</f>
        <v/>
      </c>
      <c r="M314" s="202" t="str">
        <f ca="1">IF($J314="〇",OFFSET(集計!D$3,合体!$H314,0),"")</f>
        <v/>
      </c>
    </row>
    <row r="315" spans="2:13" x14ac:dyDescent="0.2">
      <c r="B315" s="201">
        <f t="shared" si="4"/>
        <v>311</v>
      </c>
      <c r="C315" s="15" t="str">
        <f>薬品マスタリスト_20260130100542!A313</f>
        <v>ジギラノゲン注０．４ｍｇ</v>
      </c>
      <c r="D315" s="15" t="str">
        <f>薬品マスタリスト_20260130100542!B313</f>
        <v>ｼﾞｷﾞﾗﾉｹﾞﾝﾁｭｳ0.4mg</v>
      </c>
      <c r="E315" s="15">
        <f>薬品マスタリスト_20260130100542!C313</f>
        <v>25</v>
      </c>
      <c r="F315" s="206" t="str">
        <f>薬品マスタリスト_20260130100542!D313</f>
        <v>注射剤</v>
      </c>
      <c r="G315" s="208" t="str">
        <f>match_results!C312</f>
        <v>ジギラノゲン注０．４ｍｇ</v>
      </c>
      <c r="H315" s="208">
        <f>match_results!D312</f>
        <v>23</v>
      </c>
      <c r="I315" s="218">
        <f>match_results!E312</f>
        <v>100</v>
      </c>
      <c r="J315" s="225" t="s">
        <v>3917</v>
      </c>
      <c r="K315" s="15">
        <f ca="1">IF($J315="〇",OFFSET(集計!B$3,合体!$H315,0),"")</f>
        <v>123.8</v>
      </c>
      <c r="L315" s="15">
        <f ca="1">IF($J315="〇",OFFSET(集計!C$3,合体!$H315,0),"")</f>
        <v>1</v>
      </c>
      <c r="M315" s="202">
        <f ca="1">IF($J315="〇",OFFSET(集計!D$3,合体!$H315,0),"")</f>
        <v>123.8</v>
      </c>
    </row>
    <row r="316" spans="2:13" x14ac:dyDescent="0.2">
      <c r="B316" s="201">
        <f t="shared" si="4"/>
        <v>312</v>
      </c>
      <c r="C316" s="15" t="str">
        <f>薬品マスタリスト_20260130100542!A314</f>
        <v>ジクアス点眼液３％</v>
      </c>
      <c r="D316" s="15" t="str">
        <f>薬品マスタリスト_20260130100542!B314</f>
        <v>ｼﾞｸｱｽﾃﾝｶﾞﾝｴｷ3%</v>
      </c>
      <c r="E316" s="15">
        <f>薬品マスタリスト_20260130100542!C314</f>
        <v>21</v>
      </c>
      <c r="F316" s="206" t="str">
        <f>薬品マスタリスト_20260130100542!D314</f>
        <v>点眼剤</v>
      </c>
      <c r="G316" s="208" t="str">
        <f>match_results!C313</f>
        <v>ジクアス点眼液３％　５ｍｌ／本</v>
      </c>
      <c r="H316" s="208">
        <f>match_results!D313</f>
        <v>31</v>
      </c>
      <c r="I316" s="218">
        <f>match_results!E313</f>
        <v>75</v>
      </c>
      <c r="J316" s="225"/>
      <c r="K316" s="15" t="str">
        <f ca="1">IF($J316="〇",OFFSET(集計!B$3,合体!$H316,0),"")</f>
        <v/>
      </c>
      <c r="L316" s="15" t="str">
        <f ca="1">IF($J316="〇",OFFSET(集計!C$3,合体!$H316,0),"")</f>
        <v/>
      </c>
      <c r="M316" s="202" t="str">
        <f ca="1">IF($J316="〇",OFFSET(集計!D$3,合体!$H316,0),"")</f>
        <v/>
      </c>
    </row>
    <row r="317" spans="2:13" x14ac:dyDescent="0.2">
      <c r="B317" s="201">
        <f t="shared" si="4"/>
        <v>313</v>
      </c>
      <c r="C317" s="15" t="str">
        <f>薬品マスタリスト_20260130100542!A315</f>
        <v>シクレスト舌下錠５ｍｇ</v>
      </c>
      <c r="D317" s="15" t="str">
        <f>薬品マスタリスト_20260130100542!B315</f>
        <v>ｼｸﾚｽﾄｾﾞｯｶｼﾞｮｳ5mg</v>
      </c>
      <c r="E317" s="15">
        <f>薬品マスタリスト_20260130100542!C315</f>
        <v>1</v>
      </c>
      <c r="F317" s="206" t="str">
        <f>薬品マスタリスト_20260130100542!D315</f>
        <v>錠剤</v>
      </c>
      <c r="G317" s="208" t="str">
        <f>match_results!C314</f>
        <v>シクレスト（５）</v>
      </c>
      <c r="H317" s="208">
        <f>match_results!D314</f>
        <v>632</v>
      </c>
      <c r="I317" s="218">
        <f>match_results!E314</f>
        <v>63.157894736842103</v>
      </c>
      <c r="J317" s="225"/>
      <c r="K317" s="15" t="str">
        <f ca="1">IF($J317="〇",OFFSET(集計!B$3,合体!$H317,0),"")</f>
        <v/>
      </c>
      <c r="L317" s="15" t="str">
        <f ca="1">IF($J317="〇",OFFSET(集計!C$3,合体!$H317,0),"")</f>
        <v/>
      </c>
      <c r="M317" s="202" t="str">
        <f ca="1">IF($J317="〇",OFFSET(集計!D$3,合体!$H317,0),"")</f>
        <v/>
      </c>
    </row>
    <row r="318" spans="2:13" x14ac:dyDescent="0.2">
      <c r="B318" s="201">
        <f t="shared" si="4"/>
        <v>314</v>
      </c>
      <c r="C318" s="15" t="str">
        <f>薬品マスタリスト_20260130100542!A316</f>
        <v>シクレスト舌下錠１０ｍｇ</v>
      </c>
      <c r="D318" s="15" t="str">
        <f>薬品マスタリスト_20260130100542!B316</f>
        <v>ｼｸﾚｽﾄｾﾞｯｶｼﾞｮｳ10mg</v>
      </c>
      <c r="E318" s="15">
        <f>薬品マスタリスト_20260130100542!C316</f>
        <v>1</v>
      </c>
      <c r="F318" s="206" t="str">
        <f>薬品マスタリスト_20260130100542!D316</f>
        <v>錠剤</v>
      </c>
      <c r="G318" s="208" t="str">
        <f>match_results!C315</f>
        <v>エンレスト錠１００ｍｇ</v>
      </c>
      <c r="H318" s="208">
        <f>match_results!D315</f>
        <v>427</v>
      </c>
      <c r="I318" s="218">
        <f>match_results!E315</f>
        <v>69.565217391304301</v>
      </c>
      <c r="J318" s="225"/>
      <c r="K318" s="15" t="str">
        <f ca="1">IF($J318="〇",OFFSET(集計!B$3,合体!$H318,0),"")</f>
        <v/>
      </c>
      <c r="L318" s="15" t="str">
        <f ca="1">IF($J318="〇",OFFSET(集計!C$3,合体!$H318,0),"")</f>
        <v/>
      </c>
      <c r="M318" s="202" t="str">
        <f ca="1">IF($J318="〇",OFFSET(集計!D$3,合体!$H318,0),"")</f>
        <v/>
      </c>
    </row>
    <row r="319" spans="2:13" x14ac:dyDescent="0.2">
      <c r="B319" s="201">
        <f t="shared" si="4"/>
        <v>315</v>
      </c>
      <c r="C319" s="15" t="str">
        <f>薬品マスタリスト_20260130100542!A317</f>
        <v>ジクロフェナクナトリウム坐剤２５ｍｇ「ＪＧ」</v>
      </c>
      <c r="D319" s="15" t="str">
        <f>薬品マスタリスト_20260130100542!B317</f>
        <v>ｼﾞｸﾛﾌｪﾅｸﾅﾄﾘｳﾑｻﾞｻﾞｲ25mg｢JG｣</v>
      </c>
      <c r="E319" s="15">
        <f>薬品マスタリスト_20260130100542!C317</f>
        <v>12</v>
      </c>
      <c r="F319" s="206" t="str">
        <f>薬品マスタリスト_20260130100542!D317</f>
        <v>坐剤</v>
      </c>
      <c r="G319" s="208" t="str">
        <f>match_results!C316</f>
        <v>ジクロフェナクナトリウム坐剤２５</v>
      </c>
      <c r="H319" s="208">
        <f>match_results!D316</f>
        <v>68</v>
      </c>
      <c r="I319" s="218">
        <f>match_results!E316</f>
        <v>84.210526315789394</v>
      </c>
      <c r="J319" s="225"/>
      <c r="K319" s="15" t="str">
        <f ca="1">IF($J319="〇",OFFSET(集計!B$3,合体!$H319,0),"")</f>
        <v/>
      </c>
      <c r="L319" s="15" t="str">
        <f ca="1">IF($J319="〇",OFFSET(集計!C$3,合体!$H319,0),"")</f>
        <v/>
      </c>
      <c r="M319" s="202" t="str">
        <f ca="1">IF($J319="〇",OFFSET(集計!D$3,合体!$H319,0),"")</f>
        <v/>
      </c>
    </row>
    <row r="320" spans="2:13" x14ac:dyDescent="0.2">
      <c r="B320" s="201">
        <f t="shared" si="4"/>
        <v>316</v>
      </c>
      <c r="C320" s="15" t="str">
        <f>薬品マスタリスト_20260130100542!A318</f>
        <v>シクロスポリンカプセル５０ｍｇ「トーワ」</v>
      </c>
      <c r="D320" s="15" t="str">
        <f>薬品マスタリスト_20260130100542!B318</f>
        <v>ｼｸﾛｽﾎﾟﾘﾝｶﾌﾟｾﾙ50mg｢ﾄｰﾜ｣</v>
      </c>
      <c r="E320" s="15">
        <f>薬品マスタリスト_20260130100542!C318</f>
        <v>2</v>
      </c>
      <c r="F320" s="206" t="str">
        <f>薬品マスタリスト_20260130100542!D318</f>
        <v>カプセル</v>
      </c>
      <c r="G320" s="208" t="str">
        <f>match_results!C317</f>
        <v>シクロスポリンカプセル５０ｍｇ</v>
      </c>
      <c r="H320" s="208">
        <f>match_results!D317</f>
        <v>243</v>
      </c>
      <c r="I320" s="218">
        <f>match_results!E317</f>
        <v>85.714285714285694</v>
      </c>
      <c r="J320" s="225"/>
      <c r="K320" s="15" t="str">
        <f ca="1">IF($J320="〇",OFFSET(集計!B$3,合体!$H320,0),"")</f>
        <v/>
      </c>
      <c r="L320" s="15" t="str">
        <f ca="1">IF($J320="〇",OFFSET(集計!C$3,合体!$H320,0),"")</f>
        <v/>
      </c>
      <c r="M320" s="202" t="str">
        <f ca="1">IF($J320="〇",OFFSET(集計!D$3,合体!$H320,0),"")</f>
        <v/>
      </c>
    </row>
    <row r="321" spans="2:13" x14ac:dyDescent="0.2">
      <c r="B321" s="201">
        <f t="shared" si="4"/>
        <v>317</v>
      </c>
      <c r="C321" s="15" t="str">
        <f>薬品マスタリスト_20260130100542!A319</f>
        <v>ジスチグミン臭化物錠５ｍｇ「ＮＩＧ」</v>
      </c>
      <c r="D321" s="15" t="str">
        <f>薬品マスタリスト_20260130100542!B319</f>
        <v>ｼﾞｽﾁｸﾞﾐﾝｼｭｳｶﾌﾞﾂｼﾞｮｳ5mg｢NIG｣</v>
      </c>
      <c r="E321" s="15">
        <f>薬品マスタリスト_20260130100542!C319</f>
        <v>1</v>
      </c>
      <c r="F321" s="206" t="str">
        <f>薬品マスタリスト_20260130100542!D319</f>
        <v>錠剤</v>
      </c>
      <c r="G321" s="208" t="str">
        <f>match_results!C318</f>
        <v>ジスチグミン錠５㎎　　　　　　【毒薬】</v>
      </c>
      <c r="H321" s="208">
        <f>match_results!D318</f>
        <v>252</v>
      </c>
      <c r="I321" s="218">
        <f>match_results!E318</f>
        <v>50</v>
      </c>
      <c r="J321" s="225"/>
      <c r="K321" s="15" t="str">
        <f ca="1">IF($J321="〇",OFFSET(集計!B$3,合体!$H321,0),"")</f>
        <v/>
      </c>
      <c r="L321" s="15" t="str">
        <f ca="1">IF($J321="〇",OFFSET(集計!C$3,合体!$H321,0),"")</f>
        <v/>
      </c>
      <c r="M321" s="202" t="str">
        <f ca="1">IF($J321="〇",OFFSET(集計!D$3,合体!$H321,0),"")</f>
        <v/>
      </c>
    </row>
    <row r="322" spans="2:13" x14ac:dyDescent="0.2">
      <c r="B322" s="201">
        <f t="shared" si="4"/>
        <v>318</v>
      </c>
      <c r="C322" s="15" t="str">
        <f>薬品マスタリスト_20260130100542!A320</f>
        <v>ジスバルカプセル４０ｍｇ</v>
      </c>
      <c r="D322" s="15" t="str">
        <f>薬品マスタリスト_20260130100542!B320</f>
        <v>ｼﾞｽﾊﾞﾙｶﾌﾟｾﾙ40MG</v>
      </c>
      <c r="E322" s="15">
        <f>薬品マスタリスト_20260130100542!C320</f>
        <v>2</v>
      </c>
      <c r="F322" s="206" t="str">
        <f>薬品マスタリスト_20260130100542!D320</f>
        <v>カプセル</v>
      </c>
      <c r="G322" s="208" t="str">
        <f>match_results!C319</f>
        <v>ニフェジピンカプセル１０ｍｇ</v>
      </c>
      <c r="H322" s="208">
        <f>match_results!D319</f>
        <v>66</v>
      </c>
      <c r="I322" s="218">
        <f>match_results!E319</f>
        <v>61.538461538461497</v>
      </c>
      <c r="J322" s="225"/>
      <c r="K322" s="15" t="str">
        <f ca="1">IF($J322="〇",OFFSET(集計!B$3,合体!$H322,0),"")</f>
        <v/>
      </c>
      <c r="L322" s="15" t="str">
        <f ca="1">IF($J322="〇",OFFSET(集計!C$3,合体!$H322,0),"")</f>
        <v/>
      </c>
      <c r="M322" s="202" t="str">
        <f ca="1">IF($J322="〇",OFFSET(集計!D$3,合体!$H322,0),"")</f>
        <v/>
      </c>
    </row>
    <row r="323" spans="2:13" x14ac:dyDescent="0.2">
      <c r="B323" s="201">
        <f t="shared" si="4"/>
        <v>319</v>
      </c>
      <c r="C323" s="15" t="str">
        <f>薬品マスタリスト_20260130100542!A321</f>
        <v>シーピー配合顆粒</v>
      </c>
      <c r="D323" s="15" t="str">
        <f>薬品マスタリスト_20260130100542!B321</f>
        <v>ｼｰﾋﾟｰﾊｲｺﾞｳｶﾘｭｳ</v>
      </c>
      <c r="E323" s="15">
        <f>薬品マスタリスト_20260130100542!C321</f>
        <v>3</v>
      </c>
      <c r="F323" s="206" t="str">
        <f>薬品マスタリスト_20260130100542!D321</f>
        <v>散</v>
      </c>
      <c r="G323" s="208" t="str">
        <f>match_results!C320</f>
        <v>シーピー配合顆粒　１ｇＸ１００８包</v>
      </c>
      <c r="H323" s="208">
        <f>match_results!D320</f>
        <v>285</v>
      </c>
      <c r="I323" s="218">
        <f>match_results!E320</f>
        <v>64</v>
      </c>
      <c r="J323" s="225"/>
      <c r="K323" s="15" t="str">
        <f ca="1">IF($J323="〇",OFFSET(集計!B$3,合体!$H323,0),"")</f>
        <v/>
      </c>
      <c r="L323" s="15" t="str">
        <f ca="1">IF($J323="〇",OFFSET(集計!C$3,合体!$H323,0),"")</f>
        <v/>
      </c>
      <c r="M323" s="202" t="str">
        <f ca="1">IF($J323="〇",OFFSET(集計!D$3,合体!$H323,0),"")</f>
        <v/>
      </c>
    </row>
    <row r="324" spans="2:13" x14ac:dyDescent="0.2">
      <c r="B324" s="201">
        <f t="shared" si="4"/>
        <v>320</v>
      </c>
      <c r="C324" s="15" t="str">
        <f>薬品マスタリスト_20260130100542!A322</f>
        <v>ジフェニドール塩酸塩錠２５ｍｇ「ＮＩＧ」</v>
      </c>
      <c r="D324" s="15" t="str">
        <f>薬品マスタリスト_20260130100542!B322</f>
        <v>ｼﾞﾌｪﾆﾄﾞｰﾙｴﾝｻﾝｴﾝｼﾞｮｳ25mg｢NIG｣</v>
      </c>
      <c r="E324" s="15">
        <f>薬品マスタリスト_20260130100542!C322</f>
        <v>1</v>
      </c>
      <c r="F324" s="206" t="str">
        <f>薬品マスタリスト_20260130100542!D322</f>
        <v>錠剤</v>
      </c>
      <c r="G324" s="208" t="str">
        <f>match_results!C321</f>
        <v>ジフェニドール塩酸塩錠２５㎎「タイヨ</v>
      </c>
      <c r="H324" s="208">
        <f>match_results!D321</f>
        <v>360</v>
      </c>
      <c r="I324" s="218">
        <f>match_results!E321</f>
        <v>73.684210526315795</v>
      </c>
      <c r="J324" s="225"/>
      <c r="K324" s="15" t="str">
        <f ca="1">IF($J324="〇",OFFSET(集計!B$3,合体!$H324,0),"")</f>
        <v/>
      </c>
      <c r="L324" s="15" t="str">
        <f ca="1">IF($J324="〇",OFFSET(集計!C$3,合体!$H324,0),"")</f>
        <v/>
      </c>
      <c r="M324" s="202" t="str">
        <f ca="1">IF($J324="〇",OFFSET(集計!D$3,合体!$H324,0),"")</f>
        <v/>
      </c>
    </row>
    <row r="325" spans="2:13" x14ac:dyDescent="0.2">
      <c r="B325" s="201">
        <f t="shared" si="4"/>
        <v>321</v>
      </c>
      <c r="C325" s="15" t="str">
        <f>薬品マスタリスト_20260130100542!A323</f>
        <v>ジフルカン静注液５０ｍｇ</v>
      </c>
      <c r="D325" s="15" t="str">
        <f>薬品マスタリスト_20260130100542!B323</f>
        <v>ｼﾞﾌﾙｶﾝｼﾞｮｳﾁｭｳｴｷ50mg</v>
      </c>
      <c r="E325" s="15">
        <f>薬品マスタリスト_20260130100542!C323</f>
        <v>25</v>
      </c>
      <c r="F325" s="206" t="str">
        <f>薬品マスタリスト_20260130100542!D323</f>
        <v>注射剤</v>
      </c>
      <c r="G325" s="208" t="str">
        <f>match_results!C322</f>
        <v>フェジン静注４０ｍｇ</v>
      </c>
      <c r="H325" s="208">
        <f>match_results!D322</f>
        <v>117</v>
      </c>
      <c r="I325" s="218">
        <f>match_results!E322</f>
        <v>63.636363636363598</v>
      </c>
      <c r="J325" s="225"/>
      <c r="K325" s="15" t="str">
        <f ca="1">IF($J325="〇",OFFSET(集計!B$3,合体!$H325,0),"")</f>
        <v/>
      </c>
      <c r="L325" s="15" t="str">
        <f ca="1">IF($J325="〇",OFFSET(集計!C$3,合体!$H325,0),"")</f>
        <v/>
      </c>
      <c r="M325" s="202" t="str">
        <f ca="1">IF($J325="〇",OFFSET(集計!D$3,合体!$H325,0),"")</f>
        <v/>
      </c>
    </row>
    <row r="326" spans="2:13" x14ac:dyDescent="0.2">
      <c r="B326" s="201">
        <f t="shared" si="4"/>
        <v>322</v>
      </c>
      <c r="C326" s="15" t="str">
        <f>薬品マスタリスト_20260130100542!A324</f>
        <v>ジフルカン静注液１００ｍｇ</v>
      </c>
      <c r="D326" s="15" t="str">
        <f>薬品マスタリスト_20260130100542!B324</f>
        <v>ｼﾞﾌﾙｶﾝｼﾞｮｳﾁｭｳｴｷ100mg</v>
      </c>
      <c r="E326" s="15">
        <f>薬品マスタリスト_20260130100542!C324</f>
        <v>25</v>
      </c>
      <c r="F326" s="206" t="str">
        <f>薬品マスタリスト_20260130100542!D324</f>
        <v>注射剤</v>
      </c>
      <c r="G326" s="208" t="str">
        <f>match_results!C323</f>
        <v>ドルミカム注１０ｍｇ</v>
      </c>
      <c r="H326" s="208">
        <f>match_results!D323</f>
        <v>45</v>
      </c>
      <c r="I326" s="218">
        <f>match_results!E323</f>
        <v>60.869565217391298</v>
      </c>
      <c r="J326" s="225"/>
      <c r="K326" s="15" t="str">
        <f ca="1">IF($J326="〇",OFFSET(集計!B$3,合体!$H326,0),"")</f>
        <v/>
      </c>
      <c r="L326" s="15" t="str">
        <f ca="1">IF($J326="〇",OFFSET(集計!C$3,合体!$H326,0),"")</f>
        <v/>
      </c>
      <c r="M326" s="202" t="str">
        <f ca="1">IF($J326="〇",OFFSET(集計!D$3,合体!$H326,0),"")</f>
        <v/>
      </c>
    </row>
    <row r="327" spans="2:13" x14ac:dyDescent="0.2">
      <c r="B327" s="201">
        <f t="shared" ref="B327:B390" si="5">B326+1</f>
        <v>323</v>
      </c>
      <c r="C327" s="15" t="str">
        <f>薬品マスタリスト_20260130100542!A325</f>
        <v>ジプレキサザイディス錠２．５ｍｇ</v>
      </c>
      <c r="D327" s="15" t="str">
        <f>薬品マスタリスト_20260130100542!B325</f>
        <v>ｼﾞﾌﾟﾚｷｻｻﾞｲﾃﾞｨｽｼﾞｮｳ2.5mg</v>
      </c>
      <c r="E327" s="15">
        <f>薬品マスタリスト_20260130100542!C325</f>
        <v>1</v>
      </c>
      <c r="F327" s="206" t="str">
        <f>薬品マスタリスト_20260130100542!D325</f>
        <v>錠剤</v>
      </c>
      <c r="G327" s="208" t="str">
        <f>match_results!C324</f>
        <v>ジプレキサ　ザイディス錠２．５ｍｇ</v>
      </c>
      <c r="H327" s="208">
        <f>match_results!D324</f>
        <v>25</v>
      </c>
      <c r="I327" s="218">
        <f>match_results!E324</f>
        <v>66.6666666666666</v>
      </c>
      <c r="J327" s="225"/>
      <c r="K327" s="15" t="str">
        <f ca="1">IF($J327="〇",OFFSET(集計!B$3,合体!$H327,0),"")</f>
        <v/>
      </c>
      <c r="L327" s="15" t="str">
        <f ca="1">IF($J327="〇",OFFSET(集計!C$3,合体!$H327,0),"")</f>
        <v/>
      </c>
      <c r="M327" s="202" t="str">
        <f ca="1">IF($J327="〇",OFFSET(集計!D$3,合体!$H327,0),"")</f>
        <v/>
      </c>
    </row>
    <row r="328" spans="2:13" x14ac:dyDescent="0.2">
      <c r="B328" s="201">
        <f t="shared" si="5"/>
        <v>324</v>
      </c>
      <c r="C328" s="15" t="str">
        <f>薬品マスタリスト_20260130100542!A326</f>
        <v>ジプレキサザイディス錠５ｍｇ</v>
      </c>
      <c r="D328" s="15" t="str">
        <f>薬品マスタリスト_20260130100542!B326</f>
        <v>ｼﾞﾌﾟﾚｷｻｻﾞｲﾃﾞｨｽｼﾞｮｳ5mg</v>
      </c>
      <c r="E328" s="15">
        <f>薬品マスタリスト_20260130100542!C326</f>
        <v>1</v>
      </c>
      <c r="F328" s="206" t="str">
        <f>薬品マスタリスト_20260130100542!D326</f>
        <v>錠剤</v>
      </c>
      <c r="G328" s="208" t="str">
        <f>match_results!C325</f>
        <v>ジプレキサ　ザイディス錠５ｍｇ</v>
      </c>
      <c r="H328" s="208">
        <f>match_results!D325</f>
        <v>610</v>
      </c>
      <c r="I328" s="218">
        <f>match_results!E325</f>
        <v>62.068965517241303</v>
      </c>
      <c r="J328" s="225"/>
      <c r="K328" s="15" t="str">
        <f ca="1">IF($J328="〇",OFFSET(集計!B$3,合体!$H328,0),"")</f>
        <v/>
      </c>
      <c r="L328" s="15" t="str">
        <f ca="1">IF($J328="〇",OFFSET(集計!C$3,合体!$H328,0),"")</f>
        <v/>
      </c>
      <c r="M328" s="202" t="str">
        <f ca="1">IF($J328="〇",OFFSET(集計!D$3,合体!$H328,0),"")</f>
        <v/>
      </c>
    </row>
    <row r="329" spans="2:13" x14ac:dyDescent="0.2">
      <c r="B329" s="201">
        <f t="shared" si="5"/>
        <v>325</v>
      </c>
      <c r="C329" s="15" t="str">
        <f>薬品マスタリスト_20260130100542!A327</f>
        <v>ジプレキサザイディス錠１０ｍｇ</v>
      </c>
      <c r="D329" s="15" t="str">
        <f>薬品マスタリスト_20260130100542!B327</f>
        <v>ｼﾞﾌﾟﾚｷｻｻﾞｲﾃﾞｨｽｼﾞｮｳ10mg</v>
      </c>
      <c r="E329" s="15">
        <f>薬品マスタリスト_20260130100542!C327</f>
        <v>1</v>
      </c>
      <c r="F329" s="206" t="str">
        <f>薬品マスタリスト_20260130100542!D327</f>
        <v>錠剤</v>
      </c>
      <c r="G329" s="208" t="str">
        <f>match_results!C326</f>
        <v>ジプレキサ　ザイディス錠１０ｍｇ</v>
      </c>
      <c r="H329" s="208">
        <f>match_results!D326</f>
        <v>562</v>
      </c>
      <c r="I329" s="218">
        <f>match_results!E326</f>
        <v>64.516129032257993</v>
      </c>
      <c r="J329" s="225"/>
      <c r="K329" s="15" t="str">
        <f ca="1">IF($J329="〇",OFFSET(集計!B$3,合体!$H329,0),"")</f>
        <v/>
      </c>
      <c r="L329" s="15" t="str">
        <f ca="1">IF($J329="〇",OFFSET(集計!C$3,合体!$H329,0),"")</f>
        <v/>
      </c>
      <c r="M329" s="202" t="str">
        <f ca="1">IF($J329="〇",OFFSET(集計!D$3,合体!$H329,0),"")</f>
        <v/>
      </c>
    </row>
    <row r="330" spans="2:13" x14ac:dyDescent="0.2">
      <c r="B330" s="201">
        <f t="shared" si="5"/>
        <v>326</v>
      </c>
      <c r="C330" s="15" t="str">
        <f>薬品マスタリスト_20260130100542!A328</f>
        <v>ジプレキサ筋注用１０ｍｇ</v>
      </c>
      <c r="D330" s="15" t="str">
        <f>薬品マスタリスト_20260130100542!B328</f>
        <v>ｼﾞﾌﾟﾚｷｻｷﾝﾁｭｳﾖｳ10mg</v>
      </c>
      <c r="E330" s="15">
        <f>薬品マスタリスト_20260130100542!C328</f>
        <v>25</v>
      </c>
      <c r="F330" s="206" t="str">
        <f>薬品マスタリスト_20260130100542!D328</f>
        <v>注射剤</v>
      </c>
      <c r="G330" s="208" t="str">
        <f>match_results!C327</f>
        <v>ゼプリオン水懸筋注１５０ｍｇ</v>
      </c>
      <c r="H330" s="208">
        <f>match_results!D327</f>
        <v>626</v>
      </c>
      <c r="I330" s="218">
        <f>match_results!E327</f>
        <v>53.846153846153797</v>
      </c>
      <c r="J330" s="225"/>
      <c r="K330" s="15" t="str">
        <f ca="1">IF($J330="〇",OFFSET(集計!B$3,合体!$H330,0),"")</f>
        <v/>
      </c>
      <c r="L330" s="15" t="str">
        <f ca="1">IF($J330="〇",OFFSET(集計!C$3,合体!$H330,0),"")</f>
        <v/>
      </c>
      <c r="M330" s="202" t="str">
        <f ca="1">IF($J330="〇",OFFSET(集計!D$3,合体!$H330,0),"")</f>
        <v/>
      </c>
    </row>
    <row r="331" spans="2:13" x14ac:dyDescent="0.2">
      <c r="B331" s="201">
        <f t="shared" si="5"/>
        <v>327</v>
      </c>
      <c r="C331" s="15" t="str">
        <f>薬品マスタリスト_20260130100542!A329</f>
        <v>シプロフロキサシン点滴静注２００ｍｇ／１００ｍＬ「明治」</v>
      </c>
      <c r="D331" s="15" t="str">
        <f>薬品マスタリスト_20260130100542!B329</f>
        <v>ｼﾌﾟﾛﾌﾛｷｻｼﾝﾃﾝﾃｷｼﾞｮｳﾁｭｳ200mg/100mL｢ﾒｲｼﾞ｣</v>
      </c>
      <c r="E331" s="15">
        <f>薬品マスタリスト_20260130100542!C329</f>
        <v>25</v>
      </c>
      <c r="F331" s="206" t="str">
        <f>薬品マスタリスト_20260130100542!D329</f>
        <v>注射剤</v>
      </c>
      <c r="G331" s="208" t="str">
        <f>match_results!C328</f>
        <v>レボフロキサシン錠２５０ｍｇ</v>
      </c>
      <c r="H331" s="208">
        <f>match_results!D328</f>
        <v>464</v>
      </c>
      <c r="I331" s="218">
        <f>match_results!E328</f>
        <v>47.619047619047599</v>
      </c>
      <c r="J331" s="225"/>
      <c r="K331" s="15" t="str">
        <f ca="1">IF($J331="〇",OFFSET(集計!B$3,合体!$H331,0),"")</f>
        <v/>
      </c>
      <c r="L331" s="15" t="str">
        <f ca="1">IF($J331="〇",OFFSET(集計!C$3,合体!$H331,0),"")</f>
        <v/>
      </c>
      <c r="M331" s="202" t="str">
        <f ca="1">IF($J331="〇",OFFSET(集計!D$3,合体!$H331,0),"")</f>
        <v/>
      </c>
    </row>
    <row r="332" spans="2:13" x14ac:dyDescent="0.2">
      <c r="B332" s="201">
        <f t="shared" si="5"/>
        <v>328</v>
      </c>
      <c r="C332" s="15" t="str">
        <f>薬品マスタリスト_20260130100542!A330</f>
        <v>シベンゾリンコハク酸塩錠１００ｍｇ「サワイ」</v>
      </c>
      <c r="D332" s="15" t="str">
        <f>薬品マスタリスト_20260130100542!B330</f>
        <v>ｼﾍﾞﾝｿﾞﾘﾝｺﾊｸｻﾝｴﾝｼﾞﾖｳ100MGｻﾜｲ</v>
      </c>
      <c r="E332" s="15">
        <f>薬品マスタリスト_20260130100542!C330</f>
        <v>1</v>
      </c>
      <c r="F332" s="206" t="str">
        <f>薬品マスタリスト_20260130100542!D330</f>
        <v>錠剤</v>
      </c>
      <c r="G332" s="208" t="str">
        <f>match_results!C329</f>
        <v>ドンペリドン錠１０ｍｇ「トーワ」</v>
      </c>
      <c r="H332" s="208">
        <f>match_results!D329</f>
        <v>392</v>
      </c>
      <c r="I332" s="218">
        <f>match_results!E329</f>
        <v>57.894736842105203</v>
      </c>
      <c r="J332" s="225"/>
      <c r="K332" s="15" t="str">
        <f ca="1">IF($J332="〇",OFFSET(集計!B$3,合体!$H332,0),"")</f>
        <v/>
      </c>
      <c r="L332" s="15" t="str">
        <f ca="1">IF($J332="〇",OFFSET(集計!C$3,合体!$H332,0),"")</f>
        <v/>
      </c>
      <c r="M332" s="202" t="str">
        <f ca="1">IF($J332="〇",OFFSET(集計!D$3,合体!$H332,0),"")</f>
        <v/>
      </c>
    </row>
    <row r="333" spans="2:13" x14ac:dyDescent="0.2">
      <c r="B333" s="201">
        <f t="shared" si="5"/>
        <v>329</v>
      </c>
      <c r="C333" s="15" t="str">
        <f>薬品マスタリスト_20260130100542!A331</f>
        <v>ジメチコン錠４０ｍｇ「ＹＤ」</v>
      </c>
      <c r="D333" s="15" t="str">
        <f>薬品マスタリスト_20260130100542!B331</f>
        <v>ｼﾞﾒﾁｺﾝｼﾞｮｳ40mg｢YD｣</v>
      </c>
      <c r="E333" s="15">
        <f>薬品マスタリスト_20260130100542!C331</f>
        <v>1</v>
      </c>
      <c r="F333" s="206" t="str">
        <f>薬品マスタリスト_20260130100542!D331</f>
        <v>錠剤</v>
      </c>
      <c r="G333" s="208" t="str">
        <f>match_results!C330</f>
        <v>ジメチコン錠４０ｍｇ</v>
      </c>
      <c r="H333" s="208">
        <f>match_results!D330</f>
        <v>422</v>
      </c>
      <c r="I333" s="218">
        <f>match_results!E330</f>
        <v>83.3333333333333</v>
      </c>
      <c r="J333" s="225"/>
      <c r="K333" s="15" t="str">
        <f ca="1">IF($J333="〇",OFFSET(集計!B$3,合体!$H333,0),"")</f>
        <v/>
      </c>
      <c r="L333" s="15" t="str">
        <f ca="1">IF($J333="〇",OFFSET(集計!C$3,合体!$H333,0),"")</f>
        <v/>
      </c>
      <c r="M333" s="202" t="str">
        <f ca="1">IF($J333="〇",OFFSET(集計!D$3,合体!$H333,0),"")</f>
        <v/>
      </c>
    </row>
    <row r="334" spans="2:13" x14ac:dyDescent="0.2">
      <c r="B334" s="201">
        <f t="shared" si="5"/>
        <v>330</v>
      </c>
      <c r="C334" s="15" t="str">
        <f>薬品マスタリスト_20260130100542!A332</f>
        <v>硝酸イソソルビド徐放カプセル２０ｍｇ「Ｓｔ」</v>
      </c>
      <c r="D334" s="15" t="str">
        <f>薬品マスタリスト_20260130100542!B332</f>
        <v>ｼｮｳｻﾝｲｿｿﾙﾋﾞﾄﾞｼﾞｮﾎｳｶﾌﾟｾﾙ20mg｢St｣</v>
      </c>
      <c r="E334" s="15">
        <f>薬品マスタリスト_20260130100542!C332</f>
        <v>2</v>
      </c>
      <c r="F334" s="206" t="str">
        <f>薬品マスタリスト_20260130100542!D332</f>
        <v>カプセル</v>
      </c>
      <c r="G334" s="208" t="str">
        <f>match_results!C331</f>
        <v>硝酸イソソルビド徐放カプセル</v>
      </c>
      <c r="H334" s="208">
        <f>match_results!D331</f>
        <v>234</v>
      </c>
      <c r="I334" s="218">
        <f>match_results!E331</f>
        <v>77.7777777777777</v>
      </c>
      <c r="J334" s="225"/>
      <c r="K334" s="15" t="str">
        <f ca="1">IF($J334="〇",OFFSET(集計!B$3,合体!$H334,0),"")</f>
        <v/>
      </c>
      <c r="L334" s="15" t="str">
        <f ca="1">IF($J334="〇",OFFSET(集計!C$3,合体!$H334,0),"")</f>
        <v/>
      </c>
      <c r="M334" s="202" t="str">
        <f ca="1">IF($J334="〇",OFFSET(集計!D$3,合体!$H334,0),"")</f>
        <v/>
      </c>
    </row>
    <row r="335" spans="2:13" x14ac:dyDescent="0.2">
      <c r="B335" s="201">
        <f t="shared" si="5"/>
        <v>331</v>
      </c>
      <c r="C335" s="15" t="str">
        <f>薬品マスタリスト_20260130100542!A333</f>
        <v>照射赤血球液－ＬＲ「日赤」</v>
      </c>
      <c r="D335" s="15" t="str">
        <f>薬品マスタリスト_20260130100542!B333</f>
        <v>ｼｮｳｼｬｾｯｹｯｷｭｳｴｷ-LR｢ﾆｯｾｷ｣</v>
      </c>
      <c r="E335" s="15">
        <f>薬品マスタリスト_20260130100542!C333</f>
        <v>25</v>
      </c>
      <c r="F335" s="206" t="str">
        <f>薬品マスタリスト_20260130100542!D333</f>
        <v>注射剤</v>
      </c>
      <c r="G335" s="208" t="str">
        <f>match_results!C332</f>
        <v>ジアゼパム注射液「ＮＩＧ」</v>
      </c>
      <c r="H335" s="208">
        <f>match_results!D332</f>
        <v>144</v>
      </c>
      <c r="I335" s="218">
        <f>match_results!E332</f>
        <v>30.769230769230699</v>
      </c>
      <c r="J335" s="225"/>
      <c r="K335" s="15" t="str">
        <f ca="1">IF($J335="〇",OFFSET(集計!B$3,合体!$H335,0),"")</f>
        <v/>
      </c>
      <c r="L335" s="15" t="str">
        <f ca="1">IF($J335="〇",OFFSET(集計!C$3,合体!$H335,0),"")</f>
        <v/>
      </c>
      <c r="M335" s="202" t="str">
        <f ca="1">IF($J335="〇",OFFSET(集計!D$3,合体!$H335,0),"")</f>
        <v/>
      </c>
    </row>
    <row r="336" spans="2:13" x14ac:dyDescent="0.2">
      <c r="B336" s="201">
        <f t="shared" si="5"/>
        <v>332</v>
      </c>
      <c r="C336" s="15" t="str">
        <f>薬品マスタリスト_20260130100542!A334</f>
        <v>ジルチアゼム塩酸塩静注用５０ｍｇ「日医工」</v>
      </c>
      <c r="D336" s="15" t="str">
        <f>薬品マスタリスト_20260130100542!B334</f>
        <v>ｼﾞﾙﾁｱｾﾞﾑｴﾝｻﾝｴﾝｼﾞｮｳﾁｭｳﾖｳ50mg｢ﾆﾁｲｺｳ｣</v>
      </c>
      <c r="E336" s="15">
        <f>薬品マスタリスト_20260130100542!C334</f>
        <v>25</v>
      </c>
      <c r="F336" s="206" t="str">
        <f>薬品マスタリスト_20260130100542!D334</f>
        <v>注射剤</v>
      </c>
      <c r="G336" s="208" t="str">
        <f>match_results!C333</f>
        <v>ジアゼパム錠５ｍｇ「アメル」　</v>
      </c>
      <c r="H336" s="208">
        <f>match_results!D333</f>
        <v>318</v>
      </c>
      <c r="I336" s="218">
        <f>match_results!E333</f>
        <v>51.428571428571402</v>
      </c>
      <c r="J336" s="225"/>
      <c r="K336" s="15" t="str">
        <f ca="1">IF($J336="〇",OFFSET(集計!B$3,合体!$H336,0),"")</f>
        <v/>
      </c>
      <c r="L336" s="15" t="str">
        <f ca="1">IF($J336="〇",OFFSET(集計!C$3,合体!$H336,0),"")</f>
        <v/>
      </c>
      <c r="M336" s="202" t="str">
        <f ca="1">IF($J336="〇",OFFSET(集計!D$3,合体!$H336,0),"")</f>
        <v/>
      </c>
    </row>
    <row r="337" spans="2:13" x14ac:dyDescent="0.2">
      <c r="B337" s="201">
        <f t="shared" si="5"/>
        <v>333</v>
      </c>
      <c r="C337" s="15" t="str">
        <f>薬品マスタリスト_20260130100542!A335</f>
        <v>シロスタゾール錠１００ｍｇ「トーワ」</v>
      </c>
      <c r="D337" s="15" t="str">
        <f>薬品マスタリスト_20260130100542!B335</f>
        <v>ｼﾛｽﾀｿﾞｰﾙｼﾞｮｳ100mg｢ﾄｰﾜ｣</v>
      </c>
      <c r="E337" s="15">
        <f>薬品マスタリスト_20260130100542!C335</f>
        <v>1</v>
      </c>
      <c r="F337" s="206" t="str">
        <f>薬品マスタリスト_20260130100542!D335</f>
        <v>錠剤</v>
      </c>
      <c r="G337" s="208" t="str">
        <f>match_results!C334</f>
        <v>シロスタゾールＯＤ錠１００</v>
      </c>
      <c r="H337" s="208">
        <f>match_results!D334</f>
        <v>435</v>
      </c>
      <c r="I337" s="218">
        <f>match_results!E334</f>
        <v>70.967741935483801</v>
      </c>
      <c r="J337" s="225"/>
      <c r="K337" s="15" t="str">
        <f ca="1">IF($J337="〇",OFFSET(集計!B$3,合体!$H337,0),"")</f>
        <v/>
      </c>
      <c r="L337" s="15" t="str">
        <f ca="1">IF($J337="〇",OFFSET(集計!C$3,合体!$H337,0),"")</f>
        <v/>
      </c>
      <c r="M337" s="202" t="str">
        <f ca="1">IF($J337="〇",OFFSET(集計!D$3,合体!$H337,0),"")</f>
        <v/>
      </c>
    </row>
    <row r="338" spans="2:13" x14ac:dyDescent="0.2">
      <c r="B338" s="201">
        <f t="shared" si="5"/>
        <v>334</v>
      </c>
      <c r="C338" s="15" t="str">
        <f>薬品マスタリスト_20260130100542!A336</f>
        <v>シロスタゾールＯＤ錠１００ｍｇ「トーワ」</v>
      </c>
      <c r="D338" s="15" t="str">
        <f>薬品マスタリスト_20260130100542!B336</f>
        <v>ｼﾛｽﾀｿﾞ-ﾙODｼﾞﾖｳ100MGﾄ-ﾜ</v>
      </c>
      <c r="E338" s="15">
        <f>薬品マスタリスト_20260130100542!C336</f>
        <v>1</v>
      </c>
      <c r="F338" s="206" t="str">
        <f>薬品マスタリスト_20260130100542!D336</f>
        <v>錠剤</v>
      </c>
      <c r="G338" s="208" t="str">
        <f>match_results!C335</f>
        <v>シロスタゾールＯＤ錠１００</v>
      </c>
      <c r="H338" s="208">
        <f>match_results!D335</f>
        <v>435</v>
      </c>
      <c r="I338" s="218">
        <f>match_results!E335</f>
        <v>78.787878787878697</v>
      </c>
      <c r="J338" s="225"/>
      <c r="K338" s="15" t="str">
        <f ca="1">IF($J338="〇",OFFSET(集計!B$3,合体!$H338,0),"")</f>
        <v/>
      </c>
      <c r="L338" s="15" t="str">
        <f ca="1">IF($J338="〇",OFFSET(集計!C$3,合体!$H338,0),"")</f>
        <v/>
      </c>
      <c r="M338" s="202" t="str">
        <f ca="1">IF($J338="〇",OFFSET(集計!D$3,合体!$H338,0),"")</f>
        <v/>
      </c>
    </row>
    <row r="339" spans="2:13" x14ac:dyDescent="0.2">
      <c r="B339" s="201">
        <f t="shared" si="5"/>
        <v>335</v>
      </c>
      <c r="C339" s="15" t="str">
        <f>薬品マスタリスト_20260130100542!A337</f>
        <v>シロスタゾールＯＤ錠１００ｍｇ「タカタ」</v>
      </c>
      <c r="D339" s="15" t="str">
        <f>薬品マスタリスト_20260130100542!B337</f>
        <v>ｼﾛｽﾀｿﾞ-ﾙODｼﾞﾖｳ100MGﾀｶﾀ</v>
      </c>
      <c r="E339" s="15">
        <f>薬品マスタリスト_20260130100542!C337</f>
        <v>1</v>
      </c>
      <c r="F339" s="206" t="str">
        <f>薬品マスタリスト_20260130100542!D337</f>
        <v>錠剤</v>
      </c>
      <c r="G339" s="208" t="str">
        <f>match_results!C336</f>
        <v>シロスタゾールＯＤ錠１００</v>
      </c>
      <c r="H339" s="208">
        <f>match_results!D336</f>
        <v>435</v>
      </c>
      <c r="I339" s="218">
        <f>match_results!E336</f>
        <v>78.787878787878697</v>
      </c>
      <c r="J339" s="225"/>
      <c r="K339" s="15" t="str">
        <f ca="1">IF($J339="〇",OFFSET(集計!B$3,合体!$H339,0),"")</f>
        <v/>
      </c>
      <c r="L339" s="15" t="str">
        <f ca="1">IF($J339="〇",OFFSET(集計!C$3,合体!$H339,0),"")</f>
        <v/>
      </c>
      <c r="M339" s="202" t="str">
        <f ca="1">IF($J339="〇",OFFSET(集計!D$3,合体!$H339,0),"")</f>
        <v/>
      </c>
    </row>
    <row r="340" spans="2:13" x14ac:dyDescent="0.2">
      <c r="B340" s="201">
        <f t="shared" si="5"/>
        <v>336</v>
      </c>
      <c r="C340" s="15" t="str">
        <f>薬品マスタリスト_20260130100542!A338</f>
        <v>シロドシンＯＤ錠４ｍｇ「ＫＭＰ」</v>
      </c>
      <c r="D340" s="15" t="str">
        <f>薬品マスタリスト_20260130100542!B338</f>
        <v>ｼﾛﾄﾞｼﾝODｼﾞﾖｳ4MGKMP</v>
      </c>
      <c r="E340" s="15">
        <f>薬品マスタリスト_20260130100542!C338</f>
        <v>1</v>
      </c>
      <c r="F340" s="206" t="str">
        <f>薬品マスタリスト_20260130100542!D338</f>
        <v>錠剤</v>
      </c>
      <c r="G340" s="208" t="str">
        <f>match_results!C337</f>
        <v>シロドシンＯＤ錠４ｍｇ</v>
      </c>
      <c r="H340" s="208">
        <f>match_results!D337</f>
        <v>148</v>
      </c>
      <c r="I340" s="218">
        <f>match_results!E337</f>
        <v>81.481481481481495</v>
      </c>
      <c r="J340" s="225"/>
      <c r="K340" s="15" t="str">
        <f ca="1">IF($J340="〇",OFFSET(集計!B$3,合体!$H340,0),"")</f>
        <v/>
      </c>
      <c r="L340" s="15" t="str">
        <f ca="1">IF($J340="〇",OFFSET(集計!C$3,合体!$H340,0),"")</f>
        <v/>
      </c>
      <c r="M340" s="202" t="str">
        <f ca="1">IF($J340="〇",OFFSET(集計!D$3,合体!$H340,0),"")</f>
        <v/>
      </c>
    </row>
    <row r="341" spans="2:13" x14ac:dyDescent="0.2">
      <c r="B341" s="201">
        <f t="shared" si="5"/>
        <v>337</v>
      </c>
      <c r="C341" s="15" t="str">
        <f>薬品マスタリスト_20260130100542!A339</f>
        <v>シングレア錠１０ｍｇ</v>
      </c>
      <c r="D341" s="15" t="str">
        <f>薬品マスタリスト_20260130100542!B339</f>
        <v>ｼﾝｸﾞﾚｱｼﾞｮｳ10mg</v>
      </c>
      <c r="E341" s="15">
        <f>薬品マスタリスト_20260130100542!C339</f>
        <v>1</v>
      </c>
      <c r="F341" s="206" t="str">
        <f>薬品マスタリスト_20260130100542!D339</f>
        <v>錠剤</v>
      </c>
      <c r="G341" s="208" t="str">
        <f>match_results!C338</f>
        <v>シングレア錠１０ｍｇ</v>
      </c>
      <c r="H341" s="208">
        <f>match_results!D338</f>
        <v>560</v>
      </c>
      <c r="I341" s="218">
        <f>match_results!E338</f>
        <v>100</v>
      </c>
      <c r="J341" s="225" t="s">
        <v>3917</v>
      </c>
      <c r="K341" s="15">
        <f ca="1">IF($J341="〇",OFFSET(集計!B$3,合体!$H341,0),"")</f>
        <v>63.08</v>
      </c>
      <c r="L341" s="15">
        <f ca="1">IF($J341="〇",OFFSET(集計!C$3,合体!$H341,0),"")</f>
        <v>382</v>
      </c>
      <c r="M341" s="202">
        <f ca="1">IF($J341="〇",OFFSET(集計!D$3,合体!$H341,0),"")</f>
        <v>24096.559999999998</v>
      </c>
    </row>
    <row r="342" spans="2:13" x14ac:dyDescent="0.2">
      <c r="B342" s="201">
        <f t="shared" si="5"/>
        <v>338</v>
      </c>
      <c r="C342" s="15" t="str">
        <f>薬品マスタリスト_20260130100542!A340</f>
        <v>新レシカルボン坐剤</v>
      </c>
      <c r="D342" s="15" t="str">
        <f>薬品マスタリスト_20260130100542!B340</f>
        <v>ｼﾝﾚｼｶﾙﾎﾞﾝｻﾞｻﾞｲ</v>
      </c>
      <c r="E342" s="15">
        <f>薬品マスタリスト_20260130100542!C340</f>
        <v>12</v>
      </c>
      <c r="F342" s="206" t="str">
        <f>薬品マスタリスト_20260130100542!D340</f>
        <v>坐剤</v>
      </c>
      <c r="G342" s="208" t="str">
        <f>match_results!C339</f>
        <v>新レシカルボン坐剤</v>
      </c>
      <c r="H342" s="208">
        <f>match_results!D339</f>
        <v>385</v>
      </c>
      <c r="I342" s="218">
        <f>match_results!E339</f>
        <v>100</v>
      </c>
      <c r="J342" s="225" t="s">
        <v>3917</v>
      </c>
      <c r="K342" s="15">
        <f ca="1">IF($J342="〇",OFFSET(集計!B$3,合体!$H342,0),"")</f>
        <v>63.08</v>
      </c>
      <c r="L342" s="15">
        <f ca="1">IF($J342="〇",OFFSET(集計!C$3,合体!$H342,0),"")</f>
        <v>114</v>
      </c>
      <c r="M342" s="202">
        <f ca="1">IF($J342="〇",OFFSET(集計!D$3,合体!$H342,0),"")</f>
        <v>7191.12</v>
      </c>
    </row>
    <row r="343" spans="2:13" x14ac:dyDescent="0.2">
      <c r="B343" s="201">
        <f t="shared" si="5"/>
        <v>339</v>
      </c>
      <c r="C343" s="15" t="str">
        <f>薬品マスタリスト_20260130100542!A341</f>
        <v>水溶性ハイドロコートン注射液</v>
      </c>
      <c r="D343" s="15" t="str">
        <f>薬品マスタリスト_20260130100542!B341</f>
        <v>ｽｲﾖｳｾｲﾊｲﾄﾞﾛｺｰﾄﾝﾁｭｳｼｬｴｷ</v>
      </c>
      <c r="E343" s="15">
        <f>薬品マスタリスト_20260130100542!C341</f>
        <v>25</v>
      </c>
      <c r="F343" s="206" t="str">
        <f>薬品マスタリスト_20260130100542!D341</f>
        <v>注射剤</v>
      </c>
      <c r="G343" s="208" t="str">
        <f>match_results!C340</f>
        <v>水溶性ハイドロコートン注射１００ｍｇ　２ｍＬＸ１０瓶</v>
      </c>
      <c r="H343" s="208">
        <f>match_results!D340</f>
        <v>388</v>
      </c>
      <c r="I343" s="218">
        <f>match_results!E340</f>
        <v>65</v>
      </c>
      <c r="J343" s="225"/>
      <c r="K343" s="15" t="str">
        <f ca="1">IF($J343="〇",OFFSET(集計!B$3,合体!$H343,0),"")</f>
        <v/>
      </c>
      <c r="L343" s="15" t="str">
        <f ca="1">IF($J343="〇",OFFSET(集計!C$3,合体!$H343,0),"")</f>
        <v/>
      </c>
      <c r="M343" s="202" t="str">
        <f ca="1">IF($J343="〇",OFFSET(集計!D$3,合体!$H343,0),"")</f>
        <v/>
      </c>
    </row>
    <row r="344" spans="2:13" x14ac:dyDescent="0.2">
      <c r="B344" s="201">
        <f t="shared" si="5"/>
        <v>340</v>
      </c>
      <c r="C344" s="15" t="str">
        <f>薬品マスタリスト_20260130100542!A342</f>
        <v>スクロードパスタ</v>
      </c>
      <c r="D344" s="15" t="str">
        <f>薬品マスタリスト_20260130100542!B342</f>
        <v>ｽｸﾛｰﾄﾞﾊﾟｽﾀ</v>
      </c>
      <c r="E344" s="15">
        <f>薬品マスタリスト_20260130100542!C342</f>
        <v>14</v>
      </c>
      <c r="F344" s="206" t="str">
        <f>薬品マスタリスト_20260130100542!D342</f>
        <v>軟膏</v>
      </c>
      <c r="G344" s="208" t="str">
        <f>match_results!C341</f>
        <v>スクロ－ドパスタ　１００ｇ／個</v>
      </c>
      <c r="H344" s="208">
        <f>match_results!D341</f>
        <v>184</v>
      </c>
      <c r="I344" s="218">
        <f>match_results!E341</f>
        <v>60.869565217391298</v>
      </c>
      <c r="J344" s="225"/>
      <c r="K344" s="15" t="str">
        <f ca="1">IF($J344="〇",OFFSET(集計!B$3,合体!$H344,0),"")</f>
        <v/>
      </c>
      <c r="L344" s="15" t="str">
        <f ca="1">IF($J344="〇",OFFSET(集計!C$3,合体!$H344,0),"")</f>
        <v/>
      </c>
      <c r="M344" s="202" t="str">
        <f ca="1">IF($J344="〇",OFFSET(集計!D$3,合体!$H344,0),"")</f>
        <v/>
      </c>
    </row>
    <row r="345" spans="2:13" x14ac:dyDescent="0.2">
      <c r="B345" s="201">
        <f t="shared" si="5"/>
        <v>341</v>
      </c>
      <c r="C345" s="15" t="str">
        <f>薬品マスタリスト_20260130100542!A343</f>
        <v>スタデルムクリーム５％</v>
      </c>
      <c r="D345" s="15" t="str">
        <f>薬品マスタリスト_20260130100542!B343</f>
        <v>ｽﾀﾃﾞﾙﾑｸﾘｰﾑ5%</v>
      </c>
      <c r="E345" s="15">
        <f>薬品マスタリスト_20260130100542!C343</f>
        <v>15</v>
      </c>
      <c r="F345" s="206" t="str">
        <f>薬品マスタリスト_20260130100542!D343</f>
        <v>クリーム</v>
      </c>
      <c r="G345" s="208" t="str">
        <f>match_results!C342</f>
        <v>ウレパールクリーム１０％</v>
      </c>
      <c r="H345" s="208">
        <f>match_results!D342</f>
        <v>36</v>
      </c>
      <c r="I345" s="218">
        <f>match_results!E342</f>
        <v>52.173913043478201</v>
      </c>
      <c r="J345" s="225"/>
      <c r="K345" s="15" t="str">
        <f ca="1">IF($J345="〇",OFFSET(集計!B$3,合体!$H345,0),"")</f>
        <v/>
      </c>
      <c r="L345" s="15" t="str">
        <f ca="1">IF($J345="〇",OFFSET(集計!C$3,合体!$H345,0),"")</f>
        <v/>
      </c>
      <c r="M345" s="202" t="str">
        <f ca="1">IF($J345="〇",OFFSET(集計!D$3,合体!$H345,0),"")</f>
        <v/>
      </c>
    </row>
    <row r="346" spans="2:13" x14ac:dyDescent="0.2">
      <c r="B346" s="201">
        <f t="shared" si="5"/>
        <v>342</v>
      </c>
      <c r="C346" s="15" t="str">
        <f>薬品マスタリスト_20260130100542!A344</f>
        <v>ストロメクトール錠３ｍｇ</v>
      </c>
      <c r="D346" s="15" t="str">
        <f>薬品マスタリスト_20260130100542!B344</f>
        <v>ｽﾄﾛﾒｸﾄｰﾙｼﾞｮｳ3mg</v>
      </c>
      <c r="E346" s="15">
        <f>薬品マスタリスト_20260130100542!C344</f>
        <v>1</v>
      </c>
      <c r="F346" s="206" t="str">
        <f>薬品マスタリスト_20260130100542!D344</f>
        <v>錠剤</v>
      </c>
      <c r="G346" s="208" t="str">
        <f>match_results!C343</f>
        <v>ストロメクトール</v>
      </c>
      <c r="H346" s="208">
        <f>match_results!D343</f>
        <v>609</v>
      </c>
      <c r="I346" s="218">
        <f>match_results!E343</f>
        <v>80</v>
      </c>
      <c r="J346" s="225"/>
      <c r="K346" s="15" t="str">
        <f ca="1">IF($J346="〇",OFFSET(集計!B$3,合体!$H346,0),"")</f>
        <v/>
      </c>
      <c r="L346" s="15" t="str">
        <f ca="1">IF($J346="〇",OFFSET(集計!C$3,合体!$H346,0),"")</f>
        <v/>
      </c>
      <c r="M346" s="202" t="str">
        <f ca="1">IF($J346="〇",OFFSET(集計!D$3,合体!$H346,0),"")</f>
        <v/>
      </c>
    </row>
    <row r="347" spans="2:13" x14ac:dyDescent="0.2">
      <c r="B347" s="201">
        <f t="shared" si="5"/>
        <v>343</v>
      </c>
      <c r="C347" s="15" t="str">
        <f>薬品マスタリスト_20260130100542!A345</f>
        <v>スピリーバ２．５μｇレスピマット６０吸入</v>
      </c>
      <c r="D347" s="15" t="str">
        <f>薬品マスタリスト_20260130100542!B345</f>
        <v>ｽﾋﾟﾘｰﾊﾞ2.5μgﾚｽﾋﾟﾏｯﾄ60ｷｭｳﾆｭｳ</v>
      </c>
      <c r="E347" s="15">
        <f>薬品マスタリスト_20260130100542!C345</f>
        <v>10</v>
      </c>
      <c r="F347" s="206" t="str">
        <f>薬品マスタリスト_20260130100542!D345</f>
        <v>吸入剤</v>
      </c>
      <c r="G347" s="208" t="str">
        <f>match_results!C344</f>
        <v>エリキュース錠２．５ｍｇ</v>
      </c>
      <c r="H347" s="208">
        <f>match_results!D344</f>
        <v>528</v>
      </c>
      <c r="I347" s="218">
        <f>match_results!E344</f>
        <v>37.5</v>
      </c>
      <c r="J347" s="225"/>
      <c r="K347" s="15" t="str">
        <f ca="1">IF($J347="〇",OFFSET(集計!B$3,合体!$H347,0),"")</f>
        <v/>
      </c>
      <c r="L347" s="15" t="str">
        <f ca="1">IF($J347="〇",OFFSET(集計!C$3,合体!$H347,0),"")</f>
        <v/>
      </c>
      <c r="M347" s="202" t="str">
        <f ca="1">IF($J347="〇",OFFSET(集計!D$3,合体!$H347,0),"")</f>
        <v/>
      </c>
    </row>
    <row r="348" spans="2:13" x14ac:dyDescent="0.2">
      <c r="B348" s="201">
        <f t="shared" si="5"/>
        <v>344</v>
      </c>
      <c r="C348" s="15" t="str">
        <f>薬品マスタリスト_20260130100542!A346</f>
        <v>スピール膏Ｍ</v>
      </c>
      <c r="D348" s="15" t="str">
        <f>薬品マスタリスト_20260130100542!B346</f>
        <v>ｽﾋﾟｰﾙｺｳM</v>
      </c>
      <c r="E348" s="15">
        <f>薬品マスタリスト_20260130100542!C346</f>
        <v>19</v>
      </c>
      <c r="F348" s="206" t="str">
        <f>薬品マスタリスト_20260130100542!D346</f>
        <v>貼付剤</v>
      </c>
      <c r="G348" s="208" t="str">
        <f>match_results!C345</f>
        <v>スピール膏Ｍ　ＳＰＭ１６　６枚</v>
      </c>
      <c r="H348" s="208">
        <f>match_results!D345</f>
        <v>41</v>
      </c>
      <c r="I348" s="218">
        <f>match_results!E345</f>
        <v>57.142857142857103</v>
      </c>
      <c r="J348" s="225"/>
      <c r="K348" s="15" t="str">
        <f ca="1">IF($J348="〇",OFFSET(集計!B$3,合体!$H348,0),"")</f>
        <v/>
      </c>
      <c r="L348" s="15" t="str">
        <f ca="1">IF($J348="〇",OFFSET(集計!C$3,合体!$H348,0),"")</f>
        <v/>
      </c>
      <c r="M348" s="202" t="str">
        <f ca="1">IF($J348="〇",OFFSET(集計!D$3,合体!$H348,0),"")</f>
        <v/>
      </c>
    </row>
    <row r="349" spans="2:13" x14ac:dyDescent="0.2">
      <c r="B349" s="201">
        <f t="shared" si="5"/>
        <v>345</v>
      </c>
      <c r="C349" s="15" t="str">
        <f>薬品マスタリスト_20260130100542!A347</f>
        <v>スピロノラクトン錠２５ｍｇ「トーワ」</v>
      </c>
      <c r="D349" s="15" t="str">
        <f>薬品マスタリスト_20260130100542!B347</f>
        <v>ｽﾋﾟﾛﾉﾗｸﾄﾝｼﾞｮｳ25mg｢ﾄｰﾜ｣</v>
      </c>
      <c r="E349" s="15">
        <f>薬品マスタリスト_20260130100542!C347</f>
        <v>1</v>
      </c>
      <c r="F349" s="206" t="str">
        <f>薬品マスタリスト_20260130100542!D347</f>
        <v>錠剤</v>
      </c>
      <c r="G349" s="208" t="str">
        <f>match_results!C346</f>
        <v>ゾピクロン錠７．５ｍｇ「トーワ」</v>
      </c>
      <c r="H349" s="208">
        <f>match_results!D346</f>
        <v>160</v>
      </c>
      <c r="I349" s="218">
        <f>match_results!E346</f>
        <v>70.588235294117595</v>
      </c>
      <c r="J349" s="225"/>
      <c r="K349" s="15" t="str">
        <f ca="1">IF($J349="〇",OFFSET(集計!B$3,合体!$H349,0),"")</f>
        <v/>
      </c>
      <c r="L349" s="15" t="str">
        <f ca="1">IF($J349="〇",OFFSET(集計!C$3,合体!$H349,0),"")</f>
        <v/>
      </c>
      <c r="M349" s="202" t="str">
        <f ca="1">IF($J349="〇",OFFSET(集計!D$3,合体!$H349,0),"")</f>
        <v/>
      </c>
    </row>
    <row r="350" spans="2:13" x14ac:dyDescent="0.2">
      <c r="B350" s="201">
        <f t="shared" si="5"/>
        <v>346</v>
      </c>
      <c r="C350" s="15" t="str">
        <f>薬品マスタリスト_20260130100542!A348</f>
        <v>スピロペント錠１０μｇ</v>
      </c>
      <c r="D350" s="15" t="str">
        <f>薬品マスタリスト_20260130100542!B348</f>
        <v>ｽﾋﾟﾛﾍﾟﾝﾄｼﾞｮｳ10μg</v>
      </c>
      <c r="E350" s="15">
        <f>薬品マスタリスト_20260130100542!C348</f>
        <v>1</v>
      </c>
      <c r="F350" s="206" t="str">
        <f>薬品マスタリスト_20260130100542!D348</f>
        <v>錠剤</v>
      </c>
      <c r="G350" s="208" t="str">
        <f>match_results!C347</f>
        <v>スピロペント錠１０μｇ</v>
      </c>
      <c r="H350" s="208">
        <f>match_results!D347</f>
        <v>146</v>
      </c>
      <c r="I350" s="218">
        <f>match_results!E347</f>
        <v>100</v>
      </c>
      <c r="J350" s="225" t="s">
        <v>3917</v>
      </c>
      <c r="K350" s="15">
        <f ca="1">IF($J350="〇",OFFSET(集計!B$3,合体!$H350,0),"")</f>
        <v>7.32</v>
      </c>
      <c r="L350" s="15">
        <f ca="1">IF($J350="〇",OFFSET(集計!C$3,合体!$H350,0),"")</f>
        <v>287</v>
      </c>
      <c r="M350" s="202">
        <f ca="1">IF($J350="〇",OFFSET(集計!D$3,合体!$H350,0),"")</f>
        <v>2100.84</v>
      </c>
    </row>
    <row r="351" spans="2:13" x14ac:dyDescent="0.2">
      <c r="B351" s="201">
        <f t="shared" si="5"/>
        <v>347</v>
      </c>
      <c r="C351" s="15" t="str">
        <f>薬品マスタリスト_20260130100542!A349</f>
        <v>スミスリンローション５％</v>
      </c>
      <c r="D351" s="15" t="str">
        <f>薬品マスタリスト_20260130100542!B349</f>
        <v>ｽﾐｽﾘﾝﾛ-ｼﾖﾝ5%</v>
      </c>
      <c r="E351" s="15">
        <f>薬品マスタリスト_20260130100542!C349</f>
        <v>17</v>
      </c>
      <c r="F351" s="206" t="str">
        <f>薬品マスタリスト_20260130100542!D349</f>
        <v>外用液剤</v>
      </c>
      <c r="G351" s="208" t="str">
        <f>match_results!C348</f>
        <v>スミスリンローション</v>
      </c>
      <c r="H351" s="208">
        <f>match_results!D348</f>
        <v>531</v>
      </c>
      <c r="I351" s="218">
        <f>match_results!E348</f>
        <v>90.909090909090907</v>
      </c>
      <c r="J351" s="225"/>
      <c r="K351" s="15" t="str">
        <f ca="1">IF($J351="〇",OFFSET(集計!B$3,合体!$H351,0),"")</f>
        <v/>
      </c>
      <c r="L351" s="15" t="str">
        <f ca="1">IF($J351="〇",OFFSET(集計!C$3,合体!$H351,0),"")</f>
        <v/>
      </c>
      <c r="M351" s="202" t="str">
        <f ca="1">IF($J351="〇",OFFSET(集計!D$3,合体!$H351,0),"")</f>
        <v/>
      </c>
    </row>
    <row r="352" spans="2:13" x14ac:dyDescent="0.2">
      <c r="B352" s="201">
        <f t="shared" si="5"/>
        <v>348</v>
      </c>
      <c r="C352" s="15" t="str">
        <f>薬品マスタリスト_20260130100542!A350</f>
        <v>スルバシリン静注用１．５ｇ</v>
      </c>
      <c r="D352" s="15" t="str">
        <f>薬品マスタリスト_20260130100542!B350</f>
        <v>ｽﾙﾊﾞｼﾘﾝｼﾞｮｳﾁｭｳﾖｳ1.5g</v>
      </c>
      <c r="E352" s="15">
        <f>薬品マスタリスト_20260130100542!C350</f>
        <v>25</v>
      </c>
      <c r="F352" s="206" t="str">
        <f>薬品マスタリスト_20260130100542!D350</f>
        <v>注射剤</v>
      </c>
      <c r="G352" s="208" t="str">
        <f>match_results!C349</f>
        <v>スルバシリン注</v>
      </c>
      <c r="H352" s="208">
        <f>match_results!D349</f>
        <v>544</v>
      </c>
      <c r="I352" s="218">
        <f>match_results!E349</f>
        <v>70</v>
      </c>
      <c r="J352" s="225"/>
      <c r="K352" s="15" t="str">
        <f ca="1">IF($J352="〇",OFFSET(集計!B$3,合体!$H352,0),"")</f>
        <v/>
      </c>
      <c r="L352" s="15" t="str">
        <f ca="1">IF($J352="〇",OFFSET(集計!C$3,合体!$H352,0),"")</f>
        <v/>
      </c>
      <c r="M352" s="202" t="str">
        <f ca="1">IF($J352="〇",OFFSET(集計!D$3,合体!$H352,0),"")</f>
        <v/>
      </c>
    </row>
    <row r="353" spans="2:13" x14ac:dyDescent="0.2">
      <c r="B353" s="201">
        <f t="shared" si="5"/>
        <v>349</v>
      </c>
      <c r="C353" s="15" t="str">
        <f>薬品マスタリスト_20260130100542!A351</f>
        <v>スルピリド錠１００ｍｇ「アメル」</v>
      </c>
      <c r="D353" s="15" t="str">
        <f>薬品マスタリスト_20260130100542!B351</f>
        <v>ｽﾙﾋﾟﾘﾄﾞｼﾞｮｳ100mg｢ｱﾒﾙ｣</v>
      </c>
      <c r="E353" s="15">
        <f>薬品マスタリスト_20260130100542!C351</f>
        <v>1</v>
      </c>
      <c r="F353" s="206" t="str">
        <f>薬品マスタリスト_20260130100542!D351</f>
        <v>錠剤</v>
      </c>
      <c r="G353" s="208" t="str">
        <f>match_results!C350</f>
        <v>スルピリド錠１００ｍｇ「アメル」　</v>
      </c>
      <c r="H353" s="208">
        <f>match_results!D350</f>
        <v>269</v>
      </c>
      <c r="I353" s="218">
        <f>match_results!E350</f>
        <v>100</v>
      </c>
      <c r="J353" s="225" t="s">
        <v>3917</v>
      </c>
      <c r="K353" s="15">
        <f ca="1">IF($J353="〇",OFFSET(集計!B$3,合体!$H353,0),"")</f>
        <v>5.19</v>
      </c>
      <c r="L353" s="15">
        <f ca="1">IF($J353="〇",OFFSET(集計!C$3,合体!$H353,0),"")</f>
        <v>775</v>
      </c>
      <c r="M353" s="202">
        <f ca="1">IF($J353="〇",OFFSET(集計!D$3,合体!$H353,0),"")</f>
        <v>4022.2500000000005</v>
      </c>
    </row>
    <row r="354" spans="2:13" x14ac:dyDescent="0.2">
      <c r="B354" s="201">
        <f t="shared" si="5"/>
        <v>350</v>
      </c>
      <c r="C354" s="15" t="str">
        <f>薬品マスタリスト_20260130100542!A352</f>
        <v>スルピリド錠２００ｍｇ「アメル」</v>
      </c>
      <c r="D354" s="15" t="str">
        <f>薬品マスタリスト_20260130100542!B352</f>
        <v>ｽﾙﾋﾟﾘﾄﾞｼﾞｮｳ200mg｢ｱﾒﾙ｣</v>
      </c>
      <c r="E354" s="15">
        <f>薬品マスタリスト_20260130100542!C352</f>
        <v>1</v>
      </c>
      <c r="F354" s="206" t="str">
        <f>薬品マスタリスト_20260130100542!D352</f>
        <v>錠剤</v>
      </c>
      <c r="G354" s="208" t="str">
        <f>match_results!C351</f>
        <v>スルピリド錠２００ｍｇ「アメル」　</v>
      </c>
      <c r="H354" s="208">
        <f>match_results!D351</f>
        <v>324</v>
      </c>
      <c r="I354" s="218">
        <f>match_results!E351</f>
        <v>100</v>
      </c>
      <c r="J354" s="225" t="s">
        <v>3917</v>
      </c>
      <c r="K354" s="15">
        <f ca="1">IF($J354="〇",OFFSET(集計!B$3,合体!$H354,0),"")</f>
        <v>7.13</v>
      </c>
      <c r="L354" s="15">
        <f ca="1">IF($J354="〇",OFFSET(集計!C$3,合体!$H354,0),"")</f>
        <v>736</v>
      </c>
      <c r="M354" s="202">
        <f ca="1">IF($J354="〇",OFFSET(集計!D$3,合体!$H354,0),"")</f>
        <v>5247.68</v>
      </c>
    </row>
    <row r="355" spans="2:13" x14ac:dyDescent="0.2">
      <c r="B355" s="201">
        <f t="shared" si="5"/>
        <v>351</v>
      </c>
      <c r="C355" s="15" t="str">
        <f>薬品マスタリスト_20260130100542!A353</f>
        <v>スルピリド錠５０ｍｇ「アメル」</v>
      </c>
      <c r="D355" s="15" t="str">
        <f>薬品マスタリスト_20260130100542!B353</f>
        <v>ｽﾙﾋﾟﾘﾄﾞｼﾞｮｳ50mg｢ｱﾒﾙ｣</v>
      </c>
      <c r="E355" s="15">
        <f>薬品マスタリスト_20260130100542!C353</f>
        <v>1</v>
      </c>
      <c r="F355" s="206" t="str">
        <f>薬品マスタリスト_20260130100542!D353</f>
        <v>錠剤</v>
      </c>
      <c r="G355" s="208" t="str">
        <f>match_results!C352</f>
        <v>スルピリド錠５０ｍｇ「アメル」　</v>
      </c>
      <c r="H355" s="208">
        <f>match_results!D352</f>
        <v>510</v>
      </c>
      <c r="I355" s="218">
        <f>match_results!E352</f>
        <v>100</v>
      </c>
      <c r="J355" s="225" t="s">
        <v>3917</v>
      </c>
      <c r="K355" s="15">
        <f ca="1">IF($J355="〇",OFFSET(集計!B$3,合体!$H355,0),"")</f>
        <v>5.71</v>
      </c>
      <c r="L355" s="15">
        <f ca="1">IF($J355="〇",OFFSET(集計!C$3,合体!$H355,0),"")</f>
        <v>2548.3333333333335</v>
      </c>
      <c r="M355" s="202">
        <f ca="1">IF($J355="〇",OFFSET(集計!D$3,合体!$H355,0),"")</f>
        <v>14550.983333333334</v>
      </c>
    </row>
    <row r="356" spans="2:13" x14ac:dyDescent="0.2">
      <c r="B356" s="201">
        <f t="shared" si="5"/>
        <v>352</v>
      </c>
      <c r="C356" s="15" t="str">
        <f>薬品マスタリスト_20260130100542!A354</f>
        <v>スルピリド細粒５０％「アメル」</v>
      </c>
      <c r="D356" s="15" t="str">
        <f>薬品マスタリスト_20260130100542!B354</f>
        <v>ｽﾙﾋﾟﾘﾄﾞｻｲﾘｭｳ50%｢ｱﾒﾙ｣</v>
      </c>
      <c r="E356" s="15">
        <f>薬品マスタリスト_20260130100542!C354</f>
        <v>3</v>
      </c>
      <c r="F356" s="206" t="str">
        <f>薬品マスタリスト_20260130100542!D354</f>
        <v>散</v>
      </c>
      <c r="G356" s="208" t="str">
        <f>match_results!C353</f>
        <v>スルピリド錠５０ｍｇ「アメル」　</v>
      </c>
      <c r="H356" s="208">
        <f>match_results!D353</f>
        <v>510</v>
      </c>
      <c r="I356" s="218">
        <f>match_results!E353</f>
        <v>80</v>
      </c>
      <c r="J356" s="225"/>
      <c r="K356" s="15" t="str">
        <f ca="1">IF($J356="〇",OFFSET(集計!B$3,合体!$H356,0),"")</f>
        <v/>
      </c>
      <c r="L356" s="15" t="str">
        <f ca="1">IF($J356="〇",OFFSET(集計!C$3,合体!$H356,0),"")</f>
        <v/>
      </c>
      <c r="M356" s="202" t="str">
        <f ca="1">IF($J356="〇",OFFSET(集計!D$3,合体!$H356,0),"")</f>
        <v/>
      </c>
    </row>
    <row r="357" spans="2:13" x14ac:dyDescent="0.2">
      <c r="B357" s="201">
        <f t="shared" si="5"/>
        <v>353</v>
      </c>
      <c r="C357" s="15" t="str">
        <f>薬品マスタリスト_20260130100542!A355</f>
        <v>大塚生食注</v>
      </c>
      <c r="D357" s="15" t="str">
        <f>薬品マスタリスト_20260130100542!B355</f>
        <v>ｵｵﾂｶｾｲｼｮｸﾁｭｳ</v>
      </c>
      <c r="E357" s="15">
        <f>薬品マスタリスト_20260130100542!C355</f>
        <v>25</v>
      </c>
      <c r="F357" s="206" t="str">
        <f>薬品マスタリスト_20260130100542!D355</f>
        <v>注射剤</v>
      </c>
      <c r="G357" s="208" t="str">
        <f>match_results!C354</f>
        <v>大塚生食注　細口開栓</v>
      </c>
      <c r="H357" s="208">
        <f>match_results!D354</f>
        <v>223</v>
      </c>
      <c r="I357" s="218">
        <f>match_results!E354</f>
        <v>66.6666666666666</v>
      </c>
      <c r="J357" s="225"/>
      <c r="K357" s="15" t="str">
        <f ca="1">IF($J357="〇",OFFSET(集計!B$3,合体!$H357,0),"")</f>
        <v/>
      </c>
      <c r="L357" s="15" t="str">
        <f ca="1">IF($J357="〇",OFFSET(集計!C$3,合体!$H357,0),"")</f>
        <v/>
      </c>
      <c r="M357" s="202" t="str">
        <f ca="1">IF($J357="〇",OFFSET(集計!D$3,合体!$H357,0),"")</f>
        <v/>
      </c>
    </row>
    <row r="358" spans="2:13" x14ac:dyDescent="0.2">
      <c r="B358" s="201">
        <f t="shared" si="5"/>
        <v>354</v>
      </c>
      <c r="C358" s="15" t="str">
        <f>薬品マスタリスト_20260130100542!A356</f>
        <v>大塚生食注</v>
      </c>
      <c r="D358" s="15" t="str">
        <f>薬品マスタリスト_20260130100542!B356</f>
        <v>ｵｵﾂｶｾｲｼｮｸﾁｭｳ</v>
      </c>
      <c r="E358" s="15">
        <f>薬品マスタリスト_20260130100542!C356</f>
        <v>25</v>
      </c>
      <c r="F358" s="206" t="str">
        <f>薬品マスタリスト_20260130100542!D356</f>
        <v>注射剤</v>
      </c>
      <c r="G358" s="208" t="str">
        <f>match_results!C355</f>
        <v>大塚生食注　細口開栓</v>
      </c>
      <c r="H358" s="208">
        <f>match_results!D355</f>
        <v>223</v>
      </c>
      <c r="I358" s="218">
        <f>match_results!E355</f>
        <v>66.6666666666666</v>
      </c>
      <c r="J358" s="225"/>
      <c r="K358" s="15" t="str">
        <f ca="1">IF($J358="〇",OFFSET(集計!B$3,合体!$H358,0),"")</f>
        <v/>
      </c>
      <c r="L358" s="15" t="str">
        <f ca="1">IF($J358="〇",OFFSET(集計!C$3,合体!$H358,0),"")</f>
        <v/>
      </c>
      <c r="M358" s="202" t="str">
        <f ca="1">IF($J358="〇",OFFSET(集計!D$3,合体!$H358,0),"")</f>
        <v/>
      </c>
    </row>
    <row r="359" spans="2:13" x14ac:dyDescent="0.2">
      <c r="B359" s="201">
        <f t="shared" si="5"/>
        <v>355</v>
      </c>
      <c r="C359" s="15" t="str">
        <f>薬品マスタリスト_20260130100542!A357</f>
        <v>生食溶解液キットＨ</v>
      </c>
      <c r="D359" s="15" t="str">
        <f>薬品マスタリスト_20260130100542!B357</f>
        <v>ｾｲｼｮｸﾖｳｶｲｴｷｷｯﾄH</v>
      </c>
      <c r="E359" s="15">
        <f>薬品マスタリスト_20260130100542!C357</f>
        <v>25</v>
      </c>
      <c r="F359" s="206" t="str">
        <f>薬品マスタリスト_20260130100542!D357</f>
        <v>注射剤</v>
      </c>
      <c r="G359" s="208" t="str">
        <f>match_results!C356</f>
        <v>生食溶解キットＨ１００ｍｌ</v>
      </c>
      <c r="H359" s="208">
        <f>match_results!D356</f>
        <v>567</v>
      </c>
      <c r="I359" s="218">
        <f>match_results!E356</f>
        <v>72.727272727272705</v>
      </c>
      <c r="J359" s="225"/>
      <c r="K359" s="15" t="str">
        <f ca="1">IF($J359="〇",OFFSET(集計!B$3,合体!$H359,0),"")</f>
        <v/>
      </c>
      <c r="L359" s="15" t="str">
        <f ca="1">IF($J359="〇",OFFSET(集計!C$3,合体!$H359,0),"")</f>
        <v/>
      </c>
      <c r="M359" s="202" t="str">
        <f ca="1">IF($J359="〇",OFFSET(集計!D$3,合体!$H359,0),"")</f>
        <v/>
      </c>
    </row>
    <row r="360" spans="2:13" x14ac:dyDescent="0.2">
      <c r="B360" s="201">
        <f t="shared" si="5"/>
        <v>356</v>
      </c>
      <c r="C360" s="15" t="str">
        <f>薬品マスタリスト_20260130100542!A358</f>
        <v>生食注シリンジ「オーツカ」１０ｍＬ</v>
      </c>
      <c r="D360" s="15" t="str">
        <f>薬品マスタリスト_20260130100542!B358</f>
        <v>ｾｲｼｮｸﾁｭｳｼﾘﾝｼﾞ｢ｵｰﾂｶ｣10mL</v>
      </c>
      <c r="E360" s="15">
        <f>薬品マスタリスト_20260130100542!C358</f>
        <v>25</v>
      </c>
      <c r="F360" s="206" t="str">
        <f>薬品マスタリスト_20260130100542!D358</f>
        <v>注射剤</v>
      </c>
      <c r="G360" s="208" t="str">
        <f>match_results!C357</f>
        <v>生食１０ｍｌシリンジ</v>
      </c>
      <c r="H360" s="208">
        <f>match_results!D357</f>
        <v>499</v>
      </c>
      <c r="I360" s="218">
        <f>match_results!E357</f>
        <v>44.4444444444444</v>
      </c>
      <c r="J360" s="225"/>
      <c r="K360" s="15" t="str">
        <f ca="1">IF($J360="〇",OFFSET(集計!B$3,合体!$H360,0),"")</f>
        <v/>
      </c>
      <c r="L360" s="15" t="str">
        <f ca="1">IF($J360="〇",OFFSET(集計!C$3,合体!$H360,0),"")</f>
        <v/>
      </c>
      <c r="M360" s="202" t="str">
        <f ca="1">IF($J360="〇",OFFSET(集計!D$3,合体!$H360,0),"")</f>
        <v/>
      </c>
    </row>
    <row r="361" spans="2:13" x14ac:dyDescent="0.2">
      <c r="B361" s="201">
        <f t="shared" si="5"/>
        <v>357</v>
      </c>
      <c r="C361" s="15" t="str">
        <f>薬品マスタリスト_20260130100542!A359</f>
        <v>生食注シリンジ「ＮＰ」</v>
      </c>
      <c r="D361" s="15" t="str">
        <f>薬品マスタリスト_20260130100542!B359</f>
        <v>ｾｲｼﾖｸﾁﾕｳｼﾘﾝｼﾞNP</v>
      </c>
      <c r="E361" s="15">
        <f>薬品マスタリスト_20260130100542!C359</f>
        <v>25</v>
      </c>
      <c r="F361" s="206" t="str">
        <f>薬品マスタリスト_20260130100542!D359</f>
        <v>注射剤</v>
      </c>
      <c r="G361" s="208" t="str">
        <f>match_results!C358</f>
        <v>生食１０ｍｌシリンジ</v>
      </c>
      <c r="H361" s="208">
        <f>match_results!D358</f>
        <v>499</v>
      </c>
      <c r="I361" s="218">
        <f>match_results!E358</f>
        <v>57.142857142857103</v>
      </c>
      <c r="J361" s="225"/>
      <c r="K361" s="15" t="str">
        <f ca="1">IF($J361="〇",OFFSET(集計!B$3,合体!$H361,0),"")</f>
        <v/>
      </c>
      <c r="L361" s="15" t="str">
        <f ca="1">IF($J361="〇",OFFSET(集計!C$3,合体!$H361,0),"")</f>
        <v/>
      </c>
      <c r="M361" s="202" t="str">
        <f ca="1">IF($J361="〇",OFFSET(集計!D$3,合体!$H361,0),"")</f>
        <v/>
      </c>
    </row>
    <row r="362" spans="2:13" x14ac:dyDescent="0.2">
      <c r="B362" s="201">
        <f t="shared" si="5"/>
        <v>358</v>
      </c>
      <c r="C362" s="15" t="str">
        <f>薬品マスタリスト_20260130100542!A360</f>
        <v>生理食塩液「ＶＴＲＳ」</v>
      </c>
      <c r="D362" s="15" t="str">
        <f>薬品マスタリスト_20260130100542!B360</f>
        <v>ｾｲﾘｼｮｸｴﾝｴｷ｢VTRS｣</v>
      </c>
      <c r="E362" s="15">
        <f>薬品マスタリスト_20260130100542!C360</f>
        <v>25</v>
      </c>
      <c r="F362" s="206" t="str">
        <f>薬品マスタリスト_20260130100542!D360</f>
        <v>注射剤</v>
      </c>
      <c r="G362" s="208" t="str">
        <f>match_results!C359</f>
        <v>生食ＶＴＲＳ２０ｍｌ</v>
      </c>
      <c r="H362" s="208">
        <f>match_results!D359</f>
        <v>373</v>
      </c>
      <c r="I362" s="218">
        <f>match_results!E359</f>
        <v>57.142857142857103</v>
      </c>
      <c r="J362" s="225"/>
      <c r="K362" s="15" t="str">
        <f ca="1">IF($J362="〇",OFFSET(集計!B$3,合体!$H362,0),"")</f>
        <v/>
      </c>
      <c r="L362" s="15" t="str">
        <f ca="1">IF($J362="〇",OFFSET(集計!C$3,合体!$H362,0),"")</f>
        <v/>
      </c>
      <c r="M362" s="202" t="str">
        <f ca="1">IF($J362="〇",OFFSET(集計!D$3,合体!$H362,0),"")</f>
        <v/>
      </c>
    </row>
    <row r="363" spans="2:13" x14ac:dyDescent="0.2">
      <c r="B363" s="201">
        <f t="shared" si="5"/>
        <v>359</v>
      </c>
      <c r="C363" s="15" t="str">
        <f>薬品マスタリスト_20260130100542!A361</f>
        <v>生理食塩液「ＶＴＲＳ」</v>
      </c>
      <c r="D363" s="15" t="str">
        <f>薬品マスタリスト_20260130100542!B361</f>
        <v>ｾｲﾘｼﾖｸｴﾝｴｷVTRS</v>
      </c>
      <c r="E363" s="15">
        <f>薬品マスタリスト_20260130100542!C361</f>
        <v>25</v>
      </c>
      <c r="F363" s="206" t="str">
        <f>薬品マスタリスト_20260130100542!D361</f>
        <v>注射剤</v>
      </c>
      <c r="G363" s="208" t="str">
        <f>match_results!C360</f>
        <v>生食ＶＴＲＳ２０ｍｌ</v>
      </c>
      <c r="H363" s="208">
        <f>match_results!D360</f>
        <v>373</v>
      </c>
      <c r="I363" s="218">
        <f>match_results!E360</f>
        <v>57.142857142857103</v>
      </c>
      <c r="J363" s="225"/>
      <c r="K363" s="15" t="str">
        <f ca="1">IF($J363="〇",OFFSET(集計!B$3,合体!$H363,0),"")</f>
        <v/>
      </c>
      <c r="L363" s="15" t="str">
        <f ca="1">IF($J363="〇",OFFSET(集計!C$3,合体!$H363,0),"")</f>
        <v/>
      </c>
      <c r="M363" s="202" t="str">
        <f ca="1">IF($J363="〇",OFFSET(集計!D$3,合体!$H363,0),"")</f>
        <v/>
      </c>
    </row>
    <row r="364" spans="2:13" x14ac:dyDescent="0.2">
      <c r="B364" s="201">
        <f t="shared" si="5"/>
        <v>360</v>
      </c>
      <c r="C364" s="15" t="str">
        <f>薬品マスタリスト_20260130100542!A362</f>
        <v>ゼチーア錠１０ｍｇ</v>
      </c>
      <c r="D364" s="15" t="str">
        <f>薬品マスタリスト_20260130100542!B362</f>
        <v>ｾﾞﾁｰｱｼﾞｮｳ10mg</v>
      </c>
      <c r="E364" s="15">
        <f>薬品マスタリスト_20260130100542!C362</f>
        <v>1</v>
      </c>
      <c r="F364" s="206" t="str">
        <f>薬品マスタリスト_20260130100542!D362</f>
        <v>錠剤</v>
      </c>
      <c r="G364" s="208" t="str">
        <f>match_results!C361</f>
        <v>クエチアピン錠１００ｍｇ</v>
      </c>
      <c r="H364" s="208">
        <f>match_results!D361</f>
        <v>607</v>
      </c>
      <c r="I364" s="218">
        <f>match_results!E361</f>
        <v>66.6666666666666</v>
      </c>
      <c r="J364" s="225"/>
      <c r="K364" s="15" t="str">
        <f ca="1">IF($J364="〇",OFFSET(集計!B$3,合体!$H364,0),"")</f>
        <v/>
      </c>
      <c r="L364" s="15" t="str">
        <f ca="1">IF($J364="〇",OFFSET(集計!C$3,合体!$H364,0),"")</f>
        <v/>
      </c>
      <c r="M364" s="202" t="str">
        <f ca="1">IF($J364="〇",OFFSET(集計!D$3,合体!$H364,0),"")</f>
        <v/>
      </c>
    </row>
    <row r="365" spans="2:13" x14ac:dyDescent="0.2">
      <c r="B365" s="201">
        <f t="shared" si="5"/>
        <v>361</v>
      </c>
      <c r="C365" s="15" t="str">
        <f>薬品マスタリスト_20260130100542!A363</f>
        <v>セディール錠１０ｍｇ</v>
      </c>
      <c r="D365" s="15" t="str">
        <f>薬品マスタリスト_20260130100542!B363</f>
        <v>ｾﾃﾞｨｰﾙｼﾞｮｳ10mg</v>
      </c>
      <c r="E365" s="15">
        <f>薬品マスタリスト_20260130100542!C363</f>
        <v>1</v>
      </c>
      <c r="F365" s="206" t="str">
        <f>薬品マスタリスト_20260130100542!D363</f>
        <v>錠剤</v>
      </c>
      <c r="G365" s="208" t="str">
        <f>match_results!C362</f>
        <v>セディール錠１０ｍｇ</v>
      </c>
      <c r="H365" s="208">
        <f>match_results!D362</f>
        <v>535</v>
      </c>
      <c r="I365" s="218">
        <f>match_results!E362</f>
        <v>100</v>
      </c>
      <c r="J365" s="225" t="s">
        <v>3917</v>
      </c>
      <c r="K365" s="15">
        <f ca="1">IF($J365="〇",OFFSET(集計!B$3,合体!$H365,0),"")</f>
        <v>14.9</v>
      </c>
      <c r="L365" s="15">
        <f ca="1">IF($J365="〇",OFFSET(集計!C$3,合体!$H365,0),"")</f>
        <v>1261</v>
      </c>
      <c r="M365" s="202">
        <f ca="1">IF($J365="〇",OFFSET(集計!D$3,合体!$H365,0),"")</f>
        <v>18788.900000000001</v>
      </c>
    </row>
    <row r="366" spans="2:13" x14ac:dyDescent="0.2">
      <c r="B366" s="201">
        <f t="shared" si="5"/>
        <v>362</v>
      </c>
      <c r="C366" s="15" t="str">
        <f>薬品マスタリスト_20260130100542!A364</f>
        <v>セパゾン錠１</v>
      </c>
      <c r="D366" s="15" t="str">
        <f>薬品マスタリスト_20260130100542!B364</f>
        <v>ｾﾊﾟｿﾞﾝｼﾞｮｳ1</v>
      </c>
      <c r="E366" s="15">
        <f>薬品マスタリスト_20260130100542!C364</f>
        <v>1</v>
      </c>
      <c r="F366" s="206" t="str">
        <f>薬品マスタリスト_20260130100542!D364</f>
        <v>錠剤</v>
      </c>
      <c r="G366" s="208" t="str">
        <f>match_results!C363</f>
        <v>セパゾン錠１　</v>
      </c>
      <c r="H366" s="208">
        <f>match_results!D363</f>
        <v>384</v>
      </c>
      <c r="I366" s="218">
        <f>match_results!E363</f>
        <v>100</v>
      </c>
      <c r="J366" s="225" t="s">
        <v>3917</v>
      </c>
      <c r="K366" s="15">
        <f ca="1">IF($J366="〇",OFFSET(集計!B$3,合体!$H366,0),"")</f>
        <v>4.95</v>
      </c>
      <c r="L366" s="15">
        <f ca="1">IF($J366="〇",OFFSET(集計!C$3,合体!$H366,0),"")</f>
        <v>1449</v>
      </c>
      <c r="M366" s="202">
        <f ca="1">IF($J366="〇",OFFSET(集計!D$3,合体!$H366,0),"")</f>
        <v>7172.55</v>
      </c>
    </row>
    <row r="367" spans="2:13" x14ac:dyDescent="0.2">
      <c r="B367" s="201">
        <f t="shared" si="5"/>
        <v>363</v>
      </c>
      <c r="C367" s="15" t="str">
        <f>薬品マスタリスト_20260130100542!A365</f>
        <v>セパゾン錠２</v>
      </c>
      <c r="D367" s="15" t="str">
        <f>薬品マスタリスト_20260130100542!B365</f>
        <v>ｾﾊﾟｿﾞﾝｼﾞｮｳ2</v>
      </c>
      <c r="E367" s="15">
        <f>薬品マスタリスト_20260130100542!C365</f>
        <v>1</v>
      </c>
      <c r="F367" s="206" t="str">
        <f>薬品マスタリスト_20260130100542!D365</f>
        <v>錠剤</v>
      </c>
      <c r="G367" s="208" t="str">
        <f>match_results!C364</f>
        <v>セパゾン錠２　</v>
      </c>
      <c r="H367" s="208">
        <f>match_results!D364</f>
        <v>393</v>
      </c>
      <c r="I367" s="218">
        <f>match_results!E364</f>
        <v>100</v>
      </c>
      <c r="J367" s="225" t="s">
        <v>3917</v>
      </c>
      <c r="K367" s="15">
        <f ca="1">IF($J367="〇",OFFSET(集計!B$3,合体!$H367,0),"")</f>
        <v>5.04</v>
      </c>
      <c r="L367" s="15">
        <f ca="1">IF($J367="〇",OFFSET(集計!C$3,合体!$H367,0),"")</f>
        <v>1472.6666666666667</v>
      </c>
      <c r="M367" s="202">
        <f ca="1">IF($J367="〇",OFFSET(集計!D$3,合体!$H367,0),"")</f>
        <v>7422.2400000000007</v>
      </c>
    </row>
    <row r="368" spans="2:13" x14ac:dyDescent="0.2">
      <c r="B368" s="201">
        <f t="shared" si="5"/>
        <v>364</v>
      </c>
      <c r="C368" s="15" t="str">
        <f>薬品マスタリスト_20260130100542!A366</f>
        <v>セパミット細粒１％</v>
      </c>
      <c r="D368" s="15" t="str">
        <f>薬品マスタリスト_20260130100542!B366</f>
        <v>ｾﾊﾟﾐﾂﾄｻｲﾘﾕｳ1%</v>
      </c>
      <c r="E368" s="15">
        <f>薬品マスタリスト_20260130100542!C366</f>
        <v>4</v>
      </c>
      <c r="F368" s="206" t="str">
        <f>薬品マスタリスト_20260130100542!D366</f>
        <v>細粒</v>
      </c>
      <c r="G368" s="208" t="str">
        <f>match_results!C365</f>
        <v>デパス細粒１％</v>
      </c>
      <c r="H368" s="208">
        <f>match_results!D365</f>
        <v>293</v>
      </c>
      <c r="I368" s="218">
        <f>match_results!E365</f>
        <v>62.5</v>
      </c>
      <c r="J368" s="225"/>
      <c r="K368" s="15" t="str">
        <f ca="1">IF($J368="〇",OFFSET(集計!B$3,合体!$H368,0),"")</f>
        <v/>
      </c>
      <c r="L368" s="15" t="str">
        <f ca="1">IF($J368="〇",OFFSET(集計!C$3,合体!$H368,0),"")</f>
        <v/>
      </c>
      <c r="M368" s="202" t="str">
        <f ca="1">IF($J368="〇",OFFSET(集計!D$3,合体!$H368,0),"")</f>
        <v/>
      </c>
    </row>
    <row r="369" spans="2:13" x14ac:dyDescent="0.2">
      <c r="B369" s="201">
        <f t="shared" si="5"/>
        <v>365</v>
      </c>
      <c r="C369" s="15" t="str">
        <f>薬品マスタリスト_20260130100542!A367</f>
        <v>ゼビュディ点滴静注液５００ｍｇ</v>
      </c>
      <c r="D369" s="15" t="str">
        <f>薬品マスタリスト_20260130100542!B367</f>
        <v>ｾﾞﾋﾞｭﾃﾞｨﾃﾝﾃｷｼﾞｮｳﾁｭｳｴｷ500mg</v>
      </c>
      <c r="E369" s="15">
        <f>薬品マスタリスト_20260130100542!C367</f>
        <v>25</v>
      </c>
      <c r="F369" s="206" t="str">
        <f>薬品マスタリスト_20260130100542!D367</f>
        <v>注射剤</v>
      </c>
      <c r="G369" s="208" t="str">
        <f>match_results!C366</f>
        <v>ラスビック点滴静注キット１５０ｍｇ</v>
      </c>
      <c r="H369" s="208">
        <f>match_results!D366</f>
        <v>545</v>
      </c>
      <c r="I369" s="218">
        <f>match_results!E366</f>
        <v>56.25</v>
      </c>
      <c r="J369" s="225"/>
      <c r="K369" s="15" t="str">
        <f ca="1">IF($J369="〇",OFFSET(集計!B$3,合体!$H369,0),"")</f>
        <v/>
      </c>
      <c r="L369" s="15" t="str">
        <f ca="1">IF($J369="〇",OFFSET(集計!C$3,合体!$H369,0),"")</f>
        <v/>
      </c>
      <c r="M369" s="202" t="str">
        <f ca="1">IF($J369="〇",OFFSET(集計!D$3,合体!$H369,0),"")</f>
        <v/>
      </c>
    </row>
    <row r="370" spans="2:13" x14ac:dyDescent="0.2">
      <c r="B370" s="201">
        <f t="shared" si="5"/>
        <v>366</v>
      </c>
      <c r="C370" s="15" t="str">
        <f>薬品マスタリスト_20260130100542!A368</f>
        <v>セファゾリンナトリウム注射用１ｇ「日医工」</v>
      </c>
      <c r="D370" s="15" t="str">
        <f>薬品マスタリスト_20260130100542!B368</f>
        <v>ｾﾌｧｿﾞﾘﾝﾅﾄﾘｳﾑﾁｭｳｼｬﾖｳ1g｢ﾆﾁｲｺｳ｣</v>
      </c>
      <c r="E370" s="15">
        <f>薬品マスタリスト_20260130100542!C368</f>
        <v>25</v>
      </c>
      <c r="F370" s="206" t="str">
        <f>薬品マスタリスト_20260130100542!D368</f>
        <v>注射剤</v>
      </c>
      <c r="G370" s="208" t="str">
        <f>match_results!C367</f>
        <v>ペントシリン注射用１ｇ</v>
      </c>
      <c r="H370" s="208">
        <f>match_results!D367</f>
        <v>623</v>
      </c>
      <c r="I370" s="218">
        <f>match_results!E367</f>
        <v>50</v>
      </c>
      <c r="J370" s="225"/>
      <c r="K370" s="15" t="str">
        <f ca="1">IF($J370="〇",OFFSET(集計!B$3,合体!$H370,0),"")</f>
        <v/>
      </c>
      <c r="L370" s="15" t="str">
        <f ca="1">IF($J370="〇",OFFSET(集計!C$3,合体!$H370,0),"")</f>
        <v/>
      </c>
      <c r="M370" s="202" t="str">
        <f ca="1">IF($J370="〇",OFFSET(集計!D$3,合体!$H370,0),"")</f>
        <v/>
      </c>
    </row>
    <row r="371" spans="2:13" x14ac:dyDescent="0.2">
      <c r="B371" s="201">
        <f t="shared" si="5"/>
        <v>367</v>
      </c>
      <c r="C371" s="15" t="str">
        <f>薬品マスタリスト_20260130100542!A369</f>
        <v>セフェピム塩酸塩静注用１ｇ「サンド」</v>
      </c>
      <c r="D371" s="15" t="str">
        <f>薬品マスタリスト_20260130100542!B369</f>
        <v>ｾﾌｪﾋﾟﾑｴﾝｻﾝｴﾝｼﾞｮｳﾁｭｳﾖｳ1g｢ｻﾝﾄﾞ｣</v>
      </c>
      <c r="E371" s="15">
        <f>薬品マスタリスト_20260130100542!C369</f>
        <v>25</v>
      </c>
      <c r="F371" s="206" t="str">
        <f>薬品マスタリスト_20260130100542!D369</f>
        <v>注射剤</v>
      </c>
      <c r="G371" s="208" t="str">
        <f>match_results!C368</f>
        <v>セフタジジム静注用１ｇ　　　　　　　　　　　　　１０Ｖ</v>
      </c>
      <c r="H371" s="208">
        <f>match_results!D368</f>
        <v>10</v>
      </c>
      <c r="I371" s="218">
        <f>match_results!E368</f>
        <v>48.484848484848399</v>
      </c>
      <c r="J371" s="225"/>
      <c r="K371" s="15" t="str">
        <f ca="1">IF($J371="〇",OFFSET(集計!B$3,合体!$H371,0),"")</f>
        <v/>
      </c>
      <c r="L371" s="15" t="str">
        <f ca="1">IF($J371="〇",OFFSET(集計!C$3,合体!$H371,0),"")</f>
        <v/>
      </c>
      <c r="M371" s="202" t="str">
        <f ca="1">IF($J371="〇",OFFSET(集計!D$3,合体!$H371,0),"")</f>
        <v/>
      </c>
    </row>
    <row r="372" spans="2:13" x14ac:dyDescent="0.2">
      <c r="B372" s="201">
        <f t="shared" si="5"/>
        <v>368</v>
      </c>
      <c r="C372" s="15" t="str">
        <f>薬品マスタリスト_20260130100542!A370</f>
        <v>セフタジジム静注用１ｇ「日医工」</v>
      </c>
      <c r="D372" s="15" t="str">
        <f>薬品マスタリスト_20260130100542!B370</f>
        <v>ｾﾌﾀｼﾞｼﾞﾑｼﾞｮｳﾁｭｳﾖｳ1g｢ﾆﾁｲｺｳ｣</v>
      </c>
      <c r="E372" s="15">
        <f>薬品マスタリスト_20260130100542!C370</f>
        <v>25</v>
      </c>
      <c r="F372" s="206" t="str">
        <f>薬品マスタリスト_20260130100542!D370</f>
        <v>注射剤</v>
      </c>
      <c r="G372" s="208" t="str">
        <f>match_results!C369</f>
        <v>セフタジジム静注用１ｇ　　　　　　　　　　　　　１０Ｖ</v>
      </c>
      <c r="H372" s="208">
        <f>match_results!D369</f>
        <v>10</v>
      </c>
      <c r="I372" s="218">
        <f>match_results!E369</f>
        <v>70.967741935483801</v>
      </c>
      <c r="J372" s="225"/>
      <c r="K372" s="15" t="str">
        <f ca="1">IF($J372="〇",OFFSET(集計!B$3,合体!$H372,0),"")</f>
        <v/>
      </c>
      <c r="L372" s="15" t="str">
        <f ca="1">IF($J372="〇",OFFSET(集計!C$3,合体!$H372,0),"")</f>
        <v/>
      </c>
      <c r="M372" s="202" t="str">
        <f ca="1">IF($J372="〇",OFFSET(集計!D$3,合体!$H372,0),"")</f>
        <v/>
      </c>
    </row>
    <row r="373" spans="2:13" x14ac:dyDescent="0.2">
      <c r="B373" s="201">
        <f t="shared" si="5"/>
        <v>369</v>
      </c>
      <c r="C373" s="15" t="str">
        <f>薬品マスタリスト_20260130100542!A371</f>
        <v>セフタジジム静注用１ｇ「ＶＴＲＳ」</v>
      </c>
      <c r="D373" s="15" t="str">
        <f>薬品マスタリスト_20260130100542!B371</f>
        <v>ｾﾌﾀｼﾞｼﾞﾑｼﾞﾖｳﾁﾕｳﾖｳ1GVTRS</v>
      </c>
      <c r="E373" s="15">
        <f>薬品マスタリスト_20260130100542!C371</f>
        <v>25</v>
      </c>
      <c r="F373" s="206" t="str">
        <f>薬品マスタリスト_20260130100542!D371</f>
        <v>注射剤</v>
      </c>
      <c r="G373" s="208" t="str">
        <f>match_results!C370</f>
        <v>セフタジジム静注用１ｇ　　　　　　　　　　　　　１０Ｖ</v>
      </c>
      <c r="H373" s="208">
        <f>match_results!D370</f>
        <v>10</v>
      </c>
      <c r="I373" s="218">
        <f>match_results!E370</f>
        <v>75</v>
      </c>
      <c r="J373" s="225"/>
      <c r="K373" s="15" t="str">
        <f ca="1">IF($J373="〇",OFFSET(集計!B$3,合体!$H373,0),"")</f>
        <v/>
      </c>
      <c r="L373" s="15" t="str">
        <f ca="1">IF($J373="〇",OFFSET(集計!C$3,合体!$H373,0),"")</f>
        <v/>
      </c>
      <c r="M373" s="202" t="str">
        <f ca="1">IF($J373="〇",OFFSET(集計!D$3,合体!$H373,0),"")</f>
        <v/>
      </c>
    </row>
    <row r="374" spans="2:13" x14ac:dyDescent="0.2">
      <c r="B374" s="201">
        <f t="shared" si="5"/>
        <v>370</v>
      </c>
      <c r="C374" s="15" t="str">
        <f>薬品マスタリスト_20260130100542!A372</f>
        <v>セフトリアキソンナトリウム静注用１ｇ「日医工」</v>
      </c>
      <c r="D374" s="15" t="str">
        <f>薬品マスタリスト_20260130100542!B372</f>
        <v>ｾﾌﾄﾘｱｷｿﾝﾅﾄﾘｳﾑｼﾞｮｳﾁｭｳﾖｳ1g｢ﾆﾁｲｺｳ｣</v>
      </c>
      <c r="E374" s="15">
        <f>薬品マスタリスト_20260130100542!C372</f>
        <v>25</v>
      </c>
      <c r="F374" s="206" t="str">
        <f>薬品マスタリスト_20260130100542!D372</f>
        <v>注射剤</v>
      </c>
      <c r="G374" s="208" t="str">
        <f>match_results!C371</f>
        <v>セフトリアキソン静注用１Ｇ</v>
      </c>
      <c r="H374" s="208">
        <f>match_results!D371</f>
        <v>582</v>
      </c>
      <c r="I374" s="218">
        <f>match_results!E371</f>
        <v>66.6666666666666</v>
      </c>
      <c r="J374" s="225"/>
      <c r="K374" s="15" t="str">
        <f ca="1">IF($J374="〇",OFFSET(集計!B$3,合体!$H374,0),"")</f>
        <v/>
      </c>
      <c r="L374" s="15" t="str">
        <f ca="1">IF($J374="〇",OFFSET(集計!C$3,合体!$H374,0),"")</f>
        <v/>
      </c>
      <c r="M374" s="202" t="str">
        <f ca="1">IF($J374="〇",OFFSET(集計!D$3,合体!$H374,0),"")</f>
        <v/>
      </c>
    </row>
    <row r="375" spans="2:13" x14ac:dyDescent="0.2">
      <c r="B375" s="201">
        <f t="shared" si="5"/>
        <v>371</v>
      </c>
      <c r="C375" s="15" t="str">
        <f>薬品マスタリスト_20260130100542!A373</f>
        <v>ゼプリオン水懸筋注２５ｍｇシリンジ</v>
      </c>
      <c r="D375" s="15" t="str">
        <f>薬品マスタリスト_20260130100542!B373</f>
        <v>ｾﾞﾌﾟﾘｵﾝｽｲ懸ｷﾝﾁｭｳ25mgｼﾘﾝｼﾞ</v>
      </c>
      <c r="E375" s="15">
        <f>薬品マスタリスト_20260130100542!C373</f>
        <v>25</v>
      </c>
      <c r="F375" s="206" t="str">
        <f>薬品マスタリスト_20260130100542!D373</f>
        <v>注射剤</v>
      </c>
      <c r="G375" s="208" t="str">
        <f>match_results!C372</f>
        <v>ゼプリオン水懸筋注５０ｍｇ</v>
      </c>
      <c r="H375" s="208">
        <f>match_results!D372</f>
        <v>566</v>
      </c>
      <c r="I375" s="218">
        <f>match_results!E372</f>
        <v>80</v>
      </c>
      <c r="J375" s="225"/>
      <c r="K375" s="15" t="str">
        <f ca="1">IF($J375="〇",OFFSET(集計!B$3,合体!$H375,0),"")</f>
        <v/>
      </c>
      <c r="L375" s="15" t="str">
        <f ca="1">IF($J375="〇",OFFSET(集計!C$3,合体!$H375,0),"")</f>
        <v/>
      </c>
      <c r="M375" s="202" t="str">
        <f ca="1">IF($J375="〇",OFFSET(集計!D$3,合体!$H375,0),"")</f>
        <v/>
      </c>
    </row>
    <row r="376" spans="2:13" x14ac:dyDescent="0.2">
      <c r="B376" s="201">
        <f t="shared" si="5"/>
        <v>372</v>
      </c>
      <c r="C376" s="15" t="str">
        <f>薬品マスタリスト_20260130100542!A374</f>
        <v>ゼプリオン水懸筋注５０ｍｇシリンジ</v>
      </c>
      <c r="D376" s="15" t="str">
        <f>薬品マスタリスト_20260130100542!B374</f>
        <v>ｾﾞﾌﾟﾘｵﾝｽｲ懸ｷﾝﾁｭｳ50mgｼﾘﾝｼﾞ</v>
      </c>
      <c r="E376" s="15">
        <f>薬品マスタリスト_20260130100542!C374</f>
        <v>25</v>
      </c>
      <c r="F376" s="206" t="str">
        <f>薬品マスタリスト_20260130100542!D374</f>
        <v>注射剤</v>
      </c>
      <c r="G376" s="208" t="str">
        <f>match_results!C373</f>
        <v>ゼプリオン水懸筋注５０ｍｇ</v>
      </c>
      <c r="H376" s="208">
        <f>match_results!D373</f>
        <v>566</v>
      </c>
      <c r="I376" s="218">
        <f>match_results!E373</f>
        <v>86.6666666666666</v>
      </c>
      <c r="J376" s="225"/>
      <c r="K376" s="15" t="str">
        <f ca="1">IF($J376="〇",OFFSET(集計!B$3,合体!$H376,0),"")</f>
        <v/>
      </c>
      <c r="L376" s="15" t="str">
        <f ca="1">IF($J376="〇",OFFSET(集計!C$3,合体!$H376,0),"")</f>
        <v/>
      </c>
      <c r="M376" s="202" t="str">
        <f ca="1">IF($J376="〇",OFFSET(集計!D$3,合体!$H376,0),"")</f>
        <v/>
      </c>
    </row>
    <row r="377" spans="2:13" x14ac:dyDescent="0.2">
      <c r="B377" s="201">
        <f t="shared" si="5"/>
        <v>373</v>
      </c>
      <c r="C377" s="15" t="str">
        <f>薬品マスタリスト_20260130100542!A375</f>
        <v>ゼプリオン水懸筋注７５ｍｇシリンジ</v>
      </c>
      <c r="D377" s="15" t="str">
        <f>薬品マスタリスト_20260130100542!B375</f>
        <v>ｾﾞﾌﾟﾘｵﾝｽｲ懸ｷﾝﾁｭｳ75mgｼﾘﾝｼﾞ</v>
      </c>
      <c r="E377" s="15">
        <f>薬品マスタリスト_20260130100542!C375</f>
        <v>25</v>
      </c>
      <c r="F377" s="206" t="str">
        <f>薬品マスタリスト_20260130100542!D375</f>
        <v>注射剤</v>
      </c>
      <c r="G377" s="208" t="str">
        <f>match_results!C374</f>
        <v>ゼプリオン水懸筋注７５ｍｇ</v>
      </c>
      <c r="H377" s="208">
        <f>match_results!D374</f>
        <v>595</v>
      </c>
      <c r="I377" s="218">
        <f>match_results!E374</f>
        <v>86.6666666666666</v>
      </c>
      <c r="J377" s="225"/>
      <c r="K377" s="15" t="str">
        <f ca="1">IF($J377="〇",OFFSET(集計!B$3,合体!$H377,0),"")</f>
        <v/>
      </c>
      <c r="L377" s="15" t="str">
        <f ca="1">IF($J377="〇",OFFSET(集計!C$3,合体!$H377,0),"")</f>
        <v/>
      </c>
      <c r="M377" s="202" t="str">
        <f ca="1">IF($J377="〇",OFFSET(集計!D$3,合体!$H377,0),"")</f>
        <v/>
      </c>
    </row>
    <row r="378" spans="2:13" x14ac:dyDescent="0.2">
      <c r="B378" s="201">
        <f t="shared" si="5"/>
        <v>374</v>
      </c>
      <c r="C378" s="15" t="str">
        <f>薬品マスタリスト_20260130100542!A376</f>
        <v>ゼプリオン水懸筋注１００ｍｇシリンジ</v>
      </c>
      <c r="D378" s="15" t="str">
        <f>薬品マスタリスト_20260130100542!B376</f>
        <v>ｾﾞﾌﾟﾘｵﾝｽｲ懸ｷﾝﾁｭｳ100mgｼﾘﾝｼﾞ</v>
      </c>
      <c r="E378" s="15">
        <f>薬品マスタリスト_20260130100542!C376</f>
        <v>25</v>
      </c>
      <c r="F378" s="206" t="str">
        <f>薬品マスタリスト_20260130100542!D376</f>
        <v>注射剤</v>
      </c>
      <c r="G378" s="208" t="str">
        <f>match_results!C375</f>
        <v>ゼプリオン水懸筋注１００ｍｇ</v>
      </c>
      <c r="H378" s="208">
        <f>match_results!D375</f>
        <v>660</v>
      </c>
      <c r="I378" s="218">
        <f>match_results!E375</f>
        <v>87.5</v>
      </c>
      <c r="J378" s="225"/>
      <c r="K378" s="15" t="str">
        <f ca="1">IF($J378="〇",OFFSET(集計!B$3,合体!$H378,0),"")</f>
        <v/>
      </c>
      <c r="L378" s="15" t="str">
        <f ca="1">IF($J378="〇",OFFSET(集計!C$3,合体!$H378,0),"")</f>
        <v/>
      </c>
      <c r="M378" s="202" t="str">
        <f ca="1">IF($J378="〇",OFFSET(集計!D$3,合体!$H378,0),"")</f>
        <v/>
      </c>
    </row>
    <row r="379" spans="2:13" x14ac:dyDescent="0.2">
      <c r="B379" s="201">
        <f t="shared" si="5"/>
        <v>375</v>
      </c>
      <c r="C379" s="15" t="str">
        <f>薬品マスタリスト_20260130100542!A377</f>
        <v>ゼプリオン水懸筋注１５０ｍｇシリンジ</v>
      </c>
      <c r="D379" s="15" t="str">
        <f>薬品マスタリスト_20260130100542!B377</f>
        <v>ｾﾞﾌﾟﾘｵﾝｽｲ懸ｷﾝﾁｭｳ150mgｼﾘﾝｼﾞ</v>
      </c>
      <c r="E379" s="15">
        <f>薬品マスタリスト_20260130100542!C377</f>
        <v>25</v>
      </c>
      <c r="F379" s="206" t="str">
        <f>薬品マスタリスト_20260130100542!D377</f>
        <v>注射剤</v>
      </c>
      <c r="G379" s="208" t="str">
        <f>match_results!C376</f>
        <v>ゼプリオン水懸筋注１５０ｍｇ</v>
      </c>
      <c r="H379" s="208">
        <f>match_results!D376</f>
        <v>626</v>
      </c>
      <c r="I379" s="218">
        <f>match_results!E376</f>
        <v>87.5</v>
      </c>
      <c r="J379" s="225"/>
      <c r="K379" s="15" t="str">
        <f ca="1">IF($J379="〇",OFFSET(集計!B$3,合体!$H379,0),"")</f>
        <v/>
      </c>
      <c r="L379" s="15" t="str">
        <f ca="1">IF($J379="〇",OFFSET(集計!C$3,合体!$H379,0),"")</f>
        <v/>
      </c>
      <c r="M379" s="202" t="str">
        <f ca="1">IF($J379="〇",OFFSET(集計!D$3,合体!$H379,0),"")</f>
        <v/>
      </c>
    </row>
    <row r="380" spans="2:13" x14ac:dyDescent="0.2">
      <c r="B380" s="201">
        <f t="shared" si="5"/>
        <v>376</v>
      </c>
      <c r="C380" s="15" t="str">
        <f>薬品マスタリスト_20260130100542!A378</f>
        <v>セララ錠５０ｍｇ</v>
      </c>
      <c r="D380" s="15" t="str">
        <f>薬品マスタリスト_20260130100542!B378</f>
        <v>ｾﾗﾗｼﾞｮｳ50mg</v>
      </c>
      <c r="E380" s="15">
        <f>薬品マスタリスト_20260130100542!C378</f>
        <v>1</v>
      </c>
      <c r="F380" s="206" t="str">
        <f>薬品マスタリスト_20260130100542!D378</f>
        <v>錠剤</v>
      </c>
      <c r="G380" s="208" t="str">
        <f>match_results!C377</f>
        <v>セララ（５０）</v>
      </c>
      <c r="H380" s="208">
        <f>match_results!D377</f>
        <v>413</v>
      </c>
      <c r="I380" s="218">
        <f>match_results!E377</f>
        <v>66.6666666666666</v>
      </c>
      <c r="J380" s="225"/>
      <c r="K380" s="15" t="str">
        <f ca="1">IF($J380="〇",OFFSET(集計!B$3,合体!$H380,0),"")</f>
        <v/>
      </c>
      <c r="L380" s="15" t="str">
        <f ca="1">IF($J380="〇",OFFSET(集計!C$3,合体!$H380,0),"")</f>
        <v/>
      </c>
      <c r="M380" s="202" t="str">
        <f ca="1">IF($J380="〇",OFFSET(集計!D$3,合体!$H380,0),"")</f>
        <v/>
      </c>
    </row>
    <row r="381" spans="2:13" x14ac:dyDescent="0.2">
      <c r="B381" s="201">
        <f t="shared" si="5"/>
        <v>377</v>
      </c>
      <c r="C381" s="15" t="str">
        <f>薬品マスタリスト_20260130100542!A379</f>
        <v>セリンクロ錠１０ｍｇ</v>
      </c>
      <c r="D381" s="15" t="str">
        <f>薬品マスタリスト_20260130100542!B379</f>
        <v>ｾﾘﾝｸﾛｼﾞｮｳ10mg</v>
      </c>
      <c r="E381" s="15">
        <f>薬品マスタリスト_20260130100542!C379</f>
        <v>1</v>
      </c>
      <c r="F381" s="206" t="str">
        <f>薬品マスタリスト_20260130100542!D379</f>
        <v>錠剤</v>
      </c>
      <c r="G381" s="208" t="str">
        <f>match_results!C378</f>
        <v>トリンテリックス錠１０ｍｇ</v>
      </c>
      <c r="H381" s="208">
        <f>match_results!D378</f>
        <v>640</v>
      </c>
      <c r="I381" s="218">
        <f>match_results!E378</f>
        <v>69.565217391304301</v>
      </c>
      <c r="J381" s="225"/>
      <c r="K381" s="15" t="str">
        <f ca="1">IF($J381="〇",OFFSET(集計!B$3,合体!$H381,0),"")</f>
        <v/>
      </c>
      <c r="L381" s="15" t="str">
        <f ca="1">IF($J381="〇",OFFSET(集計!C$3,合体!$H381,0),"")</f>
        <v/>
      </c>
      <c r="M381" s="202" t="str">
        <f ca="1">IF($J381="〇",OFFSET(集計!D$3,合体!$H381,0),"")</f>
        <v/>
      </c>
    </row>
    <row r="382" spans="2:13" x14ac:dyDescent="0.2">
      <c r="B382" s="201">
        <f t="shared" si="5"/>
        <v>378</v>
      </c>
      <c r="C382" s="15" t="str">
        <f>薬品マスタリスト_20260130100542!A380</f>
        <v>２ｍｇセルシン錠</v>
      </c>
      <c r="D382" s="15" t="str">
        <f>薬品マスタリスト_20260130100542!B380</f>
        <v>2mgｾﾙｼﾝｼﾞｮｳ</v>
      </c>
      <c r="E382" s="15">
        <f>薬品マスタリスト_20260130100542!C380</f>
        <v>1</v>
      </c>
      <c r="F382" s="206" t="str">
        <f>薬品マスタリスト_20260130100542!D380</f>
        <v>錠剤</v>
      </c>
      <c r="G382" s="208" t="str">
        <f>match_results!C379</f>
        <v>セルトラリン錠２５㎎</v>
      </c>
      <c r="H382" s="208">
        <f>match_results!D379</f>
        <v>389</v>
      </c>
      <c r="I382" s="218">
        <f>match_results!E379</f>
        <v>44.4444444444444</v>
      </c>
      <c r="J382" s="225"/>
      <c r="K382" s="15" t="str">
        <f ca="1">IF($J382="〇",OFFSET(集計!B$3,合体!$H382,0),"")</f>
        <v/>
      </c>
      <c r="L382" s="15" t="str">
        <f ca="1">IF($J382="〇",OFFSET(集計!C$3,合体!$H382,0),"")</f>
        <v/>
      </c>
      <c r="M382" s="202" t="str">
        <f ca="1">IF($J382="〇",OFFSET(集計!D$3,合体!$H382,0),"")</f>
        <v/>
      </c>
    </row>
    <row r="383" spans="2:13" x14ac:dyDescent="0.2">
      <c r="B383" s="201">
        <f t="shared" si="5"/>
        <v>379</v>
      </c>
      <c r="C383" s="15" t="str">
        <f>薬品マスタリスト_20260130100542!A381</f>
        <v>５ｍｇセルシン錠</v>
      </c>
      <c r="D383" s="15" t="str">
        <f>薬品マスタリスト_20260130100542!B381</f>
        <v>5mgｾﾙｼﾝｼﾞｮｳ</v>
      </c>
      <c r="E383" s="15">
        <f>薬品マスタリスト_20260130100542!C381</f>
        <v>1</v>
      </c>
      <c r="F383" s="206" t="str">
        <f>薬品マスタリスト_20260130100542!D381</f>
        <v>錠剤</v>
      </c>
      <c r="G383" s="208" t="str">
        <f>match_results!C380</f>
        <v>セルトラリン錠２５㎎</v>
      </c>
      <c r="H383" s="208">
        <f>match_results!D380</f>
        <v>389</v>
      </c>
      <c r="I383" s="218">
        <f>match_results!E380</f>
        <v>44.4444444444444</v>
      </c>
      <c r="J383" s="225"/>
      <c r="K383" s="15" t="str">
        <f ca="1">IF($J383="〇",OFFSET(集計!B$3,合体!$H383,0),"")</f>
        <v/>
      </c>
      <c r="L383" s="15" t="str">
        <f ca="1">IF($J383="〇",OFFSET(集計!C$3,合体!$H383,0),"")</f>
        <v/>
      </c>
      <c r="M383" s="202" t="str">
        <f ca="1">IF($J383="〇",OFFSET(集計!D$3,合体!$H383,0),"")</f>
        <v/>
      </c>
    </row>
    <row r="384" spans="2:13" x14ac:dyDescent="0.2">
      <c r="B384" s="201">
        <f t="shared" si="5"/>
        <v>380</v>
      </c>
      <c r="C384" s="15" t="str">
        <f>薬品マスタリスト_20260130100542!A382</f>
        <v>セルシン注射液１０ｍｇ</v>
      </c>
      <c r="D384" s="15" t="str">
        <f>薬品マスタリスト_20260130100542!B382</f>
        <v>ｾﾙｼﾝﾁｭｳｼｬｴｷ10mg</v>
      </c>
      <c r="E384" s="15">
        <f>薬品マスタリスト_20260130100542!C382</f>
        <v>25</v>
      </c>
      <c r="F384" s="206" t="str">
        <f>薬品マスタリスト_20260130100542!D382</f>
        <v>注射剤</v>
      </c>
      <c r="G384" s="208" t="str">
        <f>match_results!C381</f>
        <v>セルシン注射液１０ＭＧ</v>
      </c>
      <c r="H384" s="208">
        <f>match_results!D381</f>
        <v>53</v>
      </c>
      <c r="I384" s="218">
        <f>match_results!E381</f>
        <v>81.818181818181799</v>
      </c>
      <c r="J384" s="225"/>
      <c r="K384" s="15" t="str">
        <f ca="1">IF($J384="〇",OFFSET(集計!B$3,合体!$H384,0),"")</f>
        <v/>
      </c>
      <c r="L384" s="15" t="str">
        <f ca="1">IF($J384="〇",OFFSET(集計!C$3,合体!$H384,0),"")</f>
        <v/>
      </c>
      <c r="M384" s="202" t="str">
        <f ca="1">IF($J384="〇",OFFSET(集計!D$3,合体!$H384,0),"")</f>
        <v/>
      </c>
    </row>
    <row r="385" spans="2:13" x14ac:dyDescent="0.2">
      <c r="B385" s="201">
        <f t="shared" si="5"/>
        <v>381</v>
      </c>
      <c r="C385" s="15" t="str">
        <f>薬品マスタリスト_20260130100542!A383</f>
        <v>セルトラリン錠２５ｍｇ「明治」</v>
      </c>
      <c r="D385" s="15" t="str">
        <f>薬品マスタリスト_20260130100542!B383</f>
        <v>ｾﾙﾄﾗﾘﾝｼﾞﾖｳ25MGﾒｲｼﾞ</v>
      </c>
      <c r="E385" s="15">
        <f>薬品マスタリスト_20260130100542!C383</f>
        <v>1</v>
      </c>
      <c r="F385" s="206" t="str">
        <f>薬品マスタリスト_20260130100542!D383</f>
        <v>錠剤</v>
      </c>
      <c r="G385" s="208" t="str">
        <f>match_results!C382</f>
        <v>セルトラリン錠２５㎎</v>
      </c>
      <c r="H385" s="208">
        <f>match_results!D382</f>
        <v>389</v>
      </c>
      <c r="I385" s="218">
        <f>match_results!E382</f>
        <v>72</v>
      </c>
      <c r="J385" s="225"/>
      <c r="K385" s="15" t="str">
        <f ca="1">IF($J385="〇",OFFSET(集計!B$3,合体!$H385,0),"")</f>
        <v/>
      </c>
      <c r="L385" s="15" t="str">
        <f ca="1">IF($J385="〇",OFFSET(集計!C$3,合体!$H385,0),"")</f>
        <v/>
      </c>
      <c r="M385" s="202" t="str">
        <f ca="1">IF($J385="〇",OFFSET(集計!D$3,合体!$H385,0),"")</f>
        <v/>
      </c>
    </row>
    <row r="386" spans="2:13" x14ac:dyDescent="0.2">
      <c r="B386" s="201">
        <f t="shared" si="5"/>
        <v>382</v>
      </c>
      <c r="C386" s="15" t="str">
        <f>薬品マスタリスト_20260130100542!A384</f>
        <v>セレコキシブ錠１００ｍｇ「ＤＳＥＰ」</v>
      </c>
      <c r="D386" s="15" t="str">
        <f>薬品マスタリスト_20260130100542!B384</f>
        <v>ｾﾚｺｷｼﾌﾞｼﾞｮｳ100mg｢DSEP｣</v>
      </c>
      <c r="E386" s="15">
        <f>薬品マスタリスト_20260130100542!C384</f>
        <v>1</v>
      </c>
      <c r="F386" s="206" t="str">
        <f>薬品マスタリスト_20260130100542!D384</f>
        <v>錠剤</v>
      </c>
      <c r="G386" s="208" t="str">
        <f>match_results!C383</f>
        <v>セレコキシブ錠１００ｍｇ</v>
      </c>
      <c r="H386" s="208">
        <f>match_results!D383</f>
        <v>410</v>
      </c>
      <c r="I386" s="218">
        <f>match_results!E383</f>
        <v>80</v>
      </c>
      <c r="J386" s="225"/>
      <c r="K386" s="15" t="str">
        <f ca="1">IF($J386="〇",OFFSET(集計!B$3,合体!$H386,0),"")</f>
        <v/>
      </c>
      <c r="L386" s="15" t="str">
        <f ca="1">IF($J386="〇",OFFSET(集計!C$3,合体!$H386,0),"")</f>
        <v/>
      </c>
      <c r="M386" s="202" t="str">
        <f ca="1">IF($J386="〇",OFFSET(集計!D$3,合体!$H386,0),"")</f>
        <v/>
      </c>
    </row>
    <row r="387" spans="2:13" x14ac:dyDescent="0.2">
      <c r="B387" s="201">
        <f t="shared" si="5"/>
        <v>383</v>
      </c>
      <c r="C387" s="15" t="str">
        <f>薬品マスタリスト_20260130100542!A385</f>
        <v>セレジストＯＤ錠５ｍｇ</v>
      </c>
      <c r="D387" s="15" t="str">
        <f>薬品マスタリスト_20260130100542!B385</f>
        <v>ｾﾚｼﾞｽﾄODｼﾞｮｳ5mg</v>
      </c>
      <c r="E387" s="15">
        <f>薬品マスタリスト_20260130100542!C385</f>
        <v>1</v>
      </c>
      <c r="F387" s="206" t="str">
        <f>薬品マスタリスト_20260130100542!D385</f>
        <v>錠剤</v>
      </c>
      <c r="G387" s="208" t="str">
        <f>match_results!C384</f>
        <v>エバスチンＯＤ錠５ｍｇ</v>
      </c>
      <c r="H387" s="208">
        <f>match_results!D384</f>
        <v>232</v>
      </c>
      <c r="I387" s="218">
        <f>match_results!E384</f>
        <v>63.636363636363598</v>
      </c>
      <c r="J387" s="225"/>
      <c r="K387" s="15" t="str">
        <f ca="1">IF($J387="〇",OFFSET(集計!B$3,合体!$H387,0),"")</f>
        <v/>
      </c>
      <c r="L387" s="15" t="str">
        <f ca="1">IF($J387="〇",OFFSET(集計!C$3,合体!$H387,0),"")</f>
        <v/>
      </c>
      <c r="M387" s="202" t="str">
        <f ca="1">IF($J387="〇",OFFSET(集計!D$3,合体!$H387,0),"")</f>
        <v/>
      </c>
    </row>
    <row r="388" spans="2:13" x14ac:dyDescent="0.2">
      <c r="B388" s="201">
        <f t="shared" si="5"/>
        <v>384</v>
      </c>
      <c r="C388" s="15" t="str">
        <f>薬品マスタリスト_20260130100542!A386</f>
        <v>セレスタミン配合錠</v>
      </c>
      <c r="D388" s="15" t="str">
        <f>薬品マスタリスト_20260130100542!B386</f>
        <v>ｾﾚｽﾀﾐﾝﾊｲｺﾞｳｼﾞｮｳ</v>
      </c>
      <c r="E388" s="15">
        <f>薬品マスタリスト_20260130100542!C386</f>
        <v>1</v>
      </c>
      <c r="F388" s="206" t="str">
        <f>薬品マスタリスト_20260130100542!D386</f>
        <v>錠剤</v>
      </c>
      <c r="G388" s="208" t="str">
        <f>match_results!C385</f>
        <v>セレスタミン配合錠</v>
      </c>
      <c r="H388" s="208">
        <f>match_results!D385</f>
        <v>30</v>
      </c>
      <c r="I388" s="218">
        <f>match_results!E385</f>
        <v>100</v>
      </c>
      <c r="J388" s="225" t="s">
        <v>3917</v>
      </c>
      <c r="K388" s="15">
        <f ca="1">IF($J388="〇",OFFSET(集計!B$3,合体!$H388,0),"")</f>
        <v>7.27</v>
      </c>
      <c r="L388" s="15">
        <f ca="1">IF($J388="〇",OFFSET(集計!C$3,合体!$H388,0),"")</f>
        <v>40</v>
      </c>
      <c r="M388" s="202">
        <f ca="1">IF($J388="〇",OFFSET(集計!D$3,合体!$H388,0),"")</f>
        <v>290.79999999999995</v>
      </c>
    </row>
    <row r="389" spans="2:13" x14ac:dyDescent="0.2">
      <c r="B389" s="201">
        <f t="shared" si="5"/>
        <v>385</v>
      </c>
      <c r="C389" s="15" t="str">
        <f>薬品マスタリスト_20260130100542!A387</f>
        <v>セレニカＲ顆粒４０％</v>
      </c>
      <c r="D389" s="15" t="str">
        <f>薬品マスタリスト_20260130100542!B387</f>
        <v>ｾﾚﾆｶRｶﾘﾕｳ40%</v>
      </c>
      <c r="E389" s="15">
        <f>薬品マスタリスト_20260130100542!C387</f>
        <v>5</v>
      </c>
      <c r="F389" s="206" t="str">
        <f>薬品マスタリスト_20260130100542!D387</f>
        <v>顆粒</v>
      </c>
      <c r="G389" s="208" t="str">
        <f>match_results!C386</f>
        <v>レボトミン顆粒　１０％</v>
      </c>
      <c r="H389" s="208">
        <f>match_results!D386</f>
        <v>272</v>
      </c>
      <c r="I389" s="218">
        <f>match_results!E386</f>
        <v>47.619047619047599</v>
      </c>
      <c r="J389" s="225"/>
      <c r="K389" s="15" t="str">
        <f ca="1">IF($J389="〇",OFFSET(集計!B$3,合体!$H389,0),"")</f>
        <v/>
      </c>
      <c r="L389" s="15" t="str">
        <f ca="1">IF($J389="〇",OFFSET(集計!C$3,合体!$H389,0),"")</f>
        <v/>
      </c>
      <c r="M389" s="202" t="str">
        <f ca="1">IF($J389="〇",OFFSET(集計!D$3,合体!$H389,0),"")</f>
        <v/>
      </c>
    </row>
    <row r="390" spans="2:13" x14ac:dyDescent="0.2">
      <c r="B390" s="201">
        <f t="shared" si="5"/>
        <v>386</v>
      </c>
      <c r="C390" s="15" t="str">
        <f>薬品マスタリスト_20260130100542!A388</f>
        <v>セレネース注５ｍｇ</v>
      </c>
      <c r="D390" s="15" t="str">
        <f>薬品マスタリスト_20260130100542!B388</f>
        <v>ｾﾚﾈｰｽﾁｭｳ5mg</v>
      </c>
      <c r="E390" s="15">
        <f>薬品マスタリスト_20260130100542!C388</f>
        <v>25</v>
      </c>
      <c r="F390" s="206" t="str">
        <f>薬品マスタリスト_20260130100542!D388</f>
        <v>注射剤</v>
      </c>
      <c r="G390" s="208" t="str">
        <f>match_results!C387</f>
        <v>セレネース注５ｍｇ　１ｍＬＸ５０管</v>
      </c>
      <c r="H390" s="208">
        <f>match_results!D387</f>
        <v>200</v>
      </c>
      <c r="I390" s="218">
        <f>match_results!E387</f>
        <v>69.230769230769198</v>
      </c>
      <c r="J390" s="225"/>
      <c r="K390" s="15" t="str">
        <f ca="1">IF($J390="〇",OFFSET(集計!B$3,合体!$H390,0),"")</f>
        <v/>
      </c>
      <c r="L390" s="15" t="str">
        <f ca="1">IF($J390="〇",OFFSET(集計!C$3,合体!$H390,0),"")</f>
        <v/>
      </c>
      <c r="M390" s="202" t="str">
        <f ca="1">IF($J390="〇",OFFSET(集計!D$3,合体!$H390,0),"")</f>
        <v/>
      </c>
    </row>
    <row r="391" spans="2:13" x14ac:dyDescent="0.2">
      <c r="B391" s="201">
        <f t="shared" ref="B391:B454" si="6">B390+1</f>
        <v>387</v>
      </c>
      <c r="C391" s="15" t="str">
        <f>薬品マスタリスト_20260130100542!A389</f>
        <v>セレネース液</v>
      </c>
      <c r="D391" s="15" t="str">
        <f>薬品マスタリスト_20260130100542!B389</f>
        <v>ｾﾚﾈｰｽｴｷ</v>
      </c>
      <c r="E391" s="15">
        <f>薬品マスタリスト_20260130100542!C389</f>
        <v>7</v>
      </c>
      <c r="F391" s="206" t="str">
        <f>薬品マスタリスト_20260130100542!D389</f>
        <v>液（内用）</v>
      </c>
      <c r="G391" s="208" t="str">
        <f>match_results!C388</f>
        <v>セレネース内服液０．２％　　　　　</v>
      </c>
      <c r="H391" s="208">
        <f>match_results!D388</f>
        <v>371</v>
      </c>
      <c r="I391" s="218">
        <f>match_results!E388</f>
        <v>66.6666666666666</v>
      </c>
      <c r="J391" s="225"/>
      <c r="K391" s="15" t="str">
        <f ca="1">IF($J391="〇",OFFSET(集計!B$3,合体!$H391,0),"")</f>
        <v/>
      </c>
      <c r="L391" s="15" t="str">
        <f ca="1">IF($J391="〇",OFFSET(集計!C$3,合体!$H391,0),"")</f>
        <v/>
      </c>
      <c r="M391" s="202" t="str">
        <f ca="1">IF($J391="〇",OFFSET(集計!D$3,合体!$H391,0),"")</f>
        <v/>
      </c>
    </row>
    <row r="392" spans="2:13" x14ac:dyDescent="0.2">
      <c r="B392" s="201">
        <f t="shared" si="6"/>
        <v>388</v>
      </c>
      <c r="C392" s="15" t="str">
        <f>薬品マスタリスト_20260130100542!A390</f>
        <v>センノシド錠１２ｍｇ「トーワ」</v>
      </c>
      <c r="D392" s="15" t="str">
        <f>薬品マスタリスト_20260130100542!B390</f>
        <v>ｾﾝﾉｼﾄﾞｼﾞｮｳ12mg｢ﾄｰﾜ｣</v>
      </c>
      <c r="E392" s="15">
        <f>薬品マスタリスト_20260130100542!C390</f>
        <v>1</v>
      </c>
      <c r="F392" s="206" t="str">
        <f>薬品マスタリスト_20260130100542!D390</f>
        <v>錠剤</v>
      </c>
      <c r="G392" s="208" t="str">
        <f>match_results!C389</f>
        <v>センノシド錠　１２ｍｇ「トーワ」</v>
      </c>
      <c r="H392" s="208">
        <f>match_results!D389</f>
        <v>439</v>
      </c>
      <c r="I392" s="218">
        <f>match_results!E389</f>
        <v>96.774193548387103</v>
      </c>
      <c r="J392" s="225"/>
      <c r="K392" s="15" t="str">
        <f ca="1">IF($J392="〇",OFFSET(集計!B$3,合体!$H392,0),"")</f>
        <v/>
      </c>
      <c r="L392" s="15" t="str">
        <f ca="1">IF($J392="〇",OFFSET(集計!C$3,合体!$H392,0),"")</f>
        <v/>
      </c>
      <c r="M392" s="202" t="str">
        <f ca="1">IF($J392="〇",OFFSET(集計!D$3,合体!$H392,0),"")</f>
        <v/>
      </c>
    </row>
    <row r="393" spans="2:13" x14ac:dyDescent="0.2">
      <c r="B393" s="201">
        <f t="shared" si="6"/>
        <v>389</v>
      </c>
      <c r="C393" s="15" t="str">
        <f>薬品マスタリスト_20260130100542!A391</f>
        <v>センノシド顆粒８％「日医工」</v>
      </c>
      <c r="D393" s="15" t="str">
        <f>薬品マスタリスト_20260130100542!B391</f>
        <v>ｾﾝﾉｼﾄﾞｶﾘｭｳ8%｢ﾆﾁｲｺｳ｣</v>
      </c>
      <c r="E393" s="15">
        <f>薬品マスタリスト_20260130100542!C391</f>
        <v>3</v>
      </c>
      <c r="F393" s="206" t="str">
        <f>薬品マスタリスト_20260130100542!D391</f>
        <v>散</v>
      </c>
      <c r="G393" s="208" t="str">
        <f>match_results!C390</f>
        <v>センノシド錠　１２ｍｇ「トーワ」</v>
      </c>
      <c r="H393" s="208">
        <f>match_results!D390</f>
        <v>439</v>
      </c>
      <c r="I393" s="218">
        <f>match_results!E390</f>
        <v>46.6666666666666</v>
      </c>
      <c r="J393" s="225"/>
      <c r="K393" s="15" t="str">
        <f ca="1">IF($J393="〇",OFFSET(集計!B$3,合体!$H393,0),"")</f>
        <v/>
      </c>
      <c r="L393" s="15" t="str">
        <f ca="1">IF($J393="〇",OFFSET(集計!C$3,合体!$H393,0),"")</f>
        <v/>
      </c>
      <c r="M393" s="202" t="str">
        <f ca="1">IF($J393="〇",OFFSET(集計!D$3,合体!$H393,0),"")</f>
        <v/>
      </c>
    </row>
    <row r="394" spans="2:13" x14ac:dyDescent="0.2">
      <c r="B394" s="201">
        <f t="shared" si="6"/>
        <v>390</v>
      </c>
      <c r="C394" s="15" t="str">
        <f>薬品マスタリスト_20260130100542!A392</f>
        <v>センノシド錠１２ｍｇ「クニヒロ」</v>
      </c>
      <c r="D394" s="15" t="str">
        <f>薬品マスタリスト_20260130100542!B392</f>
        <v>ｾﾝﾉｼﾄﾞｼﾞﾖｳ12MGｸﾆﾋﾛ</v>
      </c>
      <c r="E394" s="15">
        <f>薬品マスタリスト_20260130100542!C392</f>
        <v>1</v>
      </c>
      <c r="F394" s="206" t="str">
        <f>薬品マスタリスト_20260130100542!D392</f>
        <v>錠剤</v>
      </c>
      <c r="G394" s="208" t="str">
        <f>match_results!C391</f>
        <v>センノシド錠　１２ｍｇ「トーワ」</v>
      </c>
      <c r="H394" s="208">
        <f>match_results!D391</f>
        <v>439</v>
      </c>
      <c r="I394" s="218">
        <f>match_results!E391</f>
        <v>75</v>
      </c>
      <c r="J394" s="225"/>
      <c r="K394" s="15" t="str">
        <f ca="1">IF($J394="〇",OFFSET(集計!B$3,合体!$H394,0),"")</f>
        <v/>
      </c>
      <c r="L394" s="15" t="str">
        <f ca="1">IF($J394="〇",OFFSET(集計!C$3,合体!$H394,0),"")</f>
        <v/>
      </c>
      <c r="M394" s="202" t="str">
        <f ca="1">IF($J394="〇",OFFSET(集計!D$3,合体!$H394,0),"")</f>
        <v/>
      </c>
    </row>
    <row r="395" spans="2:13" x14ac:dyDescent="0.2">
      <c r="B395" s="201">
        <f t="shared" si="6"/>
        <v>391</v>
      </c>
      <c r="C395" s="15" t="str">
        <f>薬品マスタリスト_20260130100542!A393</f>
        <v>センブリ・重曹散「ヨシダ」</v>
      </c>
      <c r="D395" s="15" t="str">
        <f>薬品マスタリスト_20260130100542!B393</f>
        <v>ｾﾝﾌﾞﾘ･ｼﾞｭｳｿｳｻﾝ｢ﾖｼﾀﾞ｣</v>
      </c>
      <c r="E395" s="15">
        <f>薬品マスタリスト_20260130100542!C393</f>
        <v>3</v>
      </c>
      <c r="F395" s="206" t="str">
        <f>薬品マスタリスト_20260130100542!D393</f>
        <v>散</v>
      </c>
      <c r="G395" s="208" t="str">
        <f>match_results!C392</f>
        <v>センブリ・重曹散「ヨシダ」</v>
      </c>
      <c r="H395" s="208">
        <f>match_results!D392</f>
        <v>280</v>
      </c>
      <c r="I395" s="218">
        <f>match_results!E392</f>
        <v>100</v>
      </c>
      <c r="J395" s="225" t="s">
        <v>3917</v>
      </c>
      <c r="K395" s="15">
        <f ca="1">IF($J395="〇",OFFSET(集計!B$3,合体!$H395,0),"")</f>
        <v>6.5</v>
      </c>
      <c r="L395" s="15">
        <f ca="1">IF($J395="〇",OFFSET(集計!C$3,合体!$H395,0),"")</f>
        <v>652</v>
      </c>
      <c r="M395" s="202">
        <f ca="1">IF($J395="〇",OFFSET(集計!D$3,合体!$H395,0),"")</f>
        <v>4238</v>
      </c>
    </row>
    <row r="396" spans="2:13" x14ac:dyDescent="0.2">
      <c r="B396" s="201">
        <f t="shared" si="6"/>
        <v>392</v>
      </c>
      <c r="C396" s="15" t="str">
        <f>薬品マスタリスト_20260130100542!A394</f>
        <v>ゾシン静注用４．５</v>
      </c>
      <c r="D396" s="15" t="str">
        <f>薬品マスタリスト_20260130100542!B394</f>
        <v>ｿﾞｼﾝｼﾞｮｳﾁｭｳﾖｳ4.5</v>
      </c>
      <c r="E396" s="15">
        <f>薬品マスタリスト_20260130100542!C394</f>
        <v>25</v>
      </c>
      <c r="F396" s="206" t="str">
        <f>薬品マスタリスト_20260130100542!D394</f>
        <v>注射剤</v>
      </c>
      <c r="G396" s="208" t="str">
        <f>match_results!C393</f>
        <v>ゾシン注</v>
      </c>
      <c r="H396" s="208">
        <f>match_results!D393</f>
        <v>655</v>
      </c>
      <c r="I396" s="218">
        <f>match_results!E393</f>
        <v>61.538461538461497</v>
      </c>
      <c r="J396" s="225"/>
      <c r="K396" s="15" t="str">
        <f ca="1">IF($J396="〇",OFFSET(集計!B$3,合体!$H396,0),"")</f>
        <v/>
      </c>
      <c r="L396" s="15" t="str">
        <f ca="1">IF($J396="〇",OFFSET(集計!C$3,合体!$H396,0),"")</f>
        <v/>
      </c>
      <c r="M396" s="202" t="str">
        <f ca="1">IF($J396="〇",OFFSET(集計!D$3,合体!$H396,0),"")</f>
        <v/>
      </c>
    </row>
    <row r="397" spans="2:13" x14ac:dyDescent="0.2">
      <c r="B397" s="201">
        <f t="shared" si="6"/>
        <v>393</v>
      </c>
      <c r="C397" s="15" t="str">
        <f>薬品マスタリスト_20260130100542!A395</f>
        <v>ソタコール錠８０ｍｇ</v>
      </c>
      <c r="D397" s="15" t="str">
        <f>薬品マスタリスト_20260130100542!B395</f>
        <v>ｿﾀｺｰﾙｼﾞｮｳ80mg</v>
      </c>
      <c r="E397" s="15">
        <f>薬品マスタリスト_20260130100542!C395</f>
        <v>1</v>
      </c>
      <c r="F397" s="206" t="str">
        <f>薬品マスタリスト_20260130100542!D395</f>
        <v>錠剤</v>
      </c>
      <c r="G397" s="208" t="str">
        <f>match_results!C394</f>
        <v>タンボコール錠５０ｍｇ</v>
      </c>
      <c r="H397" s="208">
        <f>match_results!D394</f>
        <v>339</v>
      </c>
      <c r="I397" s="218">
        <f>match_results!E394</f>
        <v>76.190476190476105</v>
      </c>
      <c r="J397" s="225"/>
      <c r="K397" s="15" t="str">
        <f ca="1">IF($J397="〇",OFFSET(集計!B$3,合体!$H397,0),"")</f>
        <v/>
      </c>
      <c r="L397" s="15" t="str">
        <f ca="1">IF($J397="〇",OFFSET(集計!C$3,合体!$H397,0),"")</f>
        <v/>
      </c>
      <c r="M397" s="202" t="str">
        <f ca="1">IF($J397="〇",OFFSET(集計!D$3,合体!$H397,0),"")</f>
        <v/>
      </c>
    </row>
    <row r="398" spans="2:13" x14ac:dyDescent="0.2">
      <c r="B398" s="201">
        <f t="shared" si="6"/>
        <v>394</v>
      </c>
      <c r="C398" s="15" t="str">
        <f>薬品マスタリスト_20260130100542!A396</f>
        <v>ソタロール塩酸塩錠８０ｍｇ「ＴＥ」</v>
      </c>
      <c r="D398" s="15" t="str">
        <f>薬品マスタリスト_20260130100542!B396</f>
        <v>ｿﾀﾛ-ﾙｴﾝｻﾝｴﾝｼﾞﾖｳ80MGTE</v>
      </c>
      <c r="E398" s="15">
        <f>薬品マスタリスト_20260130100542!C396</f>
        <v>1</v>
      </c>
      <c r="F398" s="206" t="str">
        <f>薬品マスタリスト_20260130100542!D396</f>
        <v>錠剤</v>
      </c>
      <c r="G398" s="208" t="str">
        <f>match_results!C395</f>
        <v>ソタロール（８０）</v>
      </c>
      <c r="H398" s="208">
        <f>match_results!D395</f>
        <v>358</v>
      </c>
      <c r="I398" s="218">
        <f>match_results!E395</f>
        <v>53.846153846153797</v>
      </c>
      <c r="J398" s="225"/>
      <c r="K398" s="15" t="str">
        <f ca="1">IF($J398="〇",OFFSET(集計!B$3,合体!$H398,0),"")</f>
        <v/>
      </c>
      <c r="L398" s="15" t="str">
        <f ca="1">IF($J398="〇",OFFSET(集計!C$3,合体!$H398,0),"")</f>
        <v/>
      </c>
      <c r="M398" s="202" t="str">
        <f ca="1">IF($J398="〇",OFFSET(集計!D$3,合体!$H398,0),"")</f>
        <v/>
      </c>
    </row>
    <row r="399" spans="2:13" x14ac:dyDescent="0.2">
      <c r="B399" s="201">
        <f t="shared" si="6"/>
        <v>395</v>
      </c>
      <c r="C399" s="15" t="str">
        <f>薬品マスタリスト_20260130100542!A397</f>
        <v>ゾテピン錠２５ｍｇ「ヨシトミ」</v>
      </c>
      <c r="D399" s="15" t="str">
        <f>薬品マスタリスト_20260130100542!B397</f>
        <v>ｿﾞﾃﾋﾟﾝｼﾞｮｳ25mg｢ﾖｼﾄﾐ｣</v>
      </c>
      <c r="E399" s="15">
        <f>薬品マスタリスト_20260130100542!C397</f>
        <v>1</v>
      </c>
      <c r="F399" s="206" t="str">
        <f>薬品マスタリスト_20260130100542!D397</f>
        <v>錠剤</v>
      </c>
      <c r="G399" s="208" t="str">
        <f>match_results!C396</f>
        <v>ゾピクロン錠７．５ｍｇ「トーワ」</v>
      </c>
      <c r="H399" s="208">
        <f>match_results!D396</f>
        <v>160</v>
      </c>
      <c r="I399" s="218">
        <f>match_results!E396</f>
        <v>64.516129032257993</v>
      </c>
      <c r="J399" s="225"/>
      <c r="K399" s="15" t="str">
        <f ca="1">IF($J399="〇",OFFSET(集計!B$3,合体!$H399,0),"")</f>
        <v/>
      </c>
      <c r="L399" s="15" t="str">
        <f ca="1">IF($J399="〇",OFFSET(集計!C$3,合体!$H399,0),"")</f>
        <v/>
      </c>
      <c r="M399" s="202" t="str">
        <f ca="1">IF($J399="〇",OFFSET(集計!D$3,合体!$H399,0),"")</f>
        <v/>
      </c>
    </row>
    <row r="400" spans="2:13" x14ac:dyDescent="0.2">
      <c r="B400" s="201">
        <f t="shared" si="6"/>
        <v>396</v>
      </c>
      <c r="C400" s="15" t="str">
        <f>薬品マスタリスト_20260130100542!A398</f>
        <v>ゾテピン錠５０ｍｇ「ヨシトミ」</v>
      </c>
      <c r="D400" s="15" t="str">
        <f>薬品マスタリスト_20260130100542!B398</f>
        <v>ｿﾞﾃﾋﾟﾝｼﾞｮｳ50mg｢ﾖｼﾄﾐ｣</v>
      </c>
      <c r="E400" s="15">
        <f>薬品マスタリスト_20260130100542!C398</f>
        <v>1</v>
      </c>
      <c r="F400" s="206" t="str">
        <f>薬品マスタリスト_20260130100542!D398</f>
        <v>錠剤</v>
      </c>
      <c r="G400" s="208" t="str">
        <f>match_results!C397</f>
        <v>ゾピクロン錠７．５ｍｇ「トーワ」</v>
      </c>
      <c r="H400" s="208">
        <f>match_results!D397</f>
        <v>160</v>
      </c>
      <c r="I400" s="218">
        <f>match_results!E397</f>
        <v>64.516129032257993</v>
      </c>
      <c r="J400" s="225"/>
      <c r="K400" s="15" t="str">
        <f ca="1">IF($J400="〇",OFFSET(集計!B$3,合体!$H400,0),"")</f>
        <v/>
      </c>
      <c r="L400" s="15" t="str">
        <f ca="1">IF($J400="〇",OFFSET(集計!C$3,合体!$H400,0),"")</f>
        <v/>
      </c>
      <c r="M400" s="202" t="str">
        <f ca="1">IF($J400="〇",OFFSET(集計!D$3,合体!$H400,0),"")</f>
        <v/>
      </c>
    </row>
    <row r="401" spans="2:13" x14ac:dyDescent="0.2">
      <c r="B401" s="201">
        <f t="shared" si="6"/>
        <v>397</v>
      </c>
      <c r="C401" s="15" t="str">
        <f>薬品マスタリスト_20260130100542!A399</f>
        <v>ゾテピン細粒５０％「ヨシトミ」</v>
      </c>
      <c r="D401" s="15" t="str">
        <f>薬品マスタリスト_20260130100542!B399</f>
        <v>ｿﾞﾃﾋﾟﾝｻｲﾘｭｳ50%｢ﾖｼﾄﾐ｣</v>
      </c>
      <c r="E401" s="15">
        <f>薬品マスタリスト_20260130100542!C399</f>
        <v>3</v>
      </c>
      <c r="F401" s="206" t="str">
        <f>薬品マスタリスト_20260130100542!D399</f>
        <v>散</v>
      </c>
      <c r="G401" s="208" t="str">
        <f>match_results!C398</f>
        <v>オランザピン細粒１％「ヨシトミ」</v>
      </c>
      <c r="H401" s="208">
        <f>match_results!D398</f>
        <v>474</v>
      </c>
      <c r="I401" s="218">
        <f>match_results!E398</f>
        <v>70.967741935483801</v>
      </c>
      <c r="J401" s="225"/>
      <c r="K401" s="15" t="str">
        <f ca="1">IF($J401="〇",OFFSET(集計!B$3,合体!$H401,0),"")</f>
        <v/>
      </c>
      <c r="L401" s="15" t="str">
        <f ca="1">IF($J401="〇",OFFSET(集計!C$3,合体!$H401,0),"")</f>
        <v/>
      </c>
      <c r="M401" s="202" t="str">
        <f ca="1">IF($J401="〇",OFFSET(集計!D$3,合体!$H401,0),"")</f>
        <v/>
      </c>
    </row>
    <row r="402" spans="2:13" x14ac:dyDescent="0.2">
      <c r="B402" s="201">
        <f t="shared" si="6"/>
        <v>398</v>
      </c>
      <c r="C402" s="15" t="str">
        <f>薬品マスタリスト_20260130100542!A400</f>
        <v>ゾニサミド錠１００ｍｇ「アメル」</v>
      </c>
      <c r="D402" s="15" t="str">
        <f>薬品マスタリスト_20260130100542!B400</f>
        <v>ｿﾞﾆｻﾐﾄﾞｼﾞｮｳ100mg｢ｱﾒﾙ｣</v>
      </c>
      <c r="E402" s="15">
        <f>薬品マスタリスト_20260130100542!C400</f>
        <v>1</v>
      </c>
      <c r="F402" s="206" t="str">
        <f>薬品マスタリスト_20260130100542!D400</f>
        <v>錠剤</v>
      </c>
      <c r="G402" s="208" t="str">
        <f>match_results!C399</f>
        <v>スルピリド錠１００ｍｇ「アメル」　</v>
      </c>
      <c r="H402" s="208">
        <f>match_results!D399</f>
        <v>269</v>
      </c>
      <c r="I402" s="218">
        <f>match_results!E399</f>
        <v>75</v>
      </c>
      <c r="J402" s="225"/>
      <c r="K402" s="15" t="str">
        <f ca="1">IF($J402="〇",OFFSET(集計!B$3,合体!$H402,0),"")</f>
        <v/>
      </c>
      <c r="L402" s="15" t="str">
        <f ca="1">IF($J402="〇",OFFSET(集計!C$3,合体!$H402,0),"")</f>
        <v/>
      </c>
      <c r="M402" s="202" t="str">
        <f ca="1">IF($J402="〇",OFFSET(集計!D$3,合体!$H402,0),"")</f>
        <v/>
      </c>
    </row>
    <row r="403" spans="2:13" x14ac:dyDescent="0.2">
      <c r="B403" s="201">
        <f t="shared" si="6"/>
        <v>399</v>
      </c>
      <c r="C403" s="15" t="str">
        <f>薬品マスタリスト_20260130100542!A401</f>
        <v>ゾニサミドＯＤ錠２５ｍｇＴＲＥ「ＤＳＥＰ」</v>
      </c>
      <c r="D403" s="15" t="str">
        <f>薬品マスタリスト_20260130100542!B401</f>
        <v>ｿﾞﾆｻﾐﾄﾞODｼﾞﾖｳ25MGTREDSEP</v>
      </c>
      <c r="E403" s="15">
        <f>薬品マスタリスト_20260130100542!C401</f>
        <v>1</v>
      </c>
      <c r="F403" s="206" t="str">
        <f>薬品マスタリスト_20260130100542!D401</f>
        <v>錠剤</v>
      </c>
      <c r="G403" s="208" t="str">
        <f>match_results!C400</f>
        <v>ゾニサミドＯＤ錠２５ｍｇＴＲＥ</v>
      </c>
      <c r="H403" s="208">
        <f>match_results!D400</f>
        <v>394</v>
      </c>
      <c r="I403" s="218">
        <f>match_results!E400</f>
        <v>83.3333333333333</v>
      </c>
      <c r="J403" s="225"/>
      <c r="K403" s="15" t="str">
        <f ca="1">IF($J403="〇",OFFSET(集計!B$3,合体!$H403,0),"")</f>
        <v/>
      </c>
      <c r="L403" s="15" t="str">
        <f ca="1">IF($J403="〇",OFFSET(集計!C$3,合体!$H403,0),"")</f>
        <v/>
      </c>
      <c r="M403" s="202" t="str">
        <f ca="1">IF($J403="〇",OFFSET(集計!D$3,合体!$H403,0),"")</f>
        <v/>
      </c>
    </row>
    <row r="404" spans="2:13" x14ac:dyDescent="0.2">
      <c r="B404" s="201">
        <f t="shared" si="6"/>
        <v>400</v>
      </c>
      <c r="C404" s="15" t="str">
        <f>薬品マスタリスト_20260130100542!A402</f>
        <v>ゾピクロン錠７．５ｍｇ「トーワ」</v>
      </c>
      <c r="D404" s="15" t="str">
        <f>薬品マスタリスト_20260130100542!B402</f>
        <v>ｿﾞﾋﾟｸﾛﾝｼﾞｮｳ7.5mg｢ﾄｰﾜ｣</v>
      </c>
      <c r="E404" s="15">
        <f>薬品マスタリスト_20260130100542!C402</f>
        <v>1</v>
      </c>
      <c r="F404" s="206" t="str">
        <f>薬品マスタリスト_20260130100542!D402</f>
        <v>錠剤</v>
      </c>
      <c r="G404" s="208" t="str">
        <f>match_results!C401</f>
        <v>ゾピクロン錠７．５ｍｇ「トーワ」</v>
      </c>
      <c r="H404" s="208">
        <f>match_results!D401</f>
        <v>160</v>
      </c>
      <c r="I404" s="218">
        <f>match_results!E401</f>
        <v>100</v>
      </c>
      <c r="J404" s="225" t="s">
        <v>3917</v>
      </c>
      <c r="K404" s="15">
        <f ca="1">IF($J404="〇",OFFSET(集計!B$3,合体!$H404,0),"")</f>
        <v>5.79</v>
      </c>
      <c r="L404" s="15">
        <f ca="1">IF($J404="〇",OFFSET(集計!C$3,合体!$H404,0),"")</f>
        <v>404.22222222222223</v>
      </c>
      <c r="M404" s="202">
        <f ca="1">IF($J404="〇",OFFSET(集計!D$3,合体!$H404,0),"")</f>
        <v>2340.4466666666667</v>
      </c>
    </row>
    <row r="405" spans="2:13" x14ac:dyDescent="0.2">
      <c r="B405" s="201">
        <f t="shared" si="6"/>
        <v>401</v>
      </c>
      <c r="C405" s="15" t="str">
        <f>薬品マスタリスト_20260130100542!A403</f>
        <v>ソフラチュール貼付剤１０ｃｍ</v>
      </c>
      <c r="D405" s="15" t="str">
        <f>薬品マスタリスト_20260130100542!B403</f>
        <v>ｿﾌﾗﾁｭｰﾙﾁｮｳﾌｻﾞｲ10cm</v>
      </c>
      <c r="E405" s="15">
        <f>薬品マスタリスト_20260130100542!C403</f>
        <v>19</v>
      </c>
      <c r="F405" s="206" t="str">
        <f>薬品マスタリスト_20260130100542!D403</f>
        <v>貼付剤</v>
      </c>
      <c r="G405" s="208" t="str">
        <f>match_results!C402</f>
        <v>ソフラチュール貼付剤</v>
      </c>
      <c r="H405" s="208">
        <f>match_results!D402</f>
        <v>32</v>
      </c>
      <c r="I405" s="218">
        <f>match_results!E402</f>
        <v>83.3333333333333</v>
      </c>
      <c r="J405" s="225"/>
      <c r="K405" s="15" t="str">
        <f ca="1">IF($J405="〇",OFFSET(集計!B$3,合体!$H405,0),"")</f>
        <v/>
      </c>
      <c r="L405" s="15" t="str">
        <f ca="1">IF($J405="〇",OFFSET(集計!C$3,合体!$H405,0),"")</f>
        <v/>
      </c>
      <c r="M405" s="202" t="str">
        <f ca="1">IF($J405="〇",OFFSET(集計!D$3,合体!$H405,0),"")</f>
        <v/>
      </c>
    </row>
    <row r="406" spans="2:13" x14ac:dyDescent="0.2">
      <c r="B406" s="201">
        <f t="shared" si="6"/>
        <v>402</v>
      </c>
      <c r="C406" s="15" t="str">
        <f>薬品マスタリスト_20260130100542!A404</f>
        <v>ゾフルーザ錠２０ｍｇ</v>
      </c>
      <c r="D406" s="15" t="str">
        <f>薬品マスタリスト_20260130100542!B404</f>
        <v>ｿﾞﾌﾙｰｻﾞｼﾞｮｳ20mg</v>
      </c>
      <c r="E406" s="15">
        <f>薬品マスタリスト_20260130100542!C404</f>
        <v>1</v>
      </c>
      <c r="F406" s="206" t="str">
        <f>薬品マスタリスト_20260130100542!D404</f>
        <v>錠剤</v>
      </c>
      <c r="G406" s="208" t="str">
        <f>match_results!C403</f>
        <v>ゾフルーザ錠２０ｍｇ</v>
      </c>
      <c r="H406" s="208">
        <f>match_results!D403</f>
        <v>667</v>
      </c>
      <c r="I406" s="218">
        <f>match_results!E403</f>
        <v>100</v>
      </c>
      <c r="J406" s="225" t="s">
        <v>3917</v>
      </c>
      <c r="K406" s="15">
        <f ca="1">IF($J406="〇",OFFSET(集計!B$3,合体!$H406,0),"")</f>
        <v>2171</v>
      </c>
      <c r="L406" s="15">
        <f ca="1">IF($J406="〇",OFFSET(集計!C$3,合体!$H406,0),"")</f>
        <v>160</v>
      </c>
      <c r="M406" s="202">
        <f ca="1">IF($J406="〇",OFFSET(集計!D$3,合体!$H406,0),"")</f>
        <v>347360</v>
      </c>
    </row>
    <row r="407" spans="2:13" x14ac:dyDescent="0.2">
      <c r="B407" s="201">
        <f t="shared" si="6"/>
        <v>403</v>
      </c>
      <c r="C407" s="15" t="str">
        <f>薬品マスタリスト_20260130100542!A405</f>
        <v>ソラナックス０．４ｍｇ錠</v>
      </c>
      <c r="D407" s="15" t="str">
        <f>薬品マスタリスト_20260130100542!B405</f>
        <v>ｿﾗﾅｯｸｽ0.4mgｼﾞｮｳ</v>
      </c>
      <c r="E407" s="15">
        <f>薬品マスタリスト_20260130100542!C405</f>
        <v>1</v>
      </c>
      <c r="F407" s="206" t="str">
        <f>薬品マスタリスト_20260130100542!D405</f>
        <v>錠剤</v>
      </c>
      <c r="G407" s="208" t="str">
        <f>match_results!C404</f>
        <v>ソラナックス０．４ｍｇ錠　</v>
      </c>
      <c r="H407" s="208">
        <f>match_results!D404</f>
        <v>465</v>
      </c>
      <c r="I407" s="218">
        <f>match_results!E404</f>
        <v>100</v>
      </c>
      <c r="J407" s="225" t="s">
        <v>3917</v>
      </c>
      <c r="K407" s="15">
        <f ca="1">IF($J407="〇",OFFSET(集計!B$3,合体!$H407,0),"")</f>
        <v>5.22</v>
      </c>
      <c r="L407" s="15">
        <f ca="1">IF($J407="〇",OFFSET(集計!C$3,合体!$H407,0),"")</f>
        <v>2066.3333333333335</v>
      </c>
      <c r="M407" s="202">
        <f ca="1">IF($J407="〇",OFFSET(集計!D$3,合体!$H407,0),"")</f>
        <v>10786.26</v>
      </c>
    </row>
    <row r="408" spans="2:13" x14ac:dyDescent="0.2">
      <c r="B408" s="201">
        <f t="shared" si="6"/>
        <v>404</v>
      </c>
      <c r="C408" s="15" t="str">
        <f>薬品マスタリスト_20260130100542!A406</f>
        <v>ソラナックス０．８ｍｇ錠</v>
      </c>
      <c r="D408" s="15" t="str">
        <f>薬品マスタリスト_20260130100542!B406</f>
        <v>ｿﾗﾅｯｸｽ0.8mgｼﾞｮｳ</v>
      </c>
      <c r="E408" s="15">
        <f>薬品マスタリスト_20260130100542!C406</f>
        <v>1</v>
      </c>
      <c r="F408" s="206" t="str">
        <f>薬品マスタリスト_20260130100542!D406</f>
        <v>錠剤</v>
      </c>
      <c r="G408" s="208" t="str">
        <f>match_results!C405</f>
        <v>ソラナックス０．８ｍｇ錠　</v>
      </c>
      <c r="H408" s="208">
        <f>match_results!D405</f>
        <v>498</v>
      </c>
      <c r="I408" s="218">
        <f>match_results!E405</f>
        <v>100</v>
      </c>
      <c r="J408" s="225" t="s">
        <v>3917</v>
      </c>
      <c r="K408" s="15">
        <f ca="1">IF($J408="〇",OFFSET(集計!B$3,合体!$H408,0),"")</f>
        <v>7.62</v>
      </c>
      <c r="L408" s="15">
        <f ca="1">IF($J408="〇",OFFSET(集計!C$3,合体!$H408,0),"")</f>
        <v>1792.8461538461538</v>
      </c>
      <c r="M408" s="202">
        <f ca="1">IF($J408="〇",OFFSET(集計!D$3,合体!$H408,0),"")</f>
        <v>13661.487692307692</v>
      </c>
    </row>
    <row r="409" spans="2:13" x14ac:dyDescent="0.2">
      <c r="B409" s="201">
        <f t="shared" si="6"/>
        <v>405</v>
      </c>
      <c r="C409" s="15" t="str">
        <f>薬品マスタリスト_20260130100542!A407</f>
        <v>ソリフェナシンコハク酸塩ＯＤ錠５ｍｇ「トーワ」</v>
      </c>
      <c r="D409" s="15" t="str">
        <f>薬品マスタリスト_20260130100542!B407</f>
        <v>ｿﾘﾌｴﾅｼﾝｺﾊｸｻﾝｴﾝODｼﾞﾖｳ5MGﾄ-ﾜ</v>
      </c>
      <c r="E409" s="15">
        <f>薬品マスタリスト_20260130100542!C407</f>
        <v>1</v>
      </c>
      <c r="F409" s="206" t="str">
        <f>薬品マスタリスト_20260130100542!D407</f>
        <v>錠剤</v>
      </c>
      <c r="G409" s="208" t="str">
        <f>match_results!C406</f>
        <v>ソリフェナシンコハク酸塩ＯＤ錠５ｍｇ</v>
      </c>
      <c r="H409" s="208">
        <f>match_results!D406</f>
        <v>426</v>
      </c>
      <c r="I409" s="218">
        <f>match_results!E406</f>
        <v>87.804878048780495</v>
      </c>
      <c r="J409" s="225"/>
      <c r="K409" s="15" t="str">
        <f ca="1">IF($J409="〇",OFFSET(集計!B$3,合体!$H409,0),"")</f>
        <v/>
      </c>
      <c r="L409" s="15" t="str">
        <f ca="1">IF($J409="〇",OFFSET(集計!C$3,合体!$H409,0),"")</f>
        <v/>
      </c>
      <c r="M409" s="202" t="str">
        <f ca="1">IF($J409="〇",OFFSET(集計!D$3,合体!$H409,0),"")</f>
        <v/>
      </c>
    </row>
    <row r="410" spans="2:13" x14ac:dyDescent="0.2">
      <c r="B410" s="201">
        <f t="shared" si="6"/>
        <v>406</v>
      </c>
      <c r="C410" s="15" t="str">
        <f>薬品マスタリスト_20260130100542!A408</f>
        <v>ソルダクトン静注用１００ｍｇ</v>
      </c>
      <c r="D410" s="15" t="str">
        <f>薬品マスタリスト_20260130100542!B408</f>
        <v>ｿﾙﾀﾞｸﾄﾝｼﾞﾖｳﾁﾕｳﾖｳ100MG</v>
      </c>
      <c r="E410" s="15">
        <f>薬品マスタリスト_20260130100542!C408</f>
        <v>25</v>
      </c>
      <c r="F410" s="206" t="str">
        <f>薬品マスタリスト_20260130100542!D408</f>
        <v>注射剤</v>
      </c>
      <c r="G410" s="208" t="str">
        <f>match_results!C407</f>
        <v>ソルダクトン注</v>
      </c>
      <c r="H410" s="208">
        <f>match_results!D407</f>
        <v>124</v>
      </c>
      <c r="I410" s="218">
        <f>match_results!E407</f>
        <v>66.6666666666666</v>
      </c>
      <c r="J410" s="225"/>
      <c r="K410" s="15" t="str">
        <f ca="1">IF($J410="〇",OFFSET(集計!B$3,合体!$H410,0),"")</f>
        <v/>
      </c>
      <c r="L410" s="15" t="str">
        <f ca="1">IF($J410="〇",OFFSET(集計!C$3,合体!$H410,0),"")</f>
        <v/>
      </c>
      <c r="M410" s="202" t="str">
        <f ca="1">IF($J410="〇",OFFSET(集計!D$3,合体!$H410,0),"")</f>
        <v/>
      </c>
    </row>
    <row r="411" spans="2:13" x14ac:dyDescent="0.2">
      <c r="B411" s="201">
        <f t="shared" si="6"/>
        <v>407</v>
      </c>
      <c r="C411" s="15" t="str">
        <f>薬品マスタリスト_20260130100542!A409</f>
        <v>ソルデム１輸液</v>
      </c>
      <c r="D411" s="15" t="str">
        <f>薬品マスタリスト_20260130100542!B409</f>
        <v>ｿﾙﾃﾞﾑ1ﾕｴｷ</v>
      </c>
      <c r="E411" s="15">
        <f>薬品マスタリスト_20260130100542!C409</f>
        <v>25</v>
      </c>
      <c r="F411" s="206" t="str">
        <f>薬品マスタリスト_20260130100542!D409</f>
        <v>注射剤</v>
      </c>
      <c r="G411" s="208" t="str">
        <f>match_results!C408</f>
        <v>ソルデム　１輸液２００</v>
      </c>
      <c r="H411" s="208">
        <f>match_results!D408</f>
        <v>226</v>
      </c>
      <c r="I411" s="218">
        <f>match_results!E408</f>
        <v>77.7777777777777</v>
      </c>
      <c r="J411" s="225"/>
      <c r="K411" s="15" t="str">
        <f ca="1">IF($J411="〇",OFFSET(集計!B$3,合体!$H411,0),"")</f>
        <v/>
      </c>
      <c r="L411" s="15" t="str">
        <f ca="1">IF($J411="〇",OFFSET(集計!C$3,合体!$H411,0),"")</f>
        <v/>
      </c>
      <c r="M411" s="202" t="str">
        <f ca="1">IF($J411="〇",OFFSET(集計!D$3,合体!$H411,0),"")</f>
        <v/>
      </c>
    </row>
    <row r="412" spans="2:13" x14ac:dyDescent="0.2">
      <c r="B412" s="201">
        <f t="shared" si="6"/>
        <v>408</v>
      </c>
      <c r="C412" s="15" t="str">
        <f>薬品マスタリスト_20260130100542!A410</f>
        <v>ソルデム１輸液</v>
      </c>
      <c r="D412" s="15" t="str">
        <f>薬品マスタリスト_20260130100542!B410</f>
        <v>ｿﾙﾃﾞﾑ1ﾕｴｷ</v>
      </c>
      <c r="E412" s="15">
        <f>薬品マスタリスト_20260130100542!C410</f>
        <v>25</v>
      </c>
      <c r="F412" s="206" t="str">
        <f>薬品マスタリスト_20260130100542!D410</f>
        <v>注射剤</v>
      </c>
      <c r="G412" s="208" t="str">
        <f>match_results!C409</f>
        <v>ソルデム　１輸液２００</v>
      </c>
      <c r="H412" s="208">
        <f>match_results!D409</f>
        <v>226</v>
      </c>
      <c r="I412" s="218">
        <f>match_results!E409</f>
        <v>77.7777777777777</v>
      </c>
      <c r="J412" s="225"/>
      <c r="K412" s="15" t="str">
        <f ca="1">IF($J412="〇",OFFSET(集計!B$3,合体!$H412,0),"")</f>
        <v/>
      </c>
      <c r="L412" s="15" t="str">
        <f ca="1">IF($J412="〇",OFFSET(集計!C$3,合体!$H412,0),"")</f>
        <v/>
      </c>
      <c r="M412" s="202" t="str">
        <f ca="1">IF($J412="〇",OFFSET(集計!D$3,合体!$H412,0),"")</f>
        <v/>
      </c>
    </row>
    <row r="413" spans="2:13" x14ac:dyDescent="0.2">
      <c r="B413" s="201">
        <f t="shared" si="6"/>
        <v>409</v>
      </c>
      <c r="C413" s="15" t="str">
        <f>薬品マスタリスト_20260130100542!A411</f>
        <v>ソル・メドロール静注用５００ｍｇ</v>
      </c>
      <c r="D413" s="15" t="str">
        <f>薬品マスタリスト_20260130100542!B411</f>
        <v>ｿﾙ･ﾒﾄﾞﾛｰﾙｼﾞｮｳﾁｭｳﾖｳ500mg</v>
      </c>
      <c r="E413" s="15">
        <f>薬品マスタリスト_20260130100542!C411</f>
        <v>25</v>
      </c>
      <c r="F413" s="206" t="str">
        <f>薬品マスタリスト_20260130100542!D411</f>
        <v>注射剤</v>
      </c>
      <c r="G413" s="208" t="str">
        <f>match_results!C410</f>
        <v>ベクルリー点滴静注用１００ｍｇ</v>
      </c>
      <c r="H413" s="208">
        <f>match_results!D410</f>
        <v>664</v>
      </c>
      <c r="I413" s="218">
        <f>match_results!E410</f>
        <v>58.064516129032199</v>
      </c>
      <c r="J413" s="225"/>
      <c r="K413" s="15" t="str">
        <f ca="1">IF($J413="〇",OFFSET(集計!B$3,合体!$H413,0),"")</f>
        <v/>
      </c>
      <c r="L413" s="15" t="str">
        <f ca="1">IF($J413="〇",OFFSET(集計!C$3,合体!$H413,0),"")</f>
        <v/>
      </c>
      <c r="M413" s="202" t="str">
        <f ca="1">IF($J413="〇",OFFSET(集計!D$3,合体!$H413,0),"")</f>
        <v/>
      </c>
    </row>
    <row r="414" spans="2:13" x14ac:dyDescent="0.2">
      <c r="B414" s="201">
        <f t="shared" si="6"/>
        <v>410</v>
      </c>
      <c r="C414" s="15" t="str">
        <f>薬品マスタリスト_20260130100542!A412</f>
        <v>ダイアップ坐剤４</v>
      </c>
      <c r="D414" s="15" t="str">
        <f>薬品マスタリスト_20260130100542!B412</f>
        <v>ﾀﾞｲｱｯﾌﾟｻﾞｻﾞｲ4</v>
      </c>
      <c r="E414" s="15">
        <f>薬品マスタリスト_20260130100542!C412</f>
        <v>12</v>
      </c>
      <c r="F414" s="206" t="str">
        <f>薬品マスタリスト_20260130100542!D412</f>
        <v>坐剤</v>
      </c>
      <c r="G414" s="208" t="str">
        <f>match_results!C411</f>
        <v>ダイアップ坐薬４</v>
      </c>
      <c r="H414" s="208">
        <f>match_results!D411</f>
        <v>147</v>
      </c>
      <c r="I414" s="218">
        <f>match_results!E411</f>
        <v>87.5</v>
      </c>
      <c r="J414" s="225"/>
      <c r="K414" s="15" t="str">
        <f ca="1">IF($J414="〇",OFFSET(集計!B$3,合体!$H414,0),"")</f>
        <v/>
      </c>
      <c r="L414" s="15" t="str">
        <f ca="1">IF($J414="〇",OFFSET(集計!C$3,合体!$H414,0),"")</f>
        <v/>
      </c>
      <c r="M414" s="202" t="str">
        <f ca="1">IF($J414="〇",OFFSET(集計!D$3,合体!$H414,0),"")</f>
        <v/>
      </c>
    </row>
    <row r="415" spans="2:13" x14ac:dyDescent="0.2">
      <c r="B415" s="201">
        <f t="shared" si="6"/>
        <v>411</v>
      </c>
      <c r="C415" s="15" t="str">
        <f>薬品マスタリスト_20260130100542!A413</f>
        <v>ダイアモックス錠２５０ｍｇ</v>
      </c>
      <c r="D415" s="15" t="str">
        <f>薬品マスタリスト_20260130100542!B413</f>
        <v>ﾀﾞｲｱﾓｯｸｽｼﾞｮｳ250mg</v>
      </c>
      <c r="E415" s="15">
        <f>薬品マスタリスト_20260130100542!C413</f>
        <v>1</v>
      </c>
      <c r="F415" s="206" t="str">
        <f>薬品マスタリスト_20260130100542!D413</f>
        <v>錠剤</v>
      </c>
      <c r="G415" s="208" t="str">
        <f>match_results!C412</f>
        <v>ダーブロック錠２ｍｇ</v>
      </c>
      <c r="H415" s="208">
        <f>match_results!D412</f>
        <v>438</v>
      </c>
      <c r="I415" s="218">
        <f>match_results!E412</f>
        <v>60.869565217391298</v>
      </c>
      <c r="J415" s="225"/>
      <c r="K415" s="15" t="str">
        <f ca="1">IF($J415="〇",OFFSET(集計!B$3,合体!$H415,0),"")</f>
        <v/>
      </c>
      <c r="L415" s="15" t="str">
        <f ca="1">IF($J415="〇",OFFSET(集計!C$3,合体!$H415,0),"")</f>
        <v/>
      </c>
      <c r="M415" s="202" t="str">
        <f ca="1">IF($J415="〇",OFFSET(集計!D$3,合体!$H415,0),"")</f>
        <v/>
      </c>
    </row>
    <row r="416" spans="2:13" x14ac:dyDescent="0.2">
      <c r="B416" s="201">
        <f t="shared" si="6"/>
        <v>412</v>
      </c>
      <c r="C416" s="15" t="str">
        <f>薬品マスタリスト_20260130100542!A414</f>
        <v>ダイビタミックス注</v>
      </c>
      <c r="D416" s="15" t="str">
        <f>薬品マスタリスト_20260130100542!B414</f>
        <v>ﾀﾞｲﾋﾞﾀﾐﾂｸｽﾁﾕｳ</v>
      </c>
      <c r="E416" s="15">
        <f>薬品マスタリスト_20260130100542!C414</f>
        <v>25</v>
      </c>
      <c r="F416" s="206" t="str">
        <f>薬品マスタリスト_20260130100542!D414</f>
        <v>注射剤</v>
      </c>
      <c r="G416" s="208" t="str">
        <f>match_results!C413</f>
        <v>ダイビタミックス注</v>
      </c>
      <c r="H416" s="208">
        <f>match_results!D413</f>
        <v>84</v>
      </c>
      <c r="I416" s="218">
        <f>match_results!E413</f>
        <v>100</v>
      </c>
      <c r="J416" s="225" t="s">
        <v>3917</v>
      </c>
      <c r="K416" s="15">
        <f ca="1">IF($J416="〇",OFFSET(集計!B$3,合体!$H416,0),"")</f>
        <v>50.78</v>
      </c>
      <c r="L416" s="15">
        <f ca="1">IF($J416="〇",OFFSET(集計!C$3,合体!$H416,0),"")</f>
        <v>22</v>
      </c>
      <c r="M416" s="202">
        <f ca="1">IF($J416="〇",OFFSET(集計!D$3,合体!$H416,0),"")</f>
        <v>1117.1600000000001</v>
      </c>
    </row>
    <row r="417" spans="2:13" x14ac:dyDescent="0.2">
      <c r="B417" s="201">
        <f t="shared" si="6"/>
        <v>413</v>
      </c>
      <c r="C417" s="15" t="str">
        <f>薬品マスタリスト_20260130100542!A415</f>
        <v>ダイフェン配合錠</v>
      </c>
      <c r="D417" s="15" t="str">
        <f>薬品マスタリスト_20260130100542!B415</f>
        <v>ﾀﾞｲﾌｪﾝﾊｲｺﾞｳｼﾞｮｳ</v>
      </c>
      <c r="E417" s="15">
        <f>薬品マスタリスト_20260130100542!C415</f>
        <v>1</v>
      </c>
      <c r="F417" s="206" t="str">
        <f>薬品マスタリスト_20260130100542!D415</f>
        <v>錠剤</v>
      </c>
      <c r="G417" s="208" t="str">
        <f>match_results!C414</f>
        <v>ダイフェン配合錠</v>
      </c>
      <c r="H417" s="208">
        <f>match_results!D414</f>
        <v>98</v>
      </c>
      <c r="I417" s="218">
        <f>match_results!E414</f>
        <v>100</v>
      </c>
      <c r="J417" s="225" t="s">
        <v>3917</v>
      </c>
      <c r="K417" s="15">
        <f ca="1">IF($J417="〇",OFFSET(集計!B$3,合体!$H417,0),"")</f>
        <v>14.61</v>
      </c>
      <c r="L417" s="15">
        <f ca="1">IF($J417="〇",OFFSET(集計!C$3,合体!$H417,0),"")</f>
        <v>98.5</v>
      </c>
      <c r="M417" s="202">
        <f ca="1">IF($J417="〇",OFFSET(集計!D$3,合体!$H417,0),"")</f>
        <v>1439.085</v>
      </c>
    </row>
    <row r="418" spans="2:13" x14ac:dyDescent="0.2">
      <c r="B418" s="201">
        <f t="shared" si="6"/>
        <v>414</v>
      </c>
      <c r="C418" s="15" t="str">
        <f>薬品マスタリスト_20260130100542!A416</f>
        <v>タクロリムスカプセル１ｍｇ「ニプロ」</v>
      </c>
      <c r="D418" s="15" t="str">
        <f>薬品マスタリスト_20260130100542!B416</f>
        <v>ﾀｸﾛﾘﾑｽｶﾌﾟｾﾙ1MGﾆﾌﾟﾛ</v>
      </c>
      <c r="E418" s="15">
        <f>薬品マスタリスト_20260130100542!C416</f>
        <v>2</v>
      </c>
      <c r="F418" s="206" t="str">
        <f>薬品マスタリスト_20260130100542!D416</f>
        <v>カプセル</v>
      </c>
      <c r="G418" s="208" t="str">
        <f>match_results!C415</f>
        <v>タクロリムスカプセル（１）</v>
      </c>
      <c r="H418" s="208">
        <f>match_results!D415</f>
        <v>523</v>
      </c>
      <c r="I418" s="218">
        <f>match_results!E415</f>
        <v>70.967741935483801</v>
      </c>
      <c r="J418" s="225"/>
      <c r="K418" s="15" t="str">
        <f ca="1">IF($J418="〇",OFFSET(集計!B$3,合体!$H418,0),"")</f>
        <v/>
      </c>
      <c r="L418" s="15" t="str">
        <f ca="1">IF($J418="〇",OFFSET(集計!C$3,合体!$H418,0),"")</f>
        <v/>
      </c>
      <c r="M418" s="202" t="str">
        <f ca="1">IF($J418="〇",OFFSET(集計!D$3,合体!$H418,0),"")</f>
        <v/>
      </c>
    </row>
    <row r="419" spans="2:13" x14ac:dyDescent="0.2">
      <c r="B419" s="201">
        <f t="shared" si="6"/>
        <v>415</v>
      </c>
      <c r="C419" s="15" t="str">
        <f>薬品マスタリスト_20260130100542!A417</f>
        <v>タケキャブ錠１０ｍｇ</v>
      </c>
      <c r="D419" s="15" t="str">
        <f>薬品マスタリスト_20260130100542!B417</f>
        <v>ﾀｹｷｬﾌﾞｼﾞｮｳ10mg</v>
      </c>
      <c r="E419" s="15">
        <f>薬品マスタリスト_20260130100542!C417</f>
        <v>1</v>
      </c>
      <c r="F419" s="206" t="str">
        <f>薬品マスタリスト_20260130100542!D417</f>
        <v>錠剤</v>
      </c>
      <c r="G419" s="208" t="str">
        <f>match_results!C416</f>
        <v>タケキャブＯＤ錠１０ｍｇ</v>
      </c>
      <c r="H419" s="208">
        <f>match_results!D416</f>
        <v>592</v>
      </c>
      <c r="I419" s="218">
        <f>match_results!E416</f>
        <v>90.909090909090907</v>
      </c>
      <c r="J419" s="225"/>
      <c r="K419" s="15" t="str">
        <f ca="1">IF($J419="〇",OFFSET(集計!B$3,合体!$H419,0),"")</f>
        <v/>
      </c>
      <c r="L419" s="15" t="str">
        <f ca="1">IF($J419="〇",OFFSET(集計!C$3,合体!$H419,0),"")</f>
        <v/>
      </c>
      <c r="M419" s="202" t="str">
        <f ca="1">IF($J419="〇",OFFSET(集計!D$3,合体!$H419,0),"")</f>
        <v/>
      </c>
    </row>
    <row r="420" spans="2:13" x14ac:dyDescent="0.2">
      <c r="B420" s="201">
        <f t="shared" si="6"/>
        <v>416</v>
      </c>
      <c r="C420" s="15" t="str">
        <f>薬品マスタリスト_20260130100542!A418</f>
        <v>タケキャブ錠２０ｍｇ</v>
      </c>
      <c r="D420" s="15" t="str">
        <f>薬品マスタリスト_20260130100542!B418</f>
        <v>ﾀｹｷｬﾌﾞｼﾞｮｳ20mg</v>
      </c>
      <c r="E420" s="15">
        <f>薬品マスタリスト_20260130100542!C418</f>
        <v>1</v>
      </c>
      <c r="F420" s="206" t="str">
        <f>薬品マスタリスト_20260130100542!D418</f>
        <v>錠剤</v>
      </c>
      <c r="G420" s="208" t="str">
        <f>match_results!C417</f>
        <v>タケキャブ錠ＯＤ２０ｍｇ</v>
      </c>
      <c r="H420" s="208">
        <f>match_results!D417</f>
        <v>619</v>
      </c>
      <c r="I420" s="218">
        <f>match_results!E417</f>
        <v>90.909090909090907</v>
      </c>
      <c r="J420" s="225"/>
      <c r="K420" s="15" t="str">
        <f ca="1">IF($J420="〇",OFFSET(集計!B$3,合体!$H420,0),"")</f>
        <v/>
      </c>
      <c r="L420" s="15" t="str">
        <f ca="1">IF($J420="〇",OFFSET(集計!C$3,合体!$H420,0),"")</f>
        <v/>
      </c>
      <c r="M420" s="202" t="str">
        <f ca="1">IF($J420="〇",OFFSET(集計!D$3,合体!$H420,0),"")</f>
        <v/>
      </c>
    </row>
    <row r="421" spans="2:13" x14ac:dyDescent="0.2">
      <c r="B421" s="201">
        <f t="shared" si="6"/>
        <v>417</v>
      </c>
      <c r="C421" s="15" t="str">
        <f>薬品マスタリスト_20260130100542!A419</f>
        <v>タケキャブＯＤ錠１０ｍｇ</v>
      </c>
      <c r="D421" s="15" t="str">
        <f>薬品マスタリスト_20260130100542!B419</f>
        <v>ﾀｹｷﾔﾌﾞODｼﾞﾖｳ10MG</v>
      </c>
      <c r="E421" s="15">
        <f>薬品マスタリスト_20260130100542!C419</f>
        <v>1</v>
      </c>
      <c r="F421" s="206" t="str">
        <f>薬品マスタリスト_20260130100542!D419</f>
        <v>錠剤</v>
      </c>
      <c r="G421" s="208" t="str">
        <f>match_results!C418</f>
        <v>タケキャブＯＤ錠１０ｍｇ</v>
      </c>
      <c r="H421" s="208">
        <f>match_results!D418</f>
        <v>592</v>
      </c>
      <c r="I421" s="218">
        <f>match_results!E418</f>
        <v>100</v>
      </c>
      <c r="J421" s="225" t="s">
        <v>3917</v>
      </c>
      <c r="K421" s="15">
        <f ca="1">IF($J421="〇",OFFSET(集計!B$3,合体!$H421,0),"")</f>
        <v>85.3</v>
      </c>
      <c r="L421" s="15">
        <f ca="1">IF($J421="〇",OFFSET(集計!C$3,合体!$H421,0),"")</f>
        <v>372</v>
      </c>
      <c r="M421" s="202">
        <f ca="1">IF($J421="〇",OFFSET(集計!D$3,合体!$H421,0),"")</f>
        <v>31731.599999999999</v>
      </c>
    </row>
    <row r="422" spans="2:13" x14ac:dyDescent="0.2">
      <c r="B422" s="201">
        <f t="shared" si="6"/>
        <v>418</v>
      </c>
      <c r="C422" s="15" t="str">
        <f>薬品マスタリスト_20260130100542!A420</f>
        <v>タケキャブＯＤ錠２０ｍｇ</v>
      </c>
      <c r="D422" s="15" t="str">
        <f>薬品マスタリスト_20260130100542!B420</f>
        <v>ﾀｹｷﾔﾌﾞODｼﾞﾖｳ20MG</v>
      </c>
      <c r="E422" s="15">
        <f>薬品マスタリスト_20260130100542!C420</f>
        <v>1</v>
      </c>
      <c r="F422" s="206" t="str">
        <f>薬品マスタリスト_20260130100542!D420</f>
        <v>錠剤</v>
      </c>
      <c r="G422" s="208" t="str">
        <f>match_results!C419</f>
        <v>タケキャブＯＤ錠１０ｍｇ</v>
      </c>
      <c r="H422" s="208">
        <f>match_results!D419</f>
        <v>592</v>
      </c>
      <c r="I422" s="218">
        <f>match_results!E419</f>
        <v>91.6666666666666</v>
      </c>
      <c r="J422" s="225"/>
      <c r="K422" s="15" t="str">
        <f ca="1">IF($J422="〇",OFFSET(集計!B$3,合体!$H422,0),"")</f>
        <v/>
      </c>
      <c r="L422" s="15" t="str">
        <f ca="1">IF($J422="〇",OFFSET(集計!C$3,合体!$H422,0),"")</f>
        <v/>
      </c>
      <c r="M422" s="202" t="str">
        <f ca="1">IF($J422="〇",OFFSET(集計!D$3,合体!$H422,0),"")</f>
        <v/>
      </c>
    </row>
    <row r="423" spans="2:13" x14ac:dyDescent="0.2">
      <c r="B423" s="201">
        <f t="shared" si="6"/>
        <v>419</v>
      </c>
      <c r="C423" s="15" t="str">
        <f>薬品マスタリスト_20260130100542!A421</f>
        <v>タケプロン静注用３０ｍｇ</v>
      </c>
      <c r="D423" s="15" t="str">
        <f>薬品マスタリスト_20260130100542!B421</f>
        <v>ﾀｹﾌﾟﾛﾝｼﾞｮｳﾁｭｳﾖｳ30mg</v>
      </c>
      <c r="E423" s="15">
        <f>薬品マスタリスト_20260130100542!C421</f>
        <v>25</v>
      </c>
      <c r="F423" s="206" t="str">
        <f>薬品マスタリスト_20260130100542!D421</f>
        <v>注射剤</v>
      </c>
      <c r="G423" s="208" t="str">
        <f>match_results!C420</f>
        <v>タケプロン注</v>
      </c>
      <c r="H423" s="208">
        <f>match_results!D420</f>
        <v>412</v>
      </c>
      <c r="I423" s="218">
        <f>match_results!E420</f>
        <v>66.6666666666666</v>
      </c>
      <c r="J423" s="225"/>
      <c r="K423" s="15" t="str">
        <f ca="1">IF($J423="〇",OFFSET(集計!B$3,合体!$H423,0),"")</f>
        <v/>
      </c>
      <c r="L423" s="15" t="str">
        <f ca="1">IF($J423="〇",OFFSET(集計!C$3,合体!$H423,0),"")</f>
        <v/>
      </c>
      <c r="M423" s="202" t="str">
        <f ca="1">IF($J423="〇",OFFSET(集計!D$3,合体!$H423,0),"")</f>
        <v/>
      </c>
    </row>
    <row r="424" spans="2:13" x14ac:dyDescent="0.2">
      <c r="B424" s="201">
        <f t="shared" si="6"/>
        <v>420</v>
      </c>
      <c r="C424" s="15" t="str">
        <f>薬品マスタリスト_20260130100542!A422</f>
        <v>タチオン錠５０ｍｇ</v>
      </c>
      <c r="D424" s="15" t="str">
        <f>薬品マスタリスト_20260130100542!B422</f>
        <v>ﾀﾁｵﾝｼﾞｮｳ50mg</v>
      </c>
      <c r="E424" s="15">
        <f>薬品マスタリスト_20260130100542!C422</f>
        <v>1</v>
      </c>
      <c r="F424" s="206" t="str">
        <f>薬品マスタリスト_20260130100542!D422</f>
        <v>錠剤</v>
      </c>
      <c r="G424" s="208" t="str">
        <f>match_results!C421</f>
        <v>タチオン（５０）</v>
      </c>
      <c r="H424" s="208">
        <f>match_results!D421</f>
        <v>42</v>
      </c>
      <c r="I424" s="218">
        <f>match_results!E421</f>
        <v>70.588235294117595</v>
      </c>
      <c r="J424" s="225"/>
      <c r="K424" s="15" t="str">
        <f ca="1">IF($J424="〇",OFFSET(集計!B$3,合体!$H424,0),"")</f>
        <v/>
      </c>
      <c r="L424" s="15" t="str">
        <f ca="1">IF($J424="〇",OFFSET(集計!C$3,合体!$H424,0),"")</f>
        <v/>
      </c>
      <c r="M424" s="202" t="str">
        <f ca="1">IF($J424="〇",OFFSET(集計!D$3,合体!$H424,0),"")</f>
        <v/>
      </c>
    </row>
    <row r="425" spans="2:13" x14ac:dyDescent="0.2">
      <c r="B425" s="201">
        <f t="shared" si="6"/>
        <v>421</v>
      </c>
      <c r="C425" s="15" t="str">
        <f>薬品マスタリスト_20260130100542!A423</f>
        <v>ダプトマイシン静注用３５０ｍｇ「サワイ」</v>
      </c>
      <c r="D425" s="15" t="str">
        <f>薬品マスタリスト_20260130100542!B423</f>
        <v>ﾀﾞﾌﾟﾄﾏｲｼﾝｼﾞﾖｳﾁﾕｳﾖｳ350MGｻﾜｲ</v>
      </c>
      <c r="E425" s="15">
        <f>薬品マスタリスト_20260130100542!C423</f>
        <v>25</v>
      </c>
      <c r="F425" s="206" t="str">
        <f>薬品マスタリスト_20260130100542!D423</f>
        <v>注射剤</v>
      </c>
      <c r="G425" s="208" t="str">
        <f>match_results!C422</f>
        <v>イルベサルタン錠５０ｍｇ「サワイ」</v>
      </c>
      <c r="H425" s="208">
        <f>match_results!D422</f>
        <v>654</v>
      </c>
      <c r="I425" s="218">
        <f>match_results!E422</f>
        <v>59.459459459459403</v>
      </c>
      <c r="J425" s="225"/>
      <c r="K425" s="15" t="str">
        <f ca="1">IF($J425="〇",OFFSET(集計!B$3,合体!$H425,0),"")</f>
        <v/>
      </c>
      <c r="L425" s="15" t="str">
        <f ca="1">IF($J425="〇",OFFSET(集計!C$3,合体!$H425,0),"")</f>
        <v/>
      </c>
      <c r="M425" s="202" t="str">
        <f ca="1">IF($J425="〇",OFFSET(集計!D$3,合体!$H425,0),"")</f>
        <v/>
      </c>
    </row>
    <row r="426" spans="2:13" x14ac:dyDescent="0.2">
      <c r="B426" s="201">
        <f t="shared" si="6"/>
        <v>422</v>
      </c>
      <c r="C426" s="15" t="str">
        <f>薬品マスタリスト_20260130100542!A424</f>
        <v>タフマックＥ配合カプセル</v>
      </c>
      <c r="D426" s="15" t="str">
        <f>薬品マスタリスト_20260130100542!B424</f>
        <v>ﾀﾌﾏｯｸEﾊｲｺﾞｳｶﾌﾟｾﾙ</v>
      </c>
      <c r="E426" s="15">
        <f>薬品マスタリスト_20260130100542!C424</f>
        <v>2</v>
      </c>
      <c r="F426" s="206" t="str">
        <f>薬品マスタリスト_20260130100542!D424</f>
        <v>カプセル</v>
      </c>
      <c r="G426" s="208" t="str">
        <f>match_results!C423</f>
        <v>ケフレックスカプセル２５０ｍｇ</v>
      </c>
      <c r="H426" s="208">
        <f>match_results!D423</f>
        <v>417</v>
      </c>
      <c r="I426" s="218">
        <f>match_results!E423</f>
        <v>51.851851851851798</v>
      </c>
      <c r="J426" s="225"/>
      <c r="K426" s="15" t="str">
        <f ca="1">IF($J426="〇",OFFSET(集計!B$3,合体!$H426,0),"")</f>
        <v/>
      </c>
      <c r="L426" s="15" t="str">
        <f ca="1">IF($J426="〇",OFFSET(集計!C$3,合体!$H426,0),"")</f>
        <v/>
      </c>
      <c r="M426" s="202" t="str">
        <f ca="1">IF($J426="〇",OFFSET(集計!D$3,合体!$H426,0),"")</f>
        <v/>
      </c>
    </row>
    <row r="427" spans="2:13" x14ac:dyDescent="0.2">
      <c r="B427" s="201">
        <f t="shared" si="6"/>
        <v>423</v>
      </c>
      <c r="C427" s="15" t="str">
        <f>薬品マスタリスト_20260130100542!A425</f>
        <v>タフマックＥ配合顆粒</v>
      </c>
      <c r="D427" s="15" t="str">
        <f>薬品マスタリスト_20260130100542!B425</f>
        <v>ﾀﾌﾏﾂｸEﾊｲｺﾞｳｶﾘﾕｳ</v>
      </c>
      <c r="E427" s="15">
        <f>薬品マスタリスト_20260130100542!C425</f>
        <v>5</v>
      </c>
      <c r="F427" s="206" t="str">
        <f>薬品マスタリスト_20260130100542!D425</f>
        <v>顆粒</v>
      </c>
      <c r="G427" s="208" t="str">
        <f>match_results!C424</f>
        <v>マーズレンＳ配合顆粒</v>
      </c>
      <c r="H427" s="208">
        <f>match_results!D424</f>
        <v>482</v>
      </c>
      <c r="I427" s="218">
        <f>match_results!E424</f>
        <v>50</v>
      </c>
      <c r="J427" s="225"/>
      <c r="K427" s="15" t="str">
        <f ca="1">IF($J427="〇",OFFSET(集計!B$3,合体!$H427,0),"")</f>
        <v/>
      </c>
      <c r="L427" s="15" t="str">
        <f ca="1">IF($J427="〇",OFFSET(集計!C$3,合体!$H427,0),"")</f>
        <v/>
      </c>
      <c r="M427" s="202" t="str">
        <f ca="1">IF($J427="〇",OFFSET(集計!D$3,合体!$H427,0),"")</f>
        <v/>
      </c>
    </row>
    <row r="428" spans="2:13" x14ac:dyDescent="0.2">
      <c r="B428" s="201">
        <f t="shared" si="6"/>
        <v>424</v>
      </c>
      <c r="C428" s="15" t="str">
        <f>薬品マスタリスト_20260130100542!A426</f>
        <v>タプロス点眼液０．００１５％</v>
      </c>
      <c r="D428" s="15" t="str">
        <f>薬品マスタリスト_20260130100542!B426</f>
        <v>ﾀﾌﾟﾛｽﾃﾝｶﾞﾝｴｷ0.0015%</v>
      </c>
      <c r="E428" s="15">
        <f>薬品マスタリスト_20260130100542!C426</f>
        <v>21</v>
      </c>
      <c r="F428" s="206" t="str">
        <f>薬品マスタリスト_20260130100542!D426</f>
        <v>点眼剤</v>
      </c>
      <c r="G428" s="208" t="str">
        <f>match_results!C425</f>
        <v>ラタノプロスト点眼液０．００５％「ニットー」２．５ｍｌ／本</v>
      </c>
      <c r="H428" s="208">
        <f>match_results!D425</f>
        <v>214</v>
      </c>
      <c r="I428" s="218">
        <f>match_results!E425</f>
        <v>60.465116279069697</v>
      </c>
      <c r="J428" s="225"/>
      <c r="K428" s="15" t="str">
        <f ca="1">IF($J428="〇",OFFSET(集計!B$3,合体!$H428,0),"")</f>
        <v/>
      </c>
      <c r="L428" s="15" t="str">
        <f ca="1">IF($J428="〇",OFFSET(集計!C$3,合体!$H428,0),"")</f>
        <v/>
      </c>
      <c r="M428" s="202" t="str">
        <f ca="1">IF($J428="〇",OFFSET(集計!D$3,合体!$H428,0),"")</f>
        <v/>
      </c>
    </row>
    <row r="429" spans="2:13" x14ac:dyDescent="0.2">
      <c r="B429" s="201">
        <f t="shared" si="6"/>
        <v>425</v>
      </c>
      <c r="C429" s="15" t="str">
        <f>薬品マスタリスト_20260130100542!A427</f>
        <v>ダーブロック錠２ｍｇ</v>
      </c>
      <c r="D429" s="15" t="str">
        <f>薬品マスタリスト_20260130100542!B427</f>
        <v>ﾀﾞ-ﾌﾞﾛﾂｸｼﾞﾖｳ2MG</v>
      </c>
      <c r="E429" s="15">
        <f>薬品マスタリスト_20260130100542!C427</f>
        <v>1</v>
      </c>
      <c r="F429" s="206" t="str">
        <f>薬品マスタリスト_20260130100542!D427</f>
        <v>錠剤</v>
      </c>
      <c r="G429" s="208" t="str">
        <f>match_results!C426</f>
        <v>ダーブロック錠２ｍｇ</v>
      </c>
      <c r="H429" s="208">
        <f>match_results!D426</f>
        <v>438</v>
      </c>
      <c r="I429" s="218">
        <f>match_results!E426</f>
        <v>100</v>
      </c>
      <c r="J429" s="225" t="s">
        <v>3917</v>
      </c>
      <c r="K429" s="15">
        <f ca="1">IF($J429="〇",OFFSET(集計!B$3,合体!$H429,0),"")</f>
        <v>143.55000000000001</v>
      </c>
      <c r="L429" s="15">
        <f ca="1">IF($J429="〇",OFFSET(集計!C$3,合体!$H429,0),"")</f>
        <v>66</v>
      </c>
      <c r="M429" s="202">
        <f ca="1">IF($J429="〇",OFFSET(集計!D$3,合体!$H429,0),"")</f>
        <v>9474.3000000000011</v>
      </c>
    </row>
    <row r="430" spans="2:13" x14ac:dyDescent="0.2">
      <c r="B430" s="201">
        <f t="shared" si="6"/>
        <v>426</v>
      </c>
      <c r="C430" s="15" t="str">
        <f>薬品マスタリスト_20260130100542!A428</f>
        <v>ダミー薬品(散薬)</v>
      </c>
      <c r="D430" s="15" t="str">
        <f>薬品マスタリスト_20260130100542!B428</f>
        <v>ﾀﾞﾐｰﾔｸ品(ｻﾝﾔｸ)</v>
      </c>
      <c r="E430" s="15">
        <f>薬品マスタリスト_20260130100542!C428</f>
        <v>24</v>
      </c>
      <c r="F430" s="206" t="str">
        <f>薬品マスタリスト_20260130100542!D428</f>
        <v>その他</v>
      </c>
      <c r="G430" s="208" t="str">
        <f>match_results!C427</f>
        <v>ダイアップ坐薬４</v>
      </c>
      <c r="H430" s="208">
        <f>match_results!D427</f>
        <v>147</v>
      </c>
      <c r="I430" s="218">
        <f>match_results!E427</f>
        <v>23.529411764705799</v>
      </c>
      <c r="J430" s="225"/>
      <c r="K430" s="15" t="str">
        <f ca="1">IF($J430="〇",OFFSET(集計!B$3,合体!$H430,0),"")</f>
        <v/>
      </c>
      <c r="L430" s="15" t="str">
        <f ca="1">IF($J430="〇",OFFSET(集計!C$3,合体!$H430,0),"")</f>
        <v/>
      </c>
      <c r="M430" s="202" t="str">
        <f ca="1">IF($J430="〇",OFFSET(集計!D$3,合体!$H430,0),"")</f>
        <v/>
      </c>
    </row>
    <row r="431" spans="2:13" x14ac:dyDescent="0.2">
      <c r="B431" s="201">
        <f t="shared" si="6"/>
        <v>427</v>
      </c>
      <c r="C431" s="15" t="str">
        <f>薬品マスタリスト_20260130100542!A429</f>
        <v>ダミー薬品(錠剤)</v>
      </c>
      <c r="D431" s="15" t="str">
        <f>薬品マスタリスト_20260130100542!B429</f>
        <v>ﾀﾞﾐｰﾔｸ品(ｼﾞｮｳｻﾞｲ)</v>
      </c>
      <c r="E431" s="15">
        <f>薬品マスタリスト_20260130100542!C429</f>
        <v>24</v>
      </c>
      <c r="F431" s="206" t="str">
        <f>薬品マスタリスト_20260130100542!D429</f>
        <v>その他</v>
      </c>
      <c r="G431" s="208" t="str">
        <f>match_results!C428</f>
        <v>リスミー錠２ｍｇ</v>
      </c>
      <c r="H431" s="208">
        <f>match_results!D428</f>
        <v>559</v>
      </c>
      <c r="I431" s="218">
        <f>match_results!E428</f>
        <v>35.294117647058798</v>
      </c>
      <c r="J431" s="225"/>
      <c r="K431" s="15" t="str">
        <f ca="1">IF($J431="〇",OFFSET(集計!B$3,合体!$H431,0),"")</f>
        <v/>
      </c>
      <c r="L431" s="15" t="str">
        <f ca="1">IF($J431="〇",OFFSET(集計!C$3,合体!$H431,0),"")</f>
        <v/>
      </c>
      <c r="M431" s="202" t="str">
        <f ca="1">IF($J431="〇",OFFSET(集計!D$3,合体!$H431,0),"")</f>
        <v/>
      </c>
    </row>
    <row r="432" spans="2:13" x14ac:dyDescent="0.2">
      <c r="B432" s="201">
        <f t="shared" si="6"/>
        <v>428</v>
      </c>
      <c r="C432" s="15" t="str">
        <f>薬品マスタリスト_20260130100542!A430</f>
        <v>タムスロシン塩酸塩ＯＤ錠０．２ｍｇ「サワイ」</v>
      </c>
      <c r="D432" s="15" t="str">
        <f>薬品マスタリスト_20260130100542!B430</f>
        <v>ﾀﾑｽﾛｼﾝｴﾝｻﾝｴﾝODｼﾞｮｳ0.2mg｢ｻﾜｲ｣</v>
      </c>
      <c r="E432" s="15">
        <f>薬品マスタリスト_20260130100542!C430</f>
        <v>1</v>
      </c>
      <c r="F432" s="206" t="str">
        <f>薬品マスタリスト_20260130100542!D430</f>
        <v>錠剤</v>
      </c>
      <c r="G432" s="208" t="str">
        <f>match_results!C429</f>
        <v>タムスロシン塩酸塩ＯＤ錠０．２ｍｇ</v>
      </c>
      <c r="H432" s="208">
        <f>match_results!D429</f>
        <v>463</v>
      </c>
      <c r="I432" s="218">
        <f>match_results!E429</f>
        <v>87.179487179487097</v>
      </c>
      <c r="J432" s="225"/>
      <c r="K432" s="15" t="str">
        <f ca="1">IF($J432="〇",OFFSET(集計!B$3,合体!$H432,0),"")</f>
        <v/>
      </c>
      <c r="L432" s="15" t="str">
        <f ca="1">IF($J432="〇",OFFSET(集計!C$3,合体!$H432,0),"")</f>
        <v/>
      </c>
      <c r="M432" s="202" t="str">
        <f ca="1">IF($J432="〇",OFFSET(集計!D$3,合体!$H432,0),"")</f>
        <v/>
      </c>
    </row>
    <row r="433" spans="2:13" x14ac:dyDescent="0.2">
      <c r="B433" s="201">
        <f t="shared" si="6"/>
        <v>429</v>
      </c>
      <c r="C433" s="15" t="str">
        <f>薬品マスタリスト_20260130100542!A431</f>
        <v>タモキシフェン錠２０ｍｇ「サワイ」</v>
      </c>
      <c r="D433" s="15" t="str">
        <f>薬品マスタリスト_20260130100542!B431</f>
        <v>ﾀﾓｷｼﾌｪﾝｼﾞｮｳ20mg｢ｻﾜｲ｣</v>
      </c>
      <c r="E433" s="15">
        <f>薬品マスタリスト_20260130100542!C431</f>
        <v>1</v>
      </c>
      <c r="F433" s="206" t="str">
        <f>薬品マスタリスト_20260130100542!D431</f>
        <v>錠剤</v>
      </c>
      <c r="G433" s="208" t="str">
        <f>match_results!C430</f>
        <v>イルベサルタン錠５０ｍｇ「サワイ」</v>
      </c>
      <c r="H433" s="208">
        <f>match_results!D430</f>
        <v>654</v>
      </c>
      <c r="I433" s="218">
        <f>match_results!E430</f>
        <v>64.705882352941103</v>
      </c>
      <c r="J433" s="225"/>
      <c r="K433" s="15" t="str">
        <f ca="1">IF($J433="〇",OFFSET(集計!B$3,合体!$H433,0),"")</f>
        <v/>
      </c>
      <c r="L433" s="15" t="str">
        <f ca="1">IF($J433="〇",OFFSET(集計!C$3,合体!$H433,0),"")</f>
        <v/>
      </c>
      <c r="M433" s="202" t="str">
        <f ca="1">IF($J433="〇",OFFSET(集計!D$3,合体!$H433,0),"")</f>
        <v/>
      </c>
    </row>
    <row r="434" spans="2:13" x14ac:dyDescent="0.2">
      <c r="B434" s="201">
        <f t="shared" si="6"/>
        <v>430</v>
      </c>
      <c r="C434" s="15" t="str">
        <f>薬品マスタリスト_20260130100542!A432</f>
        <v>ダラシンカプセル１５０ｍｇ</v>
      </c>
      <c r="D434" s="15" t="str">
        <f>薬品マスタリスト_20260130100542!B432</f>
        <v>ﾀﾞﾗｼﾝｶﾌﾟｾﾙ150MG</v>
      </c>
      <c r="E434" s="15">
        <f>薬品マスタリスト_20260130100542!C432</f>
        <v>2</v>
      </c>
      <c r="F434" s="206" t="str">
        <f>薬品マスタリスト_20260130100542!D432</f>
        <v>カプセル</v>
      </c>
      <c r="G434" s="208" t="str">
        <f>match_results!C431</f>
        <v>エブランチルカプセル１５ｍｇ</v>
      </c>
      <c r="H434" s="208">
        <f>match_results!D431</f>
        <v>382</v>
      </c>
      <c r="I434" s="218">
        <f>match_results!E431</f>
        <v>74.074074074074005</v>
      </c>
      <c r="J434" s="225"/>
      <c r="K434" s="15" t="str">
        <f ca="1">IF($J434="〇",OFFSET(集計!B$3,合体!$H434,0),"")</f>
        <v/>
      </c>
      <c r="L434" s="15" t="str">
        <f ca="1">IF($J434="〇",OFFSET(集計!C$3,合体!$H434,0),"")</f>
        <v/>
      </c>
      <c r="M434" s="202" t="str">
        <f ca="1">IF($J434="〇",OFFSET(集計!D$3,合体!$H434,0),"")</f>
        <v/>
      </c>
    </row>
    <row r="435" spans="2:13" x14ac:dyDescent="0.2">
      <c r="B435" s="201">
        <f t="shared" si="6"/>
        <v>431</v>
      </c>
      <c r="C435" s="15" t="str">
        <f>薬品マスタリスト_20260130100542!A433</f>
        <v>タリージェ錠５ｍｇ</v>
      </c>
      <c r="D435" s="15" t="str">
        <f>薬品マスタリスト_20260130100542!B433</f>
        <v>ﾀﾘ-ｼﾞｴｼﾞﾖｳ5MG</v>
      </c>
      <c r="E435" s="15">
        <f>薬品マスタリスト_20260130100542!C433</f>
        <v>1</v>
      </c>
      <c r="F435" s="206" t="str">
        <f>薬品マスタリスト_20260130100542!D433</f>
        <v>錠剤</v>
      </c>
      <c r="G435" s="208" t="str">
        <f>match_results!C432</f>
        <v>タリージェ錠５㎎</v>
      </c>
      <c r="H435" s="208">
        <f>match_results!D432</f>
        <v>534</v>
      </c>
      <c r="I435" s="218">
        <f>match_results!E432</f>
        <v>82.352941176470495</v>
      </c>
      <c r="J435" s="225"/>
      <c r="K435" s="15" t="str">
        <f ca="1">IF($J435="〇",OFFSET(集計!B$3,合体!$H435,0),"")</f>
        <v/>
      </c>
      <c r="L435" s="15" t="str">
        <f ca="1">IF($J435="〇",OFFSET(集計!C$3,合体!$H435,0),"")</f>
        <v/>
      </c>
      <c r="M435" s="202" t="str">
        <f ca="1">IF($J435="〇",OFFSET(集計!D$3,合体!$H435,0),"")</f>
        <v/>
      </c>
    </row>
    <row r="436" spans="2:13" x14ac:dyDescent="0.2">
      <c r="B436" s="201">
        <f t="shared" si="6"/>
        <v>432</v>
      </c>
      <c r="C436" s="15" t="str">
        <f>薬品マスタリスト_20260130100542!A434</f>
        <v>タリビッド眼軟膏０．３％</v>
      </c>
      <c r="D436" s="15" t="str">
        <f>薬品マスタリスト_20260130100542!B434</f>
        <v>ﾀﾘﾋﾞｯﾄﾞｶﾞﾝﾅﾝｺｳ0.3%</v>
      </c>
      <c r="E436" s="15">
        <f>薬品マスタリスト_20260130100542!C434</f>
        <v>14</v>
      </c>
      <c r="F436" s="206" t="str">
        <f>薬品マスタリスト_20260130100542!D434</f>
        <v>軟膏</v>
      </c>
      <c r="G436" s="208" t="str">
        <f>match_results!C433</f>
        <v>タリビッド眼軟膏０．３％　３．５ｇ／本</v>
      </c>
      <c r="H436" s="208">
        <f>match_results!D433</f>
        <v>320</v>
      </c>
      <c r="I436" s="218">
        <f>match_results!E433</f>
        <v>77.419354838709594</v>
      </c>
      <c r="J436" s="225"/>
      <c r="K436" s="15" t="str">
        <f ca="1">IF($J436="〇",OFFSET(集計!B$3,合体!$H436,0),"")</f>
        <v/>
      </c>
      <c r="L436" s="15" t="str">
        <f ca="1">IF($J436="〇",OFFSET(集計!C$3,合体!$H436,0),"")</f>
        <v/>
      </c>
      <c r="M436" s="202" t="str">
        <f ca="1">IF($J436="〇",OFFSET(集計!D$3,合体!$H436,0),"")</f>
        <v/>
      </c>
    </row>
    <row r="437" spans="2:13" x14ac:dyDescent="0.2">
      <c r="B437" s="201">
        <f t="shared" si="6"/>
        <v>433</v>
      </c>
      <c r="C437" s="15" t="str">
        <f>薬品マスタリスト_20260130100542!A435</f>
        <v>タリビッド耳科用液０．３％</v>
      </c>
      <c r="D437" s="15" t="str">
        <f>薬品マスタリスト_20260130100542!B435</f>
        <v>ﾀﾘﾋﾞｯﾄﾞｼﾞｶﾖｳｴｷ0.3%</v>
      </c>
      <c r="E437" s="15">
        <f>薬品マスタリスト_20260130100542!C435</f>
        <v>22</v>
      </c>
      <c r="F437" s="206" t="str">
        <f>薬品マスタリスト_20260130100542!D435</f>
        <v>点耳薬</v>
      </c>
      <c r="G437" s="208" t="str">
        <f>match_results!C434</f>
        <v>タリビッド耳科用液０．３％　５ｍＬＸ５</v>
      </c>
      <c r="H437" s="208">
        <f>match_results!D434</f>
        <v>102</v>
      </c>
      <c r="I437" s="218">
        <f>match_results!E434</f>
        <v>81.25</v>
      </c>
      <c r="J437" s="225"/>
      <c r="K437" s="15" t="str">
        <f ca="1">IF($J437="〇",OFFSET(集計!B$3,合体!$H437,0),"")</f>
        <v/>
      </c>
      <c r="L437" s="15" t="str">
        <f ca="1">IF($J437="〇",OFFSET(集計!C$3,合体!$H437,0),"")</f>
        <v/>
      </c>
      <c r="M437" s="202" t="str">
        <f ca="1">IF($J437="〇",OFFSET(集計!D$3,合体!$H437,0),"")</f>
        <v/>
      </c>
    </row>
    <row r="438" spans="2:13" x14ac:dyDescent="0.2">
      <c r="B438" s="201">
        <f t="shared" si="6"/>
        <v>434</v>
      </c>
      <c r="C438" s="15" t="str">
        <f>薬品マスタリスト_20260130100542!A436</f>
        <v>ダルベポエチン アルファＢＳ注１２０μｇシリンジ「三和」</v>
      </c>
      <c r="D438" s="15" t="str">
        <f>薬品マスタリスト_20260130100542!B436</f>
        <v>ﾀﾞﾙﾍﾞﾎﾟｴﾁﾝｱﾙﾌｱBSﾁﾕｳ120ﾏｲｸﾛGｼﾘﾝｼﾞｻﾝﾜ</v>
      </c>
      <c r="E438" s="15">
        <f>薬品マスタリスト_20260130100542!C436</f>
        <v>25</v>
      </c>
      <c r="F438" s="206" t="str">
        <f>薬品マスタリスト_20260130100542!D436</f>
        <v>注射剤</v>
      </c>
      <c r="G438" s="208" t="str">
        <f>match_results!C435</f>
        <v>ダルベポエチンアルファ３０μシリンジ</v>
      </c>
      <c r="H438" s="208">
        <f>match_results!D435</f>
        <v>242</v>
      </c>
      <c r="I438" s="218">
        <f>match_results!E435</f>
        <v>43.478260869565197</v>
      </c>
      <c r="J438" s="225"/>
      <c r="K438" s="15" t="str">
        <f ca="1">IF($J438="〇",OFFSET(集計!B$3,合体!$H438,0),"")</f>
        <v/>
      </c>
      <c r="L438" s="15" t="str">
        <f ca="1">IF($J438="〇",OFFSET(集計!C$3,合体!$H438,0),"")</f>
        <v/>
      </c>
      <c r="M438" s="202" t="str">
        <f ca="1">IF($J438="〇",OFFSET(集計!D$3,合体!$H438,0),"")</f>
        <v/>
      </c>
    </row>
    <row r="439" spans="2:13" x14ac:dyDescent="0.2">
      <c r="B439" s="201">
        <f t="shared" si="6"/>
        <v>435</v>
      </c>
      <c r="C439" s="15" t="str">
        <f>薬品マスタリスト_20260130100542!A437</f>
        <v>ダルベポエチン アルファＢＳ注３０μｇシリンジ「三和」</v>
      </c>
      <c r="D439" s="15" t="str">
        <f>薬品マスタリスト_20260130100542!B437</f>
        <v>ﾀﾞﾙﾍﾞﾎﾟｴﾁﾝ ｱﾙﾌｧBSﾁｭｳ30μgｼﾘﾝｼﾞ｢ｻﾝﾜ｣</v>
      </c>
      <c r="E439" s="15">
        <f>薬品マスタリスト_20260130100542!C437</f>
        <v>25</v>
      </c>
      <c r="F439" s="206" t="str">
        <f>薬品マスタリスト_20260130100542!D437</f>
        <v>注射剤</v>
      </c>
      <c r="G439" s="208" t="str">
        <f>match_results!C436</f>
        <v>ダルベポエチンアルファ３０μシリンジ</v>
      </c>
      <c r="H439" s="208">
        <f>match_results!D436</f>
        <v>242</v>
      </c>
      <c r="I439" s="218">
        <f>match_results!E436</f>
        <v>48.8888888888888</v>
      </c>
      <c r="J439" s="225"/>
      <c r="K439" s="15" t="str">
        <f ca="1">IF($J439="〇",OFFSET(集計!B$3,合体!$H439,0),"")</f>
        <v/>
      </c>
      <c r="L439" s="15" t="str">
        <f ca="1">IF($J439="〇",OFFSET(集計!C$3,合体!$H439,0),"")</f>
        <v/>
      </c>
      <c r="M439" s="202" t="str">
        <f ca="1">IF($J439="〇",OFFSET(集計!D$3,合体!$H439,0),"")</f>
        <v/>
      </c>
    </row>
    <row r="440" spans="2:13" x14ac:dyDescent="0.2">
      <c r="B440" s="201">
        <f t="shared" si="6"/>
        <v>436</v>
      </c>
      <c r="C440" s="15" t="str">
        <f>薬品マスタリスト_20260130100542!A438</f>
        <v>ダルベポエチン アルファＢＳ注６０μｇシリンジ「三和」</v>
      </c>
      <c r="D440" s="15" t="str">
        <f>薬品マスタリスト_20260130100542!B438</f>
        <v>ﾀﾞﾙﾍﾞﾎﾟｴﾁﾝｱﾙﾌｱBSﾁﾕｳ60ﾏｲｸﾛGｼﾘﾝｼﾞｻﾝﾜ</v>
      </c>
      <c r="E440" s="15">
        <f>薬品マスタリスト_20260130100542!C438</f>
        <v>25</v>
      </c>
      <c r="F440" s="206" t="str">
        <f>薬品マスタリスト_20260130100542!D438</f>
        <v>注射剤</v>
      </c>
      <c r="G440" s="208" t="str">
        <f>match_results!C437</f>
        <v>ダルベポエチンアルファ３０μシリンジ</v>
      </c>
      <c r="H440" s="208">
        <f>match_results!D437</f>
        <v>242</v>
      </c>
      <c r="I440" s="218">
        <f>match_results!E437</f>
        <v>44.4444444444444</v>
      </c>
      <c r="J440" s="225"/>
      <c r="K440" s="15" t="str">
        <f ca="1">IF($J440="〇",OFFSET(集計!B$3,合体!$H440,0),"")</f>
        <v/>
      </c>
      <c r="L440" s="15" t="str">
        <f ca="1">IF($J440="〇",OFFSET(集計!C$3,合体!$H440,0),"")</f>
        <v/>
      </c>
      <c r="M440" s="202" t="str">
        <f ca="1">IF($J440="〇",OFFSET(集計!D$3,合体!$H440,0),"")</f>
        <v/>
      </c>
    </row>
    <row r="441" spans="2:13" x14ac:dyDescent="0.2">
      <c r="B441" s="201">
        <f t="shared" si="6"/>
        <v>437</v>
      </c>
      <c r="C441" s="15" t="str">
        <f>薬品マスタリスト_20260130100542!A439</f>
        <v>炭酸リチウム錠１００ｍｇ「アメル」</v>
      </c>
      <c r="D441" s="15" t="str">
        <f>薬品マスタリスト_20260130100542!B439</f>
        <v>ﾀﾝｻﾝﾘﾁｳﾑｼﾞｮｳ100mg｢ｱﾒﾙ｣</v>
      </c>
      <c r="E441" s="15">
        <f>薬品マスタリスト_20260130100542!C439</f>
        <v>1</v>
      </c>
      <c r="F441" s="206" t="str">
        <f>薬品マスタリスト_20260130100542!D439</f>
        <v>錠剤</v>
      </c>
      <c r="G441" s="208" t="str">
        <f>match_results!C438</f>
        <v>炭酸リチウム錠１００　</v>
      </c>
      <c r="H441" s="208">
        <f>match_results!D438</f>
        <v>563</v>
      </c>
      <c r="I441" s="218">
        <f>match_results!E438</f>
        <v>74.074074074074005</v>
      </c>
      <c r="J441" s="225"/>
      <c r="K441" s="15" t="str">
        <f ca="1">IF($J441="〇",OFFSET(集計!B$3,合体!$H441,0),"")</f>
        <v/>
      </c>
      <c r="L441" s="15" t="str">
        <f ca="1">IF($J441="〇",OFFSET(集計!C$3,合体!$H441,0),"")</f>
        <v/>
      </c>
      <c r="M441" s="202" t="str">
        <f ca="1">IF($J441="〇",OFFSET(集計!D$3,合体!$H441,0),"")</f>
        <v/>
      </c>
    </row>
    <row r="442" spans="2:13" x14ac:dyDescent="0.2">
      <c r="B442" s="201">
        <f t="shared" si="6"/>
        <v>438</v>
      </c>
      <c r="C442" s="15" t="str">
        <f>薬品マスタリスト_20260130100542!A440</f>
        <v>炭酸リチウム錠２００ｍｇ「アメル」</v>
      </c>
      <c r="D442" s="15" t="str">
        <f>薬品マスタリスト_20260130100542!B440</f>
        <v>ﾀﾝｻﾝﾘﾁｳﾑｼﾞｮｳ200mg｢ｱﾒﾙ｣</v>
      </c>
      <c r="E442" s="15">
        <f>薬品マスタリスト_20260130100542!C440</f>
        <v>1</v>
      </c>
      <c r="F442" s="206" t="str">
        <f>薬品マスタリスト_20260130100542!D440</f>
        <v>錠剤</v>
      </c>
      <c r="G442" s="208" t="str">
        <f>match_results!C439</f>
        <v>スルピリド錠２００ｍｇ「アメル」　</v>
      </c>
      <c r="H442" s="208">
        <f>match_results!D439</f>
        <v>324</v>
      </c>
      <c r="I442" s="218">
        <f>match_results!E439</f>
        <v>72.727272727272705</v>
      </c>
      <c r="J442" s="225"/>
      <c r="K442" s="15" t="str">
        <f ca="1">IF($J442="〇",OFFSET(集計!B$3,合体!$H442,0),"")</f>
        <v/>
      </c>
      <c r="L442" s="15" t="str">
        <f ca="1">IF($J442="〇",OFFSET(集計!C$3,合体!$H442,0),"")</f>
        <v/>
      </c>
      <c r="M442" s="202" t="str">
        <f ca="1">IF($J442="〇",OFFSET(集計!D$3,合体!$H442,0),"")</f>
        <v/>
      </c>
    </row>
    <row r="443" spans="2:13" x14ac:dyDescent="0.2">
      <c r="B443" s="201">
        <f t="shared" si="6"/>
        <v>439</v>
      </c>
      <c r="C443" s="15" t="str">
        <f>薬品マスタリスト_20260130100542!A441</f>
        <v>炭酸水素ナトリウム</v>
      </c>
      <c r="D443" s="15" t="str">
        <f>薬品マスタリスト_20260130100542!B441</f>
        <v>ﾀﾝｻﾝｽｲｿﾅﾄﾘｳﾑ</v>
      </c>
      <c r="E443" s="15">
        <f>薬品マスタリスト_20260130100542!C441</f>
        <v>3</v>
      </c>
      <c r="F443" s="206" t="str">
        <f>薬品マスタリスト_20260130100542!D441</f>
        <v>散</v>
      </c>
      <c r="G443" s="208" t="str">
        <f>match_results!C440</f>
        <v>炭酸水素ナトリウム</v>
      </c>
      <c r="H443" s="208">
        <f>match_results!D440</f>
        <v>34</v>
      </c>
      <c r="I443" s="218">
        <f>match_results!E440</f>
        <v>100</v>
      </c>
      <c r="J443" s="225" t="s">
        <v>3917</v>
      </c>
      <c r="K443" s="15">
        <f ca="1">IF($J443="〇",OFFSET(集計!B$3,合体!$H443,0),"")</f>
        <v>0.66</v>
      </c>
      <c r="L443" s="15">
        <f ca="1">IF($J443="〇",OFFSET(集計!C$3,合体!$H443,0),"")</f>
        <v>531</v>
      </c>
      <c r="M443" s="202">
        <f ca="1">IF($J443="〇",OFFSET(集計!D$3,合体!$H443,0),"")</f>
        <v>350.46000000000004</v>
      </c>
    </row>
    <row r="444" spans="2:13" x14ac:dyDescent="0.2">
      <c r="B444" s="201">
        <f t="shared" si="6"/>
        <v>440</v>
      </c>
      <c r="C444" s="15" t="str">
        <f>薬品マスタリスト_20260130100542!A442</f>
        <v>炭酸リチウム錠２００ｍｇ「大正」</v>
      </c>
      <c r="D444" s="15" t="str">
        <f>薬品マスタリスト_20260130100542!B442</f>
        <v>ﾀﾝｻﾝﾘﾁｳﾑｼﾞﾖｳ200MGﾀｲｼﾖｳ</v>
      </c>
      <c r="E444" s="15">
        <f>薬品マスタリスト_20260130100542!C442</f>
        <v>1</v>
      </c>
      <c r="F444" s="206" t="str">
        <f>薬品マスタリスト_20260130100542!D442</f>
        <v>錠剤</v>
      </c>
      <c r="G444" s="208" t="str">
        <f>match_results!C441</f>
        <v>炭酸リチウム錠　２００</v>
      </c>
      <c r="H444" s="208">
        <f>match_results!D441</f>
        <v>506</v>
      </c>
      <c r="I444" s="218">
        <f>match_results!E441</f>
        <v>74.074074074074005</v>
      </c>
      <c r="J444" s="225"/>
      <c r="K444" s="15" t="str">
        <f ca="1">IF($J444="〇",OFFSET(集計!B$3,合体!$H444,0),"")</f>
        <v/>
      </c>
      <c r="L444" s="15" t="str">
        <f ca="1">IF($J444="〇",OFFSET(集計!C$3,合体!$H444,0),"")</f>
        <v/>
      </c>
      <c r="M444" s="202" t="str">
        <f ca="1">IF($J444="〇",OFFSET(集計!D$3,合体!$H444,0),"")</f>
        <v/>
      </c>
    </row>
    <row r="445" spans="2:13" x14ac:dyDescent="0.2">
      <c r="B445" s="201">
        <f t="shared" si="6"/>
        <v>441</v>
      </c>
      <c r="C445" s="15" t="str">
        <f>薬品マスタリスト_20260130100542!A443</f>
        <v>炭酸リチウム錠１００ｍｇ「大正」</v>
      </c>
      <c r="D445" s="15" t="str">
        <f>薬品マスタリスト_20260130100542!B443</f>
        <v>ﾀﾝｻﾝﾘﾁｳﾑｼﾞﾖｳ100MGﾀｲｼﾖｳ</v>
      </c>
      <c r="E445" s="15">
        <f>薬品マスタリスト_20260130100542!C443</f>
        <v>1</v>
      </c>
      <c r="F445" s="206" t="str">
        <f>薬品マスタリスト_20260130100542!D443</f>
        <v>錠剤</v>
      </c>
      <c r="G445" s="208" t="str">
        <f>match_results!C442</f>
        <v>炭酸リチウム錠１００　</v>
      </c>
      <c r="H445" s="208">
        <f>match_results!D442</f>
        <v>563</v>
      </c>
      <c r="I445" s="218">
        <f>match_results!E442</f>
        <v>76.923076923076906</v>
      </c>
      <c r="J445" s="225"/>
      <c r="K445" s="15" t="str">
        <f ca="1">IF($J445="〇",OFFSET(集計!B$3,合体!$H445,0),"")</f>
        <v/>
      </c>
      <c r="L445" s="15" t="str">
        <f ca="1">IF($J445="〇",OFFSET(集計!C$3,合体!$H445,0),"")</f>
        <v/>
      </c>
      <c r="M445" s="202" t="str">
        <f ca="1">IF($J445="〇",OFFSET(集計!D$3,合体!$H445,0),"")</f>
        <v/>
      </c>
    </row>
    <row r="446" spans="2:13" x14ac:dyDescent="0.2">
      <c r="B446" s="201">
        <f t="shared" si="6"/>
        <v>442</v>
      </c>
      <c r="C446" s="15" t="str">
        <f>薬品マスタリスト_20260130100542!A444</f>
        <v>単シロップ</v>
      </c>
      <c r="D446" s="15" t="str">
        <f>薬品マスタリスト_20260130100542!B444</f>
        <v>ﾀﾝｼﾛｯﾌﾟ</v>
      </c>
      <c r="E446" s="15">
        <f>薬品マスタリスト_20260130100542!C444</f>
        <v>7</v>
      </c>
      <c r="F446" s="206" t="str">
        <f>薬品マスタリスト_20260130100542!D444</f>
        <v>液（内用）</v>
      </c>
      <c r="G446" s="208" t="str">
        <f>match_results!C443</f>
        <v>ラクツロースシロップ</v>
      </c>
      <c r="H446" s="208">
        <f>match_results!D443</f>
        <v>153</v>
      </c>
      <c r="I446" s="218">
        <f>match_results!E443</f>
        <v>53.3333333333333</v>
      </c>
      <c r="J446" s="225"/>
      <c r="K446" s="15" t="str">
        <f ca="1">IF($J446="〇",OFFSET(集計!B$3,合体!$H446,0),"")</f>
        <v/>
      </c>
      <c r="L446" s="15" t="str">
        <f ca="1">IF($J446="〇",OFFSET(集計!C$3,合体!$H446,0),"")</f>
        <v/>
      </c>
      <c r="M446" s="202" t="str">
        <f ca="1">IF($J446="〇",OFFSET(集計!D$3,合体!$H446,0),"")</f>
        <v/>
      </c>
    </row>
    <row r="447" spans="2:13" x14ac:dyDescent="0.2">
      <c r="B447" s="201">
        <f t="shared" si="6"/>
        <v>443</v>
      </c>
      <c r="C447" s="15" t="str">
        <f>薬品マスタリスト_20260130100542!A445</f>
        <v>ダントリウムカプセル２５ｍｇ</v>
      </c>
      <c r="D447" s="15" t="str">
        <f>薬品マスタリスト_20260130100542!B445</f>
        <v>ﾀﾞﾝﾄﾘｳﾑｶﾌﾟｾﾙ25mg</v>
      </c>
      <c r="E447" s="15">
        <f>薬品マスタリスト_20260130100542!C445</f>
        <v>2</v>
      </c>
      <c r="F447" s="206" t="str">
        <f>薬品マスタリスト_20260130100542!D445</f>
        <v>カプセル</v>
      </c>
      <c r="G447" s="208" t="str">
        <f>match_results!C444</f>
        <v>トランサミンカプセル２５０ｍｇ</v>
      </c>
      <c r="H447" s="208">
        <f>match_results!D444</f>
        <v>401</v>
      </c>
      <c r="I447" s="218">
        <f>match_results!E444</f>
        <v>62.068965517241303</v>
      </c>
      <c r="J447" s="225"/>
      <c r="K447" s="15" t="str">
        <f ca="1">IF($J447="〇",OFFSET(集計!B$3,合体!$H447,0),"")</f>
        <v/>
      </c>
      <c r="L447" s="15" t="str">
        <f ca="1">IF($J447="〇",OFFSET(集計!C$3,合体!$H447,0),"")</f>
        <v/>
      </c>
      <c r="M447" s="202" t="str">
        <f ca="1">IF($J447="〇",OFFSET(集計!D$3,合体!$H447,0),"")</f>
        <v/>
      </c>
    </row>
    <row r="448" spans="2:13" x14ac:dyDescent="0.2">
      <c r="B448" s="201">
        <f t="shared" si="6"/>
        <v>444</v>
      </c>
      <c r="C448" s="15" t="str">
        <f>薬品マスタリスト_20260130100542!A446</f>
        <v>ダントリウム静注用２０ｍｇ</v>
      </c>
      <c r="D448" s="15" t="str">
        <f>薬品マスタリスト_20260130100542!B446</f>
        <v>ﾀﾞﾝﾄﾘｳﾑｼﾞｮｳﾁｭｳﾖｳ20mg</v>
      </c>
      <c r="E448" s="15">
        <f>薬品マスタリスト_20260130100542!C446</f>
        <v>25</v>
      </c>
      <c r="F448" s="206" t="str">
        <f>薬品マスタリスト_20260130100542!D446</f>
        <v>注射剤</v>
      </c>
      <c r="G448" s="208" t="str">
        <f>match_results!C445</f>
        <v>ダントリウム静注用２０ＭＧ</v>
      </c>
      <c r="H448" s="208">
        <f>match_results!D445</f>
        <v>521</v>
      </c>
      <c r="I448" s="218">
        <f>match_results!E445</f>
        <v>84.615384615384599</v>
      </c>
      <c r="J448" s="225"/>
      <c r="K448" s="15" t="str">
        <f ca="1">IF($J448="〇",OFFSET(集計!B$3,合体!$H448,0),"")</f>
        <v/>
      </c>
      <c r="L448" s="15" t="str">
        <f ca="1">IF($J448="〇",OFFSET(集計!C$3,合体!$H448,0),"")</f>
        <v/>
      </c>
      <c r="M448" s="202" t="str">
        <f ca="1">IF($J448="〇",OFFSET(集計!D$3,合体!$H448,0),"")</f>
        <v/>
      </c>
    </row>
    <row r="449" spans="2:13" x14ac:dyDescent="0.2">
      <c r="B449" s="201">
        <f t="shared" si="6"/>
        <v>445</v>
      </c>
      <c r="C449" s="15" t="str">
        <f>薬品マスタリスト_20260130100542!A447</f>
        <v>タンニン酸アルブミン「ＶＴＲＳ」原末</v>
      </c>
      <c r="D449" s="15" t="str">
        <f>薬品マスタリスト_20260130100542!B447</f>
        <v>ﾀﾝﾆﾝｻﾝｱﾙﾌﾞﾐﾝ｢VTRS｣ｹﾞﾝﾏﾂ</v>
      </c>
      <c r="E449" s="15">
        <f>薬品マスタリスト_20260130100542!C447</f>
        <v>3</v>
      </c>
      <c r="F449" s="206" t="str">
        <f>薬品マスタリスト_20260130100542!D447</f>
        <v>散</v>
      </c>
      <c r="G449" s="208" t="str">
        <f>match_results!C446</f>
        <v>タンニン酸アルブミン「ＶＴＲＳ］</v>
      </c>
      <c r="H449" s="208">
        <f>match_results!D446</f>
        <v>300</v>
      </c>
      <c r="I449" s="218">
        <f>match_results!E446</f>
        <v>88.235294117647001</v>
      </c>
      <c r="J449" s="225"/>
      <c r="K449" s="15" t="str">
        <f ca="1">IF($J449="〇",OFFSET(集計!B$3,合体!$H449,0),"")</f>
        <v/>
      </c>
      <c r="L449" s="15" t="str">
        <f ca="1">IF($J449="〇",OFFSET(集計!C$3,合体!$H449,0),"")</f>
        <v/>
      </c>
      <c r="M449" s="202" t="str">
        <f ca="1">IF($J449="〇",OFFSET(集計!D$3,合体!$H449,0),"")</f>
        <v/>
      </c>
    </row>
    <row r="450" spans="2:13" x14ac:dyDescent="0.2">
      <c r="B450" s="201">
        <f t="shared" si="6"/>
        <v>446</v>
      </c>
      <c r="C450" s="15" t="str">
        <f>薬品マスタリスト_20260130100542!A448</f>
        <v>タンボコール錠５０ｍｇ</v>
      </c>
      <c r="D450" s="15" t="str">
        <f>薬品マスタリスト_20260130100542!B448</f>
        <v>ﾀﾝﾎﾞｺｰﾙｼﾞｮｳ50mg</v>
      </c>
      <c r="E450" s="15">
        <f>薬品マスタリスト_20260130100542!C448</f>
        <v>1</v>
      </c>
      <c r="F450" s="206" t="str">
        <f>薬品マスタリスト_20260130100542!D448</f>
        <v>錠剤</v>
      </c>
      <c r="G450" s="208" t="str">
        <f>match_results!C447</f>
        <v>タンボコール錠５０ｍｇ</v>
      </c>
      <c r="H450" s="208">
        <f>match_results!D447</f>
        <v>339</v>
      </c>
      <c r="I450" s="218">
        <f>match_results!E447</f>
        <v>100</v>
      </c>
      <c r="J450" s="225" t="s">
        <v>3917</v>
      </c>
      <c r="K450" s="15">
        <f ca="1">IF($J450="〇",OFFSET(集計!B$3,合体!$H450,0),"")</f>
        <v>41.39</v>
      </c>
      <c r="L450" s="15">
        <f ca="1">IF($J450="〇",OFFSET(集計!C$3,合体!$H450,0),"")</f>
        <v>136</v>
      </c>
      <c r="M450" s="202">
        <f ca="1">IF($J450="〇",OFFSET(集計!D$3,合体!$H450,0),"")</f>
        <v>5629.04</v>
      </c>
    </row>
    <row r="451" spans="2:13" x14ac:dyDescent="0.2">
      <c r="B451" s="201">
        <f t="shared" si="6"/>
        <v>447</v>
      </c>
      <c r="C451" s="15" t="str">
        <f>薬品マスタリスト_20260130100542!A449</f>
        <v>チアプリド錠２５ｍｇ「ＪＧ」</v>
      </c>
      <c r="D451" s="15" t="str">
        <f>薬品マスタリスト_20260130100542!B449</f>
        <v>ﾁｱﾌﾟﾘﾄﾞｼﾞｮｳ25mg｢JG｣</v>
      </c>
      <c r="E451" s="15">
        <f>薬品マスタリスト_20260130100542!C449</f>
        <v>1</v>
      </c>
      <c r="F451" s="206" t="str">
        <f>薬品マスタリスト_20260130100542!D449</f>
        <v>錠剤</v>
      </c>
      <c r="G451" s="208" t="str">
        <f>match_results!C448</f>
        <v>クエチアピン錠２５ｍｇ</v>
      </c>
      <c r="H451" s="208">
        <f>match_results!D448</f>
        <v>519</v>
      </c>
      <c r="I451" s="218">
        <f>match_results!E448</f>
        <v>56</v>
      </c>
      <c r="J451" s="225"/>
      <c r="K451" s="15" t="str">
        <f ca="1">IF($J451="〇",OFFSET(集計!B$3,合体!$H451,0),"")</f>
        <v/>
      </c>
      <c r="L451" s="15" t="str">
        <f ca="1">IF($J451="〇",OFFSET(集計!C$3,合体!$H451,0),"")</f>
        <v/>
      </c>
      <c r="M451" s="202" t="str">
        <f ca="1">IF($J451="〇",OFFSET(集計!D$3,合体!$H451,0),"")</f>
        <v/>
      </c>
    </row>
    <row r="452" spans="2:13" x14ac:dyDescent="0.2">
      <c r="B452" s="201">
        <f t="shared" si="6"/>
        <v>448</v>
      </c>
      <c r="C452" s="15" t="str">
        <f>薬品マスタリスト_20260130100542!A450</f>
        <v>チアプリド錠５０ｍｇ「ＪＧ」</v>
      </c>
      <c r="D452" s="15" t="str">
        <f>薬品マスタリスト_20260130100542!B450</f>
        <v>ﾁｱﾌﾟﾘﾄﾞｼﾞｮｳ50mg｢JG｣</v>
      </c>
      <c r="E452" s="15">
        <f>薬品マスタリスト_20260130100542!C450</f>
        <v>1</v>
      </c>
      <c r="F452" s="206" t="str">
        <f>薬品マスタリスト_20260130100542!D450</f>
        <v>錠剤</v>
      </c>
      <c r="G452" s="208" t="str">
        <f>match_results!C449</f>
        <v>スルピリド錠５０ｍｇ「アメル」　</v>
      </c>
      <c r="H452" s="208">
        <f>match_results!D449</f>
        <v>510</v>
      </c>
      <c r="I452" s="218">
        <f>match_results!E449</f>
        <v>62.068965517241303</v>
      </c>
      <c r="J452" s="225"/>
      <c r="K452" s="15" t="str">
        <f ca="1">IF($J452="〇",OFFSET(集計!B$3,合体!$H452,0),"")</f>
        <v/>
      </c>
      <c r="L452" s="15" t="str">
        <f ca="1">IF($J452="〇",OFFSET(集計!C$3,合体!$H452,0),"")</f>
        <v/>
      </c>
      <c r="M452" s="202" t="str">
        <f ca="1">IF($J452="〇",OFFSET(集計!D$3,合体!$H452,0),"")</f>
        <v/>
      </c>
    </row>
    <row r="453" spans="2:13" x14ac:dyDescent="0.2">
      <c r="B453" s="201">
        <f t="shared" si="6"/>
        <v>449</v>
      </c>
      <c r="C453" s="15" t="str">
        <f>薬品マスタリスト_20260130100542!A451</f>
        <v>チアプリド細粒１０％「ＪＧ」</v>
      </c>
      <c r="D453" s="15" t="str">
        <f>薬品マスタリスト_20260130100542!B451</f>
        <v>ﾁｱﾌﾟﾘﾄﾞｻｲﾘｭｳ10%｢JG｣</v>
      </c>
      <c r="E453" s="15">
        <f>薬品マスタリスト_20260130100542!C451</f>
        <v>3</v>
      </c>
      <c r="F453" s="206" t="str">
        <f>薬品マスタリスト_20260130100542!D451</f>
        <v>散</v>
      </c>
      <c r="G453" s="208" t="str">
        <f>match_results!C450</f>
        <v>ニコチン酸アミド散１０％「ゾンネ」</v>
      </c>
      <c r="H453" s="208">
        <f>match_results!D450</f>
        <v>298</v>
      </c>
      <c r="I453" s="218">
        <f>match_results!E450</f>
        <v>51.612903225806399</v>
      </c>
      <c r="J453" s="225"/>
      <c r="K453" s="15" t="str">
        <f ca="1">IF($J453="〇",OFFSET(集計!B$3,合体!$H453,0),"")</f>
        <v/>
      </c>
      <c r="L453" s="15" t="str">
        <f ca="1">IF($J453="〇",OFFSET(集計!C$3,合体!$H453,0),"")</f>
        <v/>
      </c>
      <c r="M453" s="202" t="str">
        <f ca="1">IF($J453="〇",OFFSET(集計!D$3,合体!$H453,0),"")</f>
        <v/>
      </c>
    </row>
    <row r="454" spans="2:13" x14ac:dyDescent="0.2">
      <c r="B454" s="201">
        <f t="shared" si="6"/>
        <v>450</v>
      </c>
      <c r="C454" s="15" t="str">
        <f>薬品マスタリスト_20260130100542!A452</f>
        <v>チエナム点滴静注用０．５ｇ</v>
      </c>
      <c r="D454" s="15" t="str">
        <f>薬品マスタリスト_20260130100542!B452</f>
        <v>ﾁｴﾅﾑﾃﾝﾃｷｼﾞｮｳﾁｭｳﾖｳ0.5g</v>
      </c>
      <c r="E454" s="15">
        <f>薬品マスタリスト_20260130100542!C452</f>
        <v>25</v>
      </c>
      <c r="F454" s="206" t="str">
        <f>薬品マスタリスト_20260130100542!D452</f>
        <v>注射剤</v>
      </c>
      <c r="G454" s="208" t="str">
        <f>match_results!C451</f>
        <v>チエナム点滴静注０．５ｇ</v>
      </c>
      <c r="H454" s="208">
        <f>match_results!D451</f>
        <v>613</v>
      </c>
      <c r="I454" s="218">
        <f>match_results!E451</f>
        <v>96</v>
      </c>
      <c r="J454" s="225"/>
      <c r="K454" s="15" t="str">
        <f ca="1">IF($J454="〇",OFFSET(集計!B$3,合体!$H454,0),"")</f>
        <v/>
      </c>
      <c r="L454" s="15" t="str">
        <f ca="1">IF($J454="〇",OFFSET(集計!C$3,合体!$H454,0),"")</f>
        <v/>
      </c>
      <c r="M454" s="202" t="str">
        <f ca="1">IF($J454="〇",OFFSET(集計!D$3,合体!$H454,0),"")</f>
        <v/>
      </c>
    </row>
    <row r="455" spans="2:13" x14ac:dyDescent="0.2">
      <c r="B455" s="201">
        <f t="shared" ref="B455:B518" si="7">B454+1</f>
        <v>451</v>
      </c>
      <c r="C455" s="15" t="str">
        <f>薬品マスタリスト_20260130100542!A453</f>
        <v>チクロピジン塩酸塩錠１００ｍｇ「日医工」</v>
      </c>
      <c r="D455" s="15" t="str">
        <f>薬品マスタリスト_20260130100542!B453</f>
        <v>ﾁｸﾛﾋﾟｼﾞﾝｴﾝｻﾝｴﾝｼﾞｮｳ100mg｢ﾆﾁｲｺｳ｣</v>
      </c>
      <c r="E455" s="15">
        <f>薬品マスタリスト_20260130100542!C453</f>
        <v>1</v>
      </c>
      <c r="F455" s="206" t="str">
        <f>薬品マスタリスト_20260130100542!D453</f>
        <v>錠剤</v>
      </c>
      <c r="G455" s="208" t="str">
        <f>match_results!C452</f>
        <v>クエチアピン錠１００ｍｇ</v>
      </c>
      <c r="H455" s="208">
        <f>match_results!D452</f>
        <v>607</v>
      </c>
      <c r="I455" s="218">
        <f>match_results!E452</f>
        <v>56.25</v>
      </c>
      <c r="J455" s="225"/>
      <c r="K455" s="15" t="str">
        <f ca="1">IF($J455="〇",OFFSET(集計!B$3,合体!$H455,0),"")</f>
        <v/>
      </c>
      <c r="L455" s="15" t="str">
        <f ca="1">IF($J455="〇",OFFSET(集計!C$3,合体!$H455,0),"")</f>
        <v/>
      </c>
      <c r="M455" s="202" t="str">
        <f ca="1">IF($J455="〇",OFFSET(集計!D$3,合体!$H455,0),"")</f>
        <v/>
      </c>
    </row>
    <row r="456" spans="2:13" x14ac:dyDescent="0.2">
      <c r="B456" s="201">
        <f t="shared" si="7"/>
        <v>452</v>
      </c>
      <c r="C456" s="15" t="str">
        <f>薬品マスタリスト_20260130100542!A454</f>
        <v>チザニジン錠１ｍｇ「トーワ」</v>
      </c>
      <c r="D456" s="15" t="str">
        <f>薬品マスタリスト_20260130100542!B454</f>
        <v>ﾁｻﾞﾆｼﾞﾝｼﾞｮｳ1mg｢ﾄｰﾜ｣</v>
      </c>
      <c r="E456" s="15">
        <f>薬品マスタリスト_20260130100542!C454</f>
        <v>1</v>
      </c>
      <c r="F456" s="206" t="str">
        <f>薬品マスタリスト_20260130100542!D454</f>
        <v>錠剤</v>
      </c>
      <c r="G456" s="208" t="str">
        <f>match_results!C453</f>
        <v>チザニジン錠１ｍｇ</v>
      </c>
      <c r="H456" s="208">
        <f>match_results!D453</f>
        <v>229</v>
      </c>
      <c r="I456" s="218">
        <f>match_results!E453</f>
        <v>78.260869565217305</v>
      </c>
      <c r="J456" s="225"/>
      <c r="K456" s="15" t="str">
        <f ca="1">IF($J456="〇",OFFSET(集計!B$3,合体!$H456,0),"")</f>
        <v/>
      </c>
      <c r="L456" s="15" t="str">
        <f ca="1">IF($J456="〇",OFFSET(集計!C$3,合体!$H456,0),"")</f>
        <v/>
      </c>
      <c r="M456" s="202" t="str">
        <f ca="1">IF($J456="〇",OFFSET(集計!D$3,合体!$H456,0),"")</f>
        <v/>
      </c>
    </row>
    <row r="457" spans="2:13" x14ac:dyDescent="0.2">
      <c r="B457" s="201">
        <f t="shared" si="7"/>
        <v>453</v>
      </c>
      <c r="C457" s="15" t="str">
        <f>薬品マスタリスト_20260130100542!A455</f>
        <v>チミペロン錠１ｍｇ「アメル」</v>
      </c>
      <c r="D457" s="15" t="str">
        <f>薬品マスタリスト_20260130100542!B455</f>
        <v>ﾁﾐﾍﾟﾛﾝｼﾞｮｳ1mg｢ｱﾒﾙ｣</v>
      </c>
      <c r="E457" s="15">
        <f>薬品マスタリスト_20260130100542!C455</f>
        <v>1</v>
      </c>
      <c r="F457" s="206" t="str">
        <f>薬品マスタリスト_20260130100542!D455</f>
        <v>錠剤</v>
      </c>
      <c r="G457" s="208" t="str">
        <f>match_results!C454</f>
        <v>エチゾラム錠１ｍｇ「アメル」</v>
      </c>
      <c r="H457" s="208">
        <f>match_results!D454</f>
        <v>570</v>
      </c>
      <c r="I457" s="218">
        <f>match_results!E454</f>
        <v>71.428571428571402</v>
      </c>
      <c r="J457" s="225"/>
      <c r="K457" s="15" t="str">
        <f ca="1">IF($J457="〇",OFFSET(集計!B$3,合体!$H457,0),"")</f>
        <v/>
      </c>
      <c r="L457" s="15" t="str">
        <f ca="1">IF($J457="〇",OFFSET(集計!C$3,合体!$H457,0),"")</f>
        <v/>
      </c>
      <c r="M457" s="202" t="str">
        <f ca="1">IF($J457="〇",OFFSET(集計!D$3,合体!$H457,0),"")</f>
        <v/>
      </c>
    </row>
    <row r="458" spans="2:13" x14ac:dyDescent="0.2">
      <c r="B458" s="201">
        <f t="shared" si="7"/>
        <v>454</v>
      </c>
      <c r="C458" s="15" t="str">
        <f>薬品マスタリスト_20260130100542!A456</f>
        <v>チミペロン錠３ｍｇ「アメル」</v>
      </c>
      <c r="D458" s="15" t="str">
        <f>薬品マスタリスト_20260130100542!B456</f>
        <v>ﾁﾐﾍﾟﾛﾝｼﾞｮｳ3mg｢ｱﾒﾙ｣</v>
      </c>
      <c r="E458" s="15">
        <f>薬品マスタリスト_20260130100542!C456</f>
        <v>1</v>
      </c>
      <c r="F458" s="206" t="str">
        <f>薬品マスタリスト_20260130100542!D456</f>
        <v>錠剤</v>
      </c>
      <c r="G458" s="208" t="str">
        <f>match_results!C455</f>
        <v>エチゾラム錠１ｍｇ「アメル」</v>
      </c>
      <c r="H458" s="208">
        <f>match_results!D455</f>
        <v>570</v>
      </c>
      <c r="I458" s="218">
        <f>match_results!E455</f>
        <v>64.285714285714207</v>
      </c>
      <c r="J458" s="225"/>
      <c r="K458" s="15" t="str">
        <f ca="1">IF($J458="〇",OFFSET(集計!B$3,合体!$H458,0),"")</f>
        <v/>
      </c>
      <c r="L458" s="15" t="str">
        <f ca="1">IF($J458="〇",OFFSET(集計!C$3,合体!$H458,0),"")</f>
        <v/>
      </c>
      <c r="M458" s="202" t="str">
        <f ca="1">IF($J458="〇",OFFSET(集計!D$3,合体!$H458,0),"")</f>
        <v/>
      </c>
    </row>
    <row r="459" spans="2:13" x14ac:dyDescent="0.2">
      <c r="B459" s="201">
        <f t="shared" si="7"/>
        <v>455</v>
      </c>
      <c r="C459" s="15" t="str">
        <f>薬品マスタリスト_20260130100542!A457</f>
        <v>チミペロン細粒１％「アメル」</v>
      </c>
      <c r="D459" s="15" t="str">
        <f>薬品マスタリスト_20260130100542!B457</f>
        <v>ﾁﾐﾍﾟﾛﾝｻｲﾘｭｳ1%｢ｱﾒﾙ｣</v>
      </c>
      <c r="E459" s="15">
        <f>薬品マスタリスト_20260130100542!C457</f>
        <v>3</v>
      </c>
      <c r="F459" s="206" t="str">
        <f>薬品マスタリスト_20260130100542!D457</f>
        <v>散</v>
      </c>
      <c r="G459" s="208" t="str">
        <f>match_results!C456</f>
        <v>トロペロン細粒１％</v>
      </c>
      <c r="H459" s="208">
        <f>match_results!D456</f>
        <v>459</v>
      </c>
      <c r="I459" s="218">
        <f>match_results!E456</f>
        <v>60.869565217391298</v>
      </c>
      <c r="J459" s="225"/>
      <c r="K459" s="15" t="str">
        <f ca="1">IF($J459="〇",OFFSET(集計!B$3,合体!$H459,0),"")</f>
        <v/>
      </c>
      <c r="L459" s="15" t="str">
        <f ca="1">IF($J459="〇",OFFSET(集計!C$3,合体!$H459,0),"")</f>
        <v/>
      </c>
      <c r="M459" s="202" t="str">
        <f ca="1">IF($J459="〇",OFFSET(集計!D$3,合体!$H459,0),"")</f>
        <v/>
      </c>
    </row>
    <row r="460" spans="2:13" x14ac:dyDescent="0.2">
      <c r="B460" s="201">
        <f t="shared" si="7"/>
        <v>456</v>
      </c>
      <c r="C460" s="15" t="str">
        <f>薬品マスタリスト_20260130100542!A458</f>
        <v>チモロール点眼液０．５％「ニッテン」</v>
      </c>
      <c r="D460" s="15" t="str">
        <f>薬品マスタリスト_20260130100542!B458</f>
        <v>ﾁﾓﾛｰﾙﾃﾝｶﾞﾝｴｷ0.5%｢ﾆｯﾃﾝ｣</v>
      </c>
      <c r="E460" s="15">
        <f>薬品マスタリスト_20260130100542!C458</f>
        <v>21</v>
      </c>
      <c r="F460" s="206" t="str">
        <f>薬品マスタリスト_20260130100542!D458</f>
        <v>点眼剤</v>
      </c>
      <c r="G460" s="208" t="str">
        <f>match_results!C457</f>
        <v>チモロール点眼液０．５％　５ｍｌ／本</v>
      </c>
      <c r="H460" s="208">
        <f>match_results!D457</f>
        <v>212</v>
      </c>
      <c r="I460" s="218">
        <f>match_results!E457</f>
        <v>66.6666666666666</v>
      </c>
      <c r="J460" s="225"/>
      <c r="K460" s="15" t="str">
        <f ca="1">IF($J460="〇",OFFSET(集計!B$3,合体!$H460,0),"")</f>
        <v/>
      </c>
      <c r="L460" s="15" t="str">
        <f ca="1">IF($J460="〇",OFFSET(集計!C$3,合体!$H460,0),"")</f>
        <v/>
      </c>
      <c r="M460" s="202" t="str">
        <f ca="1">IF($J460="〇",OFFSET(集計!D$3,合体!$H460,0),"")</f>
        <v/>
      </c>
    </row>
    <row r="461" spans="2:13" x14ac:dyDescent="0.2">
      <c r="B461" s="201">
        <f t="shared" si="7"/>
        <v>457</v>
      </c>
      <c r="C461" s="15" t="str">
        <f>薬品マスタリスト_20260130100542!A459</f>
        <v>注射用水ＰＬ「フソー」</v>
      </c>
      <c r="D461" s="15" t="str">
        <f>薬品マスタリスト_20260130100542!B459</f>
        <v>ﾁｭｳｼｬﾖｳｽｲPL｢ﾌｿｰ｣</v>
      </c>
      <c r="E461" s="15">
        <f>薬品マスタリスト_20260130100542!C459</f>
        <v>25</v>
      </c>
      <c r="F461" s="206" t="str">
        <f>薬品マスタリスト_20260130100542!D459</f>
        <v>注射剤</v>
      </c>
      <c r="G461" s="208" t="str">
        <f>match_results!C458</f>
        <v>注射用水ＰＬ「フソー」２０ｍｌ</v>
      </c>
      <c r="H461" s="208">
        <f>match_results!D458</f>
        <v>249</v>
      </c>
      <c r="I461" s="218">
        <f>match_results!E458</f>
        <v>84.615384615384599</v>
      </c>
      <c r="J461" s="225"/>
      <c r="K461" s="15" t="str">
        <f ca="1">IF($J461="〇",OFFSET(集計!B$3,合体!$H461,0),"")</f>
        <v/>
      </c>
      <c r="L461" s="15" t="str">
        <f ca="1">IF($J461="〇",OFFSET(集計!C$3,合体!$H461,0),"")</f>
        <v/>
      </c>
      <c r="M461" s="202" t="str">
        <f ca="1">IF($J461="〇",OFFSET(集計!D$3,合体!$H461,0),"")</f>
        <v/>
      </c>
    </row>
    <row r="462" spans="2:13" x14ac:dyDescent="0.2">
      <c r="B462" s="201">
        <f t="shared" si="7"/>
        <v>458</v>
      </c>
      <c r="C462" s="15" t="str">
        <f>薬品マスタリスト_20260130100542!A460</f>
        <v>注射用水ＰＬ「フソー」</v>
      </c>
      <c r="D462" s="15" t="str">
        <f>薬品マスタリスト_20260130100542!B460</f>
        <v>ﾁｭｳｼｬﾖｳｽｲPL｢ﾌｿｰ｣</v>
      </c>
      <c r="E462" s="15">
        <f>薬品マスタリスト_20260130100542!C460</f>
        <v>25</v>
      </c>
      <c r="F462" s="206" t="str">
        <f>薬品マスタリスト_20260130100542!D460</f>
        <v>注射剤</v>
      </c>
      <c r="G462" s="208" t="str">
        <f>match_results!C459</f>
        <v>注射用水ＰＬ「フソー」２０ｍｌ</v>
      </c>
      <c r="H462" s="208">
        <f>match_results!D459</f>
        <v>249</v>
      </c>
      <c r="I462" s="218">
        <f>match_results!E459</f>
        <v>84.615384615384599</v>
      </c>
      <c r="J462" s="225"/>
      <c r="K462" s="15" t="str">
        <f ca="1">IF($J462="〇",OFFSET(集計!B$3,合体!$H462,0),"")</f>
        <v/>
      </c>
      <c r="L462" s="15" t="str">
        <f ca="1">IF($J462="〇",OFFSET(集計!C$3,合体!$H462,0),"")</f>
        <v/>
      </c>
      <c r="M462" s="202" t="str">
        <f ca="1">IF($J462="〇",OFFSET(集計!D$3,合体!$H462,0),"")</f>
        <v/>
      </c>
    </row>
    <row r="463" spans="2:13" x14ac:dyDescent="0.2">
      <c r="B463" s="201">
        <f t="shared" si="7"/>
        <v>459</v>
      </c>
      <c r="C463" s="15" t="str">
        <f>薬品マスタリスト_20260130100542!A461</f>
        <v>腸散Ⅱ(院内製剤)</v>
      </c>
      <c r="D463" s="15" t="str">
        <f>薬品マスタリスト_20260130100542!B461</f>
        <v>腸ｻﾝ(院ﾅｲｾｲｻﾞｲ)</v>
      </c>
      <c r="E463" s="15">
        <f>薬品マスタリスト_20260130100542!C461</f>
        <v>3</v>
      </c>
      <c r="F463" s="206" t="str">
        <f>薬品マスタリスト_20260130100542!D461</f>
        <v>散</v>
      </c>
      <c r="G463" s="208" t="str">
        <f>match_results!C460</f>
        <v>モビコール配合内用剤ＬＤ</v>
      </c>
      <c r="H463" s="208">
        <f>match_results!D460</f>
        <v>440</v>
      </c>
      <c r="I463" s="218">
        <f>match_results!E460</f>
        <v>19.047619047619001</v>
      </c>
      <c r="J463" s="225"/>
      <c r="K463" s="15" t="str">
        <f ca="1">IF($J463="〇",OFFSET(集計!B$3,合体!$H463,0),"")</f>
        <v/>
      </c>
      <c r="L463" s="15" t="str">
        <f ca="1">IF($J463="〇",OFFSET(集計!C$3,合体!$H463,0),"")</f>
        <v/>
      </c>
      <c r="M463" s="202" t="str">
        <f ca="1">IF($J463="〇",OFFSET(集計!D$3,合体!$H463,0),"")</f>
        <v/>
      </c>
    </row>
    <row r="464" spans="2:13" x14ac:dyDescent="0.2">
      <c r="B464" s="201">
        <f t="shared" si="7"/>
        <v>460</v>
      </c>
      <c r="C464" s="15" t="str">
        <f>薬品マスタリスト_20260130100542!A462</f>
        <v>チラーヂンＳ錠２５μｇ</v>
      </c>
      <c r="D464" s="15" t="str">
        <f>薬品マスタリスト_20260130100542!B462</f>
        <v>ﾁﾗｰﾁﾞﾝSｼﾞｮｳ25μg</v>
      </c>
      <c r="E464" s="15">
        <f>薬品マスタリスト_20260130100542!C462</f>
        <v>1</v>
      </c>
      <c r="F464" s="206" t="str">
        <f>薬品マスタリスト_20260130100542!D462</f>
        <v>錠剤</v>
      </c>
      <c r="G464" s="208" t="str">
        <f>match_results!C461</f>
        <v>チラ－ヂン　Ｓ錠２５μＧ</v>
      </c>
      <c r="H464" s="208">
        <f>match_results!D461</f>
        <v>479</v>
      </c>
      <c r="I464" s="218">
        <f>match_results!E461</f>
        <v>78.260869565217305</v>
      </c>
      <c r="J464" s="225"/>
      <c r="K464" s="15" t="str">
        <f ca="1">IF($J464="〇",OFFSET(集計!B$3,合体!$H464,0),"")</f>
        <v/>
      </c>
      <c r="L464" s="15" t="str">
        <f ca="1">IF($J464="〇",OFFSET(集計!C$3,合体!$H464,0),"")</f>
        <v/>
      </c>
      <c r="M464" s="202" t="str">
        <f ca="1">IF($J464="〇",OFFSET(集計!D$3,合体!$H464,0),"")</f>
        <v/>
      </c>
    </row>
    <row r="465" spans="2:13" x14ac:dyDescent="0.2">
      <c r="B465" s="201">
        <f t="shared" si="7"/>
        <v>461</v>
      </c>
      <c r="C465" s="15" t="str">
        <f>薬品マスタリスト_20260130100542!A463</f>
        <v>チラーヂンＳ錠５０μｇ</v>
      </c>
      <c r="D465" s="15" t="str">
        <f>薬品マスタリスト_20260130100542!B463</f>
        <v>ﾁﾗｰﾁﾞﾝSｼﾞｮｳ50μg</v>
      </c>
      <c r="E465" s="15">
        <f>薬品マスタリスト_20260130100542!C463</f>
        <v>1</v>
      </c>
      <c r="F465" s="206" t="str">
        <f>薬品マスタリスト_20260130100542!D463</f>
        <v>錠剤</v>
      </c>
      <c r="G465" s="208" t="str">
        <f>match_results!C462</f>
        <v>チラ－ヂン　Ｓ錠５０μＧ</v>
      </c>
      <c r="H465" s="208">
        <f>match_results!D462</f>
        <v>469</v>
      </c>
      <c r="I465" s="218">
        <f>match_results!E462</f>
        <v>78.260869565217305</v>
      </c>
      <c r="J465" s="225"/>
      <c r="K465" s="15" t="str">
        <f ca="1">IF($J465="〇",OFFSET(集計!B$3,合体!$H465,0),"")</f>
        <v/>
      </c>
      <c r="L465" s="15" t="str">
        <f ca="1">IF($J465="〇",OFFSET(集計!C$3,合体!$H465,0),"")</f>
        <v/>
      </c>
      <c r="M465" s="202" t="str">
        <f ca="1">IF($J465="〇",OFFSET(集計!D$3,合体!$H465,0),"")</f>
        <v/>
      </c>
    </row>
    <row r="466" spans="2:13" x14ac:dyDescent="0.2">
      <c r="B466" s="201">
        <f t="shared" si="7"/>
        <v>462</v>
      </c>
      <c r="C466" s="15" t="str">
        <f>薬品マスタリスト_20260130100542!A464</f>
        <v>チラーヂンＳ静注液２００μｇ</v>
      </c>
      <c r="D466" s="15" t="str">
        <f>薬品マスタリスト_20260130100542!B464</f>
        <v>ﾁﾗ-ﾁﾞﾝSｼﾞﾖｳﾁﾕｳｴｷ200ﾏｲｸﾛG</v>
      </c>
      <c r="E466" s="15">
        <f>薬品マスタリスト_20260130100542!C464</f>
        <v>25</v>
      </c>
      <c r="F466" s="206" t="str">
        <f>薬品マスタリスト_20260130100542!D464</f>
        <v>注射剤</v>
      </c>
      <c r="G466" s="208" t="str">
        <f>match_results!C463</f>
        <v>チラ－ヂン　Ｓ錠５０μＧ</v>
      </c>
      <c r="H466" s="208">
        <f>match_results!D463</f>
        <v>469</v>
      </c>
      <c r="I466" s="218">
        <f>match_results!E463</f>
        <v>53.846153846153797</v>
      </c>
      <c r="J466" s="225"/>
      <c r="K466" s="15" t="str">
        <f ca="1">IF($J466="〇",OFFSET(集計!B$3,合体!$H466,0),"")</f>
        <v/>
      </c>
      <c r="L466" s="15" t="str">
        <f ca="1">IF($J466="〇",OFFSET(集計!C$3,合体!$H466,0),"")</f>
        <v/>
      </c>
      <c r="M466" s="202" t="str">
        <f ca="1">IF($J466="〇",OFFSET(集計!D$3,合体!$H466,0),"")</f>
        <v/>
      </c>
    </row>
    <row r="467" spans="2:13" x14ac:dyDescent="0.2">
      <c r="B467" s="201">
        <f t="shared" si="7"/>
        <v>463</v>
      </c>
      <c r="C467" s="15" t="str">
        <f>薬品マスタリスト_20260130100542!A465</f>
        <v>ツイミーグ錠５００ｍｇ</v>
      </c>
      <c r="D467" s="15" t="str">
        <f>薬品マスタリスト_20260130100542!B465</f>
        <v>ﾂｲﾐ-ｸﾞｼﾞﾖｳ500MG</v>
      </c>
      <c r="E467" s="15">
        <f>薬品マスタリスト_20260130100542!C465</f>
        <v>1</v>
      </c>
      <c r="F467" s="206" t="str">
        <f>薬品マスタリスト_20260130100542!D465</f>
        <v>錠剤</v>
      </c>
      <c r="G467" s="208" t="str">
        <f>match_results!C464</f>
        <v>マグミット錠５００ｍｇ</v>
      </c>
      <c r="H467" s="208">
        <f>match_results!D464</f>
        <v>434</v>
      </c>
      <c r="I467" s="218">
        <f>match_results!E464</f>
        <v>63.636363636363598</v>
      </c>
      <c r="J467" s="225"/>
      <c r="K467" s="15" t="str">
        <f ca="1">IF($J467="〇",OFFSET(集計!B$3,合体!$H467,0),"")</f>
        <v/>
      </c>
      <c r="L467" s="15" t="str">
        <f ca="1">IF($J467="〇",OFFSET(集計!C$3,合体!$H467,0),"")</f>
        <v/>
      </c>
      <c r="M467" s="202" t="str">
        <f ca="1">IF($J467="〇",OFFSET(集計!D$3,合体!$H467,0),"")</f>
        <v/>
      </c>
    </row>
    <row r="468" spans="2:13" x14ac:dyDescent="0.2">
      <c r="B468" s="201">
        <f t="shared" si="7"/>
        <v>464</v>
      </c>
      <c r="C468" s="15" t="str">
        <f>薬品マスタリスト_20260130100542!A466</f>
        <v>ツムラ八味地黄丸エキス顆粒（医療用）</v>
      </c>
      <c r="D468" s="15" t="str">
        <f>薬品マスタリスト_20260130100542!B466</f>
        <v>ﾂﾑﾗﾊﾁﾐｼﾞｵｳｶﾞﾝｴｷｽｶﾘｭｳ(ｲﾘｮｳﾖｳ)</v>
      </c>
      <c r="E468" s="15">
        <f>薬品マスタリスト_20260130100542!C466</f>
        <v>3</v>
      </c>
      <c r="F468" s="206" t="str">
        <f>薬品マスタリスト_20260130100542!D466</f>
        <v>散</v>
      </c>
      <c r="G468" s="208" t="str">
        <f>match_results!C465</f>
        <v>トーワチーム配合顆粒（分包品１ｇ）</v>
      </c>
      <c r="H468" s="208">
        <f>match_results!D465</f>
        <v>257</v>
      </c>
      <c r="I468" s="218">
        <f>match_results!E465</f>
        <v>28.571428571428498</v>
      </c>
      <c r="J468" s="225"/>
      <c r="K468" s="15" t="str">
        <f ca="1">IF($J468="〇",OFFSET(集計!B$3,合体!$H468,0),"")</f>
        <v/>
      </c>
      <c r="L468" s="15" t="str">
        <f ca="1">IF($J468="〇",OFFSET(集計!C$3,合体!$H468,0),"")</f>
        <v/>
      </c>
      <c r="M468" s="202" t="str">
        <f ca="1">IF($J468="〇",OFFSET(集計!D$3,合体!$H468,0),"")</f>
        <v/>
      </c>
    </row>
    <row r="469" spans="2:13" x14ac:dyDescent="0.2">
      <c r="B469" s="201">
        <f t="shared" si="7"/>
        <v>465</v>
      </c>
      <c r="C469" s="15" t="str">
        <f>薬品マスタリスト_20260130100542!A467</f>
        <v>ツムラ柴胡加竜骨牡蛎湯エキス顆粒（医療用）</v>
      </c>
      <c r="D469" s="15" t="str">
        <f>薬品マスタリスト_20260130100542!B467</f>
        <v>ﾂﾑﾗｻｲｺｶﾘｭｳｺﾂﾎﾞﾚｲﾄｳｴｷｽｶﾘｭｳ(ｲﾘｮｳﾖｳ)</v>
      </c>
      <c r="E469" s="15">
        <f>薬品マスタリスト_20260130100542!C467</f>
        <v>3</v>
      </c>
      <c r="F469" s="206" t="str">
        <f>薬品マスタリスト_20260130100542!D467</f>
        <v>散</v>
      </c>
      <c r="G469" s="208" t="str">
        <f>match_results!C466</f>
        <v>トーワチーム配合顆粒（分包品１ｇ）</v>
      </c>
      <c r="H469" s="208">
        <f>match_results!D466</f>
        <v>257</v>
      </c>
      <c r="I469" s="218">
        <f>match_results!E466</f>
        <v>26.315789473684202</v>
      </c>
      <c r="J469" s="225"/>
      <c r="K469" s="15" t="str">
        <f ca="1">IF($J469="〇",OFFSET(集計!B$3,合体!$H469,0),"")</f>
        <v/>
      </c>
      <c r="L469" s="15" t="str">
        <f ca="1">IF($J469="〇",OFFSET(集計!C$3,合体!$H469,0),"")</f>
        <v/>
      </c>
      <c r="M469" s="202" t="str">
        <f ca="1">IF($J469="〇",OFFSET(集計!D$3,合体!$H469,0),"")</f>
        <v/>
      </c>
    </row>
    <row r="470" spans="2:13" x14ac:dyDescent="0.2">
      <c r="B470" s="201">
        <f t="shared" si="7"/>
        <v>466</v>
      </c>
      <c r="C470" s="15" t="str">
        <f>薬品マスタリスト_20260130100542!A468</f>
        <v>ツムラ半夏瀉心湯エキス顆粒（医療用）</v>
      </c>
      <c r="D470" s="15" t="str">
        <f>薬品マスタリスト_20260130100542!B468</f>
        <v>ﾂﾑﾗﾊﾝｹﾞｼｬｼﾝﾄｳｴｷｽｶﾘｭｳ(ｲﾘｮｳﾖｳ)</v>
      </c>
      <c r="E470" s="15">
        <f>薬品マスタリスト_20260130100542!C468</f>
        <v>3</v>
      </c>
      <c r="F470" s="206" t="str">
        <f>薬品マスタリスト_20260130100542!D468</f>
        <v>散</v>
      </c>
      <c r="G470" s="208" t="str">
        <f>match_results!C467</f>
        <v>トーワチーム配合顆粒（分包品１ｇ）</v>
      </c>
      <c r="H470" s="208">
        <f>match_results!D467</f>
        <v>257</v>
      </c>
      <c r="I470" s="218">
        <f>match_results!E467</f>
        <v>28.571428571428498</v>
      </c>
      <c r="J470" s="225"/>
      <c r="K470" s="15" t="str">
        <f ca="1">IF($J470="〇",OFFSET(集計!B$3,合体!$H470,0),"")</f>
        <v/>
      </c>
      <c r="L470" s="15" t="str">
        <f ca="1">IF($J470="〇",OFFSET(集計!C$3,合体!$H470,0),"")</f>
        <v/>
      </c>
      <c r="M470" s="202" t="str">
        <f ca="1">IF($J470="〇",OFFSET(集計!D$3,合体!$H470,0),"")</f>
        <v/>
      </c>
    </row>
    <row r="471" spans="2:13" x14ac:dyDescent="0.2">
      <c r="B471" s="201">
        <f t="shared" si="7"/>
        <v>467</v>
      </c>
      <c r="C471" s="15" t="str">
        <f>薬品マスタリスト_20260130100542!A469</f>
        <v>ツムラ半夏厚朴湯エキス顆粒（医療用）</v>
      </c>
      <c r="D471" s="15" t="str">
        <f>薬品マスタリスト_20260130100542!B469</f>
        <v>ﾂﾑﾗﾊﾝｹﾞｺｳﾎﾞｸﾄｳｴｷｽｶﾘｭｳ(ｲﾘｮｳﾖｳ)</v>
      </c>
      <c r="E471" s="15">
        <f>薬品マスタリスト_20260130100542!C469</f>
        <v>3</v>
      </c>
      <c r="F471" s="206" t="str">
        <f>薬品マスタリスト_20260130100542!D469</f>
        <v>散</v>
      </c>
      <c r="G471" s="208" t="str">
        <f>match_results!C468</f>
        <v>トーワチーム配合顆粒（分包品１ｇ）</v>
      </c>
      <c r="H471" s="208">
        <f>match_results!D468</f>
        <v>257</v>
      </c>
      <c r="I471" s="218">
        <f>match_results!E468</f>
        <v>28.571428571428498</v>
      </c>
      <c r="J471" s="225"/>
      <c r="K471" s="15" t="str">
        <f ca="1">IF($J471="〇",OFFSET(集計!B$3,合体!$H471,0),"")</f>
        <v/>
      </c>
      <c r="L471" s="15" t="str">
        <f ca="1">IF($J471="〇",OFFSET(集計!C$3,合体!$H471,0),"")</f>
        <v/>
      </c>
      <c r="M471" s="202" t="str">
        <f ca="1">IF($J471="〇",OFFSET(集計!D$3,合体!$H471,0),"")</f>
        <v/>
      </c>
    </row>
    <row r="472" spans="2:13" x14ac:dyDescent="0.2">
      <c r="B472" s="201">
        <f t="shared" si="7"/>
        <v>468</v>
      </c>
      <c r="C472" s="15" t="str">
        <f>薬品マスタリスト_20260130100542!A470</f>
        <v>ツムラ五苓散エキス顆粒（医療用）</v>
      </c>
      <c r="D472" s="15" t="str">
        <f>薬品マスタリスト_20260130100542!B470</f>
        <v>ﾂﾑﾗｺﾞﾚｲｻﾝｴｷｽｶﾘｭｳ(ｲﾘｮｳﾖｳ)</v>
      </c>
      <c r="E472" s="15">
        <f>薬品マスタリスト_20260130100542!C470</f>
        <v>3</v>
      </c>
      <c r="F472" s="206" t="str">
        <f>薬品マスタリスト_20260130100542!D470</f>
        <v>散</v>
      </c>
      <c r="G472" s="208" t="str">
        <f>match_results!C469</f>
        <v>トーワチーム配合顆粒（分包品１ｇ）</v>
      </c>
      <c r="H472" s="208">
        <f>match_results!D469</f>
        <v>257</v>
      </c>
      <c r="I472" s="218">
        <f>match_results!E469</f>
        <v>30.303030303030202</v>
      </c>
      <c r="J472" s="225"/>
      <c r="K472" s="15" t="str">
        <f ca="1">IF($J472="〇",OFFSET(集計!B$3,合体!$H472,0),"")</f>
        <v/>
      </c>
      <c r="L472" s="15" t="str">
        <f ca="1">IF($J472="〇",OFFSET(集計!C$3,合体!$H472,0),"")</f>
        <v/>
      </c>
      <c r="M472" s="202" t="str">
        <f ca="1">IF($J472="〇",OFFSET(集計!D$3,合体!$H472,0),"")</f>
        <v/>
      </c>
    </row>
    <row r="473" spans="2:13" x14ac:dyDescent="0.2">
      <c r="B473" s="201">
        <f t="shared" si="7"/>
        <v>469</v>
      </c>
      <c r="C473" s="15" t="str">
        <f>薬品マスタリスト_20260130100542!A471</f>
        <v>ツムラ小青竜湯エキス顆粒（医療用）</v>
      </c>
      <c r="D473" s="15" t="str">
        <f>薬品マスタリスト_20260130100542!B471</f>
        <v>ﾂﾑﾗｼﾖｳｾｲﾘﾕｳﾄｳｴｷｽｶﾘﾕｳｲﾘﾖｳﾖｳ</v>
      </c>
      <c r="E473" s="15">
        <f>薬品マスタリスト_20260130100542!C471</f>
        <v>5</v>
      </c>
      <c r="F473" s="206" t="str">
        <f>薬品マスタリスト_20260130100542!D471</f>
        <v>顆粒</v>
      </c>
      <c r="G473" s="208" t="str">
        <f>match_results!C470</f>
        <v>トーワチーム配合顆粒（分包品１ｇ）</v>
      </c>
      <c r="H473" s="208">
        <f>match_results!D470</f>
        <v>257</v>
      </c>
      <c r="I473" s="218">
        <f>match_results!E470</f>
        <v>29.411764705882302</v>
      </c>
      <c r="J473" s="225"/>
      <c r="K473" s="15" t="str">
        <f ca="1">IF($J473="〇",OFFSET(集計!B$3,合体!$H473,0),"")</f>
        <v/>
      </c>
      <c r="L473" s="15" t="str">
        <f ca="1">IF($J473="〇",OFFSET(集計!C$3,合体!$H473,0),"")</f>
        <v/>
      </c>
      <c r="M473" s="202" t="str">
        <f ca="1">IF($J473="〇",OFFSET(集計!D$3,合体!$H473,0),"")</f>
        <v/>
      </c>
    </row>
    <row r="474" spans="2:13" x14ac:dyDescent="0.2">
      <c r="B474" s="201">
        <f t="shared" si="7"/>
        <v>470</v>
      </c>
      <c r="C474" s="15" t="str">
        <f>薬品マスタリスト_20260130100542!A472</f>
        <v>ツムラ防已黄耆湯エキス顆粒（医療用）</v>
      </c>
      <c r="D474" s="15" t="str">
        <f>薬品マスタリスト_20260130100542!B472</f>
        <v>ﾂﾑﾗﾎﾞｳｲｵｳｷﾞﾄｳｴｷｽｶﾘｭｳ(ｲﾘｮｳﾖｳ)</v>
      </c>
      <c r="E474" s="15">
        <f>薬品マスタリスト_20260130100542!C472</f>
        <v>3</v>
      </c>
      <c r="F474" s="206" t="str">
        <f>薬品マスタリスト_20260130100542!D472</f>
        <v>散</v>
      </c>
      <c r="G474" s="208" t="str">
        <f>match_results!C471</f>
        <v>トーワチーム配合顆粒（分包品１ｇ）</v>
      </c>
      <c r="H474" s="208">
        <f>match_results!D471</f>
        <v>257</v>
      </c>
      <c r="I474" s="218">
        <f>match_results!E471</f>
        <v>28.571428571428498</v>
      </c>
      <c r="J474" s="225"/>
      <c r="K474" s="15" t="str">
        <f ca="1">IF($J474="〇",OFFSET(集計!B$3,合体!$H474,0),"")</f>
        <v/>
      </c>
      <c r="L474" s="15" t="str">
        <f ca="1">IF($J474="〇",OFFSET(集計!C$3,合体!$H474,0),"")</f>
        <v/>
      </c>
      <c r="M474" s="202" t="str">
        <f ca="1">IF($J474="〇",OFFSET(集計!D$3,合体!$H474,0),"")</f>
        <v/>
      </c>
    </row>
    <row r="475" spans="2:13" x14ac:dyDescent="0.2">
      <c r="B475" s="201">
        <f t="shared" si="7"/>
        <v>471</v>
      </c>
      <c r="C475" s="15" t="str">
        <f>薬品マスタリスト_20260130100542!A473</f>
        <v>ツムラ当帰芍薬散エキス顆粒（医療用）</v>
      </c>
      <c r="D475" s="15" t="str">
        <f>薬品マスタリスト_20260130100542!B473</f>
        <v>ﾂﾑﾗﾄｳｷｼｬｸﾔｸｻﾝｴｷｽｶﾘｭｳ(ｲﾘｮｳﾖｳ)</v>
      </c>
      <c r="E475" s="15">
        <f>薬品マスタリスト_20260130100542!C473</f>
        <v>3</v>
      </c>
      <c r="F475" s="206" t="str">
        <f>薬品マスタリスト_20260130100542!D473</f>
        <v>散</v>
      </c>
      <c r="G475" s="208" t="str">
        <f>match_results!C472</f>
        <v>トーワチーム配合顆粒（分包品１ｇ）</v>
      </c>
      <c r="H475" s="208">
        <f>match_results!D472</f>
        <v>257</v>
      </c>
      <c r="I475" s="218">
        <f>match_results!E472</f>
        <v>28.571428571428498</v>
      </c>
      <c r="J475" s="225"/>
      <c r="K475" s="15" t="str">
        <f ca="1">IF($J475="〇",OFFSET(集計!B$3,合体!$H475,0),"")</f>
        <v/>
      </c>
      <c r="L475" s="15" t="str">
        <f ca="1">IF($J475="〇",OFFSET(集計!C$3,合体!$H475,0),"")</f>
        <v/>
      </c>
      <c r="M475" s="202" t="str">
        <f ca="1">IF($J475="〇",OFFSET(集計!D$3,合体!$H475,0),"")</f>
        <v/>
      </c>
    </row>
    <row r="476" spans="2:13" x14ac:dyDescent="0.2">
      <c r="B476" s="201">
        <f t="shared" si="7"/>
        <v>472</v>
      </c>
      <c r="C476" s="15" t="str">
        <f>薬品マスタリスト_20260130100542!A474</f>
        <v>ツムラ六君子湯エキス顆粒（医療用）</v>
      </c>
      <c r="D476" s="15" t="str">
        <f>薬品マスタリスト_20260130100542!B474</f>
        <v>ﾂﾑﾗﾘｯｸﾝｼﾄｳｴｷｽｶﾘｭｳ(ｲﾘｮｳﾖｳ)</v>
      </c>
      <c r="E476" s="15">
        <f>薬品マスタリスト_20260130100542!C474</f>
        <v>3</v>
      </c>
      <c r="F476" s="206" t="str">
        <f>薬品マスタリスト_20260130100542!D474</f>
        <v>散</v>
      </c>
      <c r="G476" s="208" t="str">
        <f>match_results!C473</f>
        <v>トーワチーム配合顆粒（分包品１ｇ）</v>
      </c>
      <c r="H476" s="208">
        <f>match_results!D473</f>
        <v>257</v>
      </c>
      <c r="I476" s="218">
        <f>match_results!E473</f>
        <v>29.411764705882302</v>
      </c>
      <c r="J476" s="225"/>
      <c r="K476" s="15" t="str">
        <f ca="1">IF($J476="〇",OFFSET(集計!B$3,合体!$H476,0),"")</f>
        <v/>
      </c>
      <c r="L476" s="15" t="str">
        <f ca="1">IF($J476="〇",OFFSET(集計!C$3,合体!$H476,0),"")</f>
        <v/>
      </c>
      <c r="M476" s="202" t="str">
        <f ca="1">IF($J476="〇",OFFSET(集計!D$3,合体!$H476,0),"")</f>
        <v/>
      </c>
    </row>
    <row r="477" spans="2:13" x14ac:dyDescent="0.2">
      <c r="B477" s="201">
        <f t="shared" si="7"/>
        <v>473</v>
      </c>
      <c r="C477" s="15" t="str">
        <f>薬品マスタリスト_20260130100542!A475</f>
        <v>ツムラ十全大補湯エキス顆粒（医療用）</v>
      </c>
      <c r="D477" s="15" t="str">
        <f>薬品マスタリスト_20260130100542!B475</f>
        <v>ﾂﾑﾗｼﾞｭｳｾﾞﾝﾀｲﾎﾄｳｴｷｽｶﾘｭｳ(ｲﾘｮｳﾖｳ)</v>
      </c>
      <c r="E477" s="15">
        <f>薬品マスタリスト_20260130100542!C475</f>
        <v>3</v>
      </c>
      <c r="F477" s="206" t="str">
        <f>薬品マスタリスト_20260130100542!D475</f>
        <v>散</v>
      </c>
      <c r="G477" s="208" t="str">
        <f>match_results!C474</f>
        <v>トーワチーム配合顆粒（分包品１ｇ）</v>
      </c>
      <c r="H477" s="208">
        <f>match_results!D474</f>
        <v>257</v>
      </c>
      <c r="I477" s="218">
        <f>match_results!E474</f>
        <v>28.571428571428498</v>
      </c>
      <c r="J477" s="225"/>
      <c r="K477" s="15" t="str">
        <f ca="1">IF($J477="〇",OFFSET(集計!B$3,合体!$H477,0),"")</f>
        <v/>
      </c>
      <c r="L477" s="15" t="str">
        <f ca="1">IF($J477="〇",OFFSET(集計!C$3,合体!$H477,0),"")</f>
        <v/>
      </c>
      <c r="M477" s="202" t="str">
        <f ca="1">IF($J477="〇",OFFSET(集計!D$3,合体!$H477,0),"")</f>
        <v/>
      </c>
    </row>
    <row r="478" spans="2:13" x14ac:dyDescent="0.2">
      <c r="B478" s="201">
        <f t="shared" si="7"/>
        <v>474</v>
      </c>
      <c r="C478" s="15" t="str">
        <f>薬品マスタリスト_20260130100542!A476</f>
        <v>ツムラ潤腸湯エキス顆粒（医療用）</v>
      </c>
      <c r="D478" s="15" t="str">
        <f>薬品マスタリスト_20260130100542!B476</f>
        <v>ﾂﾑﾗｼﾞｭﾝﾁｮｳﾄｳｴｷｽｶﾘｭｳ(ｲﾘｮｳﾖｳ)</v>
      </c>
      <c r="E478" s="15">
        <f>薬品マスタリスト_20260130100542!C476</f>
        <v>3</v>
      </c>
      <c r="F478" s="206" t="str">
        <f>薬品マスタリスト_20260130100542!D476</f>
        <v>散</v>
      </c>
      <c r="G478" s="208" t="str">
        <f>match_results!C475</f>
        <v>トーワチーム配合顆粒（分包品１ｇ）</v>
      </c>
      <c r="H478" s="208">
        <f>match_results!D475</f>
        <v>257</v>
      </c>
      <c r="I478" s="218">
        <f>match_results!E475</f>
        <v>30.303030303030202</v>
      </c>
      <c r="J478" s="225"/>
      <c r="K478" s="15" t="str">
        <f ca="1">IF($J478="〇",OFFSET(集計!B$3,合体!$H478,0),"")</f>
        <v/>
      </c>
      <c r="L478" s="15" t="str">
        <f ca="1">IF($J478="〇",OFFSET(集計!C$3,合体!$H478,0),"")</f>
        <v/>
      </c>
      <c r="M478" s="202" t="str">
        <f ca="1">IF($J478="〇",OFFSET(集計!D$3,合体!$H478,0),"")</f>
        <v/>
      </c>
    </row>
    <row r="479" spans="2:13" x14ac:dyDescent="0.2">
      <c r="B479" s="201">
        <f t="shared" si="7"/>
        <v>475</v>
      </c>
      <c r="C479" s="15" t="str">
        <f>薬品マスタリスト_20260130100542!A477</f>
        <v>ツムラ抑肝散エキス顆粒（医療用）</v>
      </c>
      <c r="D479" s="15" t="str">
        <f>薬品マスタリスト_20260130100542!B477</f>
        <v>ﾂﾑﾗﾖｸｶﾝｻﾝｴｷｽｶﾘｭｳ(ｲﾘｮｳﾖｳ)</v>
      </c>
      <c r="E479" s="15">
        <f>薬品マスタリスト_20260130100542!C477</f>
        <v>3</v>
      </c>
      <c r="F479" s="206" t="str">
        <f>薬品マスタリスト_20260130100542!D477</f>
        <v>散</v>
      </c>
      <c r="G479" s="208" t="str">
        <f>match_results!C476</f>
        <v>トーワチーム配合顆粒（分包品１ｇ）</v>
      </c>
      <c r="H479" s="208">
        <f>match_results!D476</f>
        <v>257</v>
      </c>
      <c r="I479" s="218">
        <f>match_results!E476</f>
        <v>30.303030303030202</v>
      </c>
      <c r="J479" s="225"/>
      <c r="K479" s="15" t="str">
        <f ca="1">IF($J479="〇",OFFSET(集計!B$3,合体!$H479,0),"")</f>
        <v/>
      </c>
      <c r="L479" s="15" t="str">
        <f ca="1">IF($J479="〇",OFFSET(集計!C$3,合体!$H479,0),"")</f>
        <v/>
      </c>
      <c r="M479" s="202" t="str">
        <f ca="1">IF($J479="〇",OFFSET(集計!D$3,合体!$H479,0),"")</f>
        <v/>
      </c>
    </row>
    <row r="480" spans="2:13" x14ac:dyDescent="0.2">
      <c r="B480" s="201">
        <f t="shared" si="7"/>
        <v>476</v>
      </c>
      <c r="C480" s="15" t="str">
        <f>薬品マスタリスト_20260130100542!A478</f>
        <v>ツムラ防風通聖散エキス顆粒（医療用）</v>
      </c>
      <c r="D480" s="15" t="str">
        <f>薬品マスタリスト_20260130100542!B478</f>
        <v>ﾂﾑﾗﾎﾞｳﾌｳﾂｳｼｮｳｻﾝｴｷｽｶﾘｭｳ(ｲﾘｮｳﾖｳ)</v>
      </c>
      <c r="E480" s="15">
        <f>薬品マスタリスト_20260130100542!C478</f>
        <v>3</v>
      </c>
      <c r="F480" s="206" t="str">
        <f>薬品マスタリスト_20260130100542!D478</f>
        <v>散</v>
      </c>
      <c r="G480" s="208" t="str">
        <f>match_results!C477</f>
        <v>トーワチーム配合顆粒（分包品１ｇ）</v>
      </c>
      <c r="H480" s="208">
        <f>match_results!D477</f>
        <v>257</v>
      </c>
      <c r="I480" s="218">
        <f>match_results!E477</f>
        <v>28.571428571428498</v>
      </c>
      <c r="J480" s="225"/>
      <c r="K480" s="15" t="str">
        <f ca="1">IF($J480="〇",OFFSET(集計!B$3,合体!$H480,0),"")</f>
        <v/>
      </c>
      <c r="L480" s="15" t="str">
        <f ca="1">IF($J480="〇",OFFSET(集計!C$3,合体!$H480,0),"")</f>
        <v/>
      </c>
      <c r="M480" s="202" t="str">
        <f ca="1">IF($J480="〇",OFFSET(集計!D$3,合体!$H480,0),"")</f>
        <v/>
      </c>
    </row>
    <row r="481" spans="2:13" x14ac:dyDescent="0.2">
      <c r="B481" s="201">
        <f t="shared" si="7"/>
        <v>477</v>
      </c>
      <c r="C481" s="15" t="str">
        <f>薬品マスタリスト_20260130100542!A479</f>
        <v>ツムラ芍薬甘草湯エキス顆粒（医療用）</v>
      </c>
      <c r="D481" s="15" t="str">
        <f>薬品マスタリスト_20260130100542!B479</f>
        <v>ﾂﾑﾗｼｬｸﾔｸｶﾝｿﾞｳﾄｳｴｷｽｶﾘｭｳ(ｲﾘｮｳﾖｳ)</v>
      </c>
      <c r="E481" s="15">
        <f>薬品マスタリスト_20260130100542!C479</f>
        <v>3</v>
      </c>
      <c r="F481" s="206" t="str">
        <f>薬品マスタリスト_20260130100542!D479</f>
        <v>散</v>
      </c>
      <c r="G481" s="208" t="str">
        <f>match_results!C478</f>
        <v>トーワチーム配合顆粒（分包品１ｇ）</v>
      </c>
      <c r="H481" s="208">
        <f>match_results!D478</f>
        <v>257</v>
      </c>
      <c r="I481" s="218">
        <f>match_results!E478</f>
        <v>28.571428571428498</v>
      </c>
      <c r="J481" s="225"/>
      <c r="K481" s="15" t="str">
        <f ca="1">IF($J481="〇",OFFSET(集計!B$3,合体!$H481,0),"")</f>
        <v/>
      </c>
      <c r="L481" s="15" t="str">
        <f ca="1">IF($J481="〇",OFFSET(集計!C$3,合体!$H481,0),"")</f>
        <v/>
      </c>
      <c r="M481" s="202" t="str">
        <f ca="1">IF($J481="〇",OFFSET(集計!D$3,合体!$H481,0),"")</f>
        <v/>
      </c>
    </row>
    <row r="482" spans="2:13" x14ac:dyDescent="0.2">
      <c r="B482" s="201">
        <f t="shared" si="7"/>
        <v>478</v>
      </c>
      <c r="C482" s="15" t="str">
        <f>薬品マスタリスト_20260130100542!A480</f>
        <v>ツムラ抑肝散加陳皮半夏エキス顆粒（医療用）</v>
      </c>
      <c r="D482" s="15" t="str">
        <f>薬品マスタリスト_20260130100542!B480</f>
        <v>ﾂﾑﾗﾖｸｶﾝｻﾝｶﾁﾝﾋﾟﾊﾝｹﾞｴｷｽｶﾘｭｳ(ｲﾘｮｳﾖｳ)</v>
      </c>
      <c r="E482" s="15">
        <f>薬品マスタリスト_20260130100542!C480</f>
        <v>3</v>
      </c>
      <c r="F482" s="206" t="str">
        <f>薬品マスタリスト_20260130100542!D480</f>
        <v>散</v>
      </c>
      <c r="G482" s="208" t="str">
        <f>match_results!C479</f>
        <v>トーワチーム配合顆粒（分包品１ｇ）</v>
      </c>
      <c r="H482" s="208">
        <f>match_results!D479</f>
        <v>257</v>
      </c>
      <c r="I482" s="218">
        <f>match_results!E479</f>
        <v>26.315789473684202</v>
      </c>
      <c r="J482" s="225"/>
      <c r="K482" s="15" t="str">
        <f ca="1">IF($J482="〇",OFFSET(集計!B$3,合体!$H482,0),"")</f>
        <v/>
      </c>
      <c r="L482" s="15" t="str">
        <f ca="1">IF($J482="〇",OFFSET(集計!C$3,合体!$H482,0),"")</f>
        <v/>
      </c>
      <c r="M482" s="202" t="str">
        <f ca="1">IF($J482="〇",OFFSET(集計!D$3,合体!$H482,0),"")</f>
        <v/>
      </c>
    </row>
    <row r="483" spans="2:13" x14ac:dyDescent="0.2">
      <c r="B483" s="201">
        <f t="shared" si="7"/>
        <v>479</v>
      </c>
      <c r="C483" s="15" t="str">
        <f>薬品マスタリスト_20260130100542!A481</f>
        <v>ツムラ大建中湯エキス顆粒（医療用）</v>
      </c>
      <c r="D483" s="15" t="str">
        <f>薬品マスタリスト_20260130100542!B481</f>
        <v>ﾂﾑﾗﾀﾞｲｹﾝﾁｭｳﾄｳｴｷｽｶﾘｭｳ(ｲﾘｮｳﾖｳ)</v>
      </c>
      <c r="E483" s="15">
        <f>薬品マスタリスト_20260130100542!C481</f>
        <v>3</v>
      </c>
      <c r="F483" s="206" t="str">
        <f>薬品マスタリスト_20260130100542!D481</f>
        <v>散</v>
      </c>
      <c r="G483" s="208" t="str">
        <f>match_results!C480</f>
        <v>トーワチーム配合顆粒（分包品１ｇ）</v>
      </c>
      <c r="H483" s="208">
        <f>match_results!D480</f>
        <v>257</v>
      </c>
      <c r="I483" s="218">
        <f>match_results!E480</f>
        <v>29.411764705882302</v>
      </c>
      <c r="J483" s="225"/>
      <c r="K483" s="15" t="str">
        <f ca="1">IF($J483="〇",OFFSET(集計!B$3,合体!$H483,0),"")</f>
        <v/>
      </c>
      <c r="L483" s="15" t="str">
        <f ca="1">IF($J483="〇",OFFSET(集計!C$3,合体!$H483,0),"")</f>
        <v/>
      </c>
      <c r="M483" s="202" t="str">
        <f ca="1">IF($J483="〇",OFFSET(集計!D$3,合体!$H483,0),"")</f>
        <v/>
      </c>
    </row>
    <row r="484" spans="2:13" x14ac:dyDescent="0.2">
      <c r="B484" s="201">
        <f t="shared" si="7"/>
        <v>480</v>
      </c>
      <c r="C484" s="15" t="str">
        <f>薬品マスタリスト_20260130100542!A482</f>
        <v>ツムラ酸棗仁湯エキス顆粒（医療用）</v>
      </c>
      <c r="D484" s="15" t="str">
        <f>薬品マスタリスト_20260130100542!B482</f>
        <v>ﾂﾑﾗｻﾝｿｳﾆﾝﾄｳｴｷｽｶﾘｭｳ(ｲﾘｮｳﾖｳ)</v>
      </c>
      <c r="E484" s="15">
        <f>薬品マスタリスト_20260130100542!C482</f>
        <v>3</v>
      </c>
      <c r="F484" s="206" t="str">
        <f>薬品マスタリスト_20260130100542!D482</f>
        <v>散</v>
      </c>
      <c r="G484" s="208" t="str">
        <f>match_results!C481</f>
        <v>トーワチーム配合顆粒（分包品１ｇ）</v>
      </c>
      <c r="H484" s="208">
        <f>match_results!D481</f>
        <v>257</v>
      </c>
      <c r="I484" s="218">
        <f>match_results!E481</f>
        <v>29.411764705882302</v>
      </c>
      <c r="J484" s="225"/>
      <c r="K484" s="15" t="str">
        <f ca="1">IF($J484="〇",OFFSET(集計!B$3,合体!$H484,0),"")</f>
        <v/>
      </c>
      <c r="L484" s="15" t="str">
        <f ca="1">IF($J484="〇",OFFSET(集計!C$3,合体!$H484,0),"")</f>
        <v/>
      </c>
      <c r="M484" s="202" t="str">
        <f ca="1">IF($J484="〇",OFFSET(集計!D$3,合体!$H484,0),"")</f>
        <v/>
      </c>
    </row>
    <row r="485" spans="2:13" x14ac:dyDescent="0.2">
      <c r="B485" s="201">
        <f t="shared" si="7"/>
        <v>481</v>
      </c>
      <c r="C485" s="15" t="str">
        <f>薬品マスタリスト_20260130100542!A483</f>
        <v>ツムラ人参養栄湯エキス顆粒（医療用）</v>
      </c>
      <c r="D485" s="15" t="str">
        <f>薬品マスタリスト_20260130100542!B483</f>
        <v>ﾂﾑﾗﾆﾝｼﾞﾝﾖｳｴｲﾄｳｴｷｽｶﾘｭｳ(ｲﾘｮｳﾖｳ)</v>
      </c>
      <c r="E485" s="15">
        <f>薬品マスタリスト_20260130100542!C483</f>
        <v>3</v>
      </c>
      <c r="F485" s="206" t="str">
        <f>薬品マスタリスト_20260130100542!D483</f>
        <v>散</v>
      </c>
      <c r="G485" s="208" t="str">
        <f>match_results!C482</f>
        <v>トーワチーム配合顆粒（分包品１ｇ）</v>
      </c>
      <c r="H485" s="208">
        <f>match_results!D482</f>
        <v>257</v>
      </c>
      <c r="I485" s="218">
        <f>match_results!E482</f>
        <v>28.571428571428498</v>
      </c>
      <c r="J485" s="225"/>
      <c r="K485" s="15" t="str">
        <f ca="1">IF($J485="〇",OFFSET(集計!B$3,合体!$H485,0),"")</f>
        <v/>
      </c>
      <c r="L485" s="15" t="str">
        <f ca="1">IF($J485="〇",OFFSET(集計!C$3,合体!$H485,0),"")</f>
        <v/>
      </c>
      <c r="M485" s="202" t="str">
        <f ca="1">IF($J485="〇",OFFSET(集計!D$3,合体!$H485,0),"")</f>
        <v/>
      </c>
    </row>
    <row r="486" spans="2:13" x14ac:dyDescent="0.2">
      <c r="B486" s="201">
        <f t="shared" si="7"/>
        <v>482</v>
      </c>
      <c r="C486" s="15" t="str">
        <f>薬品マスタリスト_20260130100542!A484</f>
        <v>ツムラ猪苓湯合四物湯エキス顆粒（医療用）</v>
      </c>
      <c r="D486" s="15" t="str">
        <f>薬品マスタリスト_20260130100542!B484</f>
        <v>ﾂﾑﾗﾁﾖﾚｲﾄｳｺﾞｳｼﾓﾂﾄｳｴｷｽｶﾘﾕｳｲﾘﾖｳﾖｳ</v>
      </c>
      <c r="E486" s="15">
        <f>薬品マスタリスト_20260130100542!C484</f>
        <v>5</v>
      </c>
      <c r="F486" s="206" t="str">
        <f>薬品マスタリスト_20260130100542!D484</f>
        <v>顆粒</v>
      </c>
      <c r="G486" s="208" t="str">
        <f>match_results!C483</f>
        <v>トーワチーム配合顆粒（分包品１ｇ）</v>
      </c>
      <c r="H486" s="208">
        <f>match_results!D483</f>
        <v>257</v>
      </c>
      <c r="I486" s="218">
        <f>match_results!E483</f>
        <v>32.4324324324324</v>
      </c>
      <c r="J486" s="225"/>
      <c r="K486" s="15" t="str">
        <f ca="1">IF($J486="〇",OFFSET(集計!B$3,合体!$H486,0),"")</f>
        <v/>
      </c>
      <c r="L486" s="15" t="str">
        <f ca="1">IF($J486="〇",OFFSET(集計!C$3,合体!$H486,0),"")</f>
        <v/>
      </c>
      <c r="M486" s="202" t="str">
        <f ca="1">IF($J486="〇",OFFSET(集計!D$3,合体!$H486,0),"")</f>
        <v/>
      </c>
    </row>
    <row r="487" spans="2:13" x14ac:dyDescent="0.2">
      <c r="B487" s="201">
        <f t="shared" si="7"/>
        <v>483</v>
      </c>
      <c r="C487" s="15" t="str">
        <f>薬品マスタリスト_20260130100542!A485</f>
        <v>ツムラ大承気湯エキス顆粒（医療用）</v>
      </c>
      <c r="D487" s="15" t="str">
        <f>薬品マスタリスト_20260130100542!B485</f>
        <v>ﾂﾑﾗﾀﾞｲｼﾞｮｳｷﾄｳｴｷｽｶﾘｭｳ(ｲﾘｮｳﾖｳ)</v>
      </c>
      <c r="E487" s="15">
        <f>薬品マスタリスト_20260130100542!C485</f>
        <v>3</v>
      </c>
      <c r="F487" s="206" t="str">
        <f>薬品マスタリスト_20260130100542!D485</f>
        <v>散</v>
      </c>
      <c r="G487" s="208" t="str">
        <f>match_results!C484</f>
        <v>トーワチーム配合顆粒（分包品１ｇ）</v>
      </c>
      <c r="H487" s="208">
        <f>match_results!D484</f>
        <v>257</v>
      </c>
      <c r="I487" s="218">
        <f>match_results!E484</f>
        <v>29.411764705882302</v>
      </c>
      <c r="J487" s="225"/>
      <c r="K487" s="15" t="str">
        <f ca="1">IF($J487="〇",OFFSET(集計!B$3,合体!$H487,0),"")</f>
        <v/>
      </c>
      <c r="L487" s="15" t="str">
        <f ca="1">IF($J487="〇",OFFSET(集計!C$3,合体!$H487,0),"")</f>
        <v/>
      </c>
      <c r="M487" s="202" t="str">
        <f ca="1">IF($J487="〇",OFFSET(集計!D$3,合体!$H487,0),"")</f>
        <v/>
      </c>
    </row>
    <row r="488" spans="2:13" x14ac:dyDescent="0.2">
      <c r="B488" s="201">
        <f t="shared" si="7"/>
        <v>484</v>
      </c>
      <c r="C488" s="15" t="str">
        <f>薬品マスタリスト_20260130100542!A486</f>
        <v>ツロブテロールテープ１ｍｇ「サワイ」</v>
      </c>
      <c r="D488" s="15" t="str">
        <f>薬品マスタリスト_20260130100542!B486</f>
        <v>ﾂﾛﾌﾞﾃﾛｰﾙﾃｰﾌﾟ1mg｢ｻﾜｲ｣</v>
      </c>
      <c r="E488" s="15">
        <f>薬品マスタリスト_20260130100542!C486</f>
        <v>19</v>
      </c>
      <c r="F488" s="206" t="str">
        <f>薬品マスタリスト_20260130100542!D486</f>
        <v>貼付剤</v>
      </c>
      <c r="G488" s="208" t="str">
        <f>match_results!C485</f>
        <v>ツロブテロールテープ１ｍｇ「サワイ」　７０枚</v>
      </c>
      <c r="H488" s="208">
        <f>match_results!D485</f>
        <v>325</v>
      </c>
      <c r="I488" s="218">
        <f>match_results!E485</f>
        <v>90</v>
      </c>
      <c r="J488" s="225"/>
      <c r="K488" s="15" t="str">
        <f ca="1">IF($J488="〇",OFFSET(集計!B$3,合体!$H488,0),"")</f>
        <v/>
      </c>
      <c r="L488" s="15" t="str">
        <f ca="1">IF($J488="〇",OFFSET(集計!C$3,合体!$H488,0),"")</f>
        <v/>
      </c>
      <c r="M488" s="202" t="str">
        <f ca="1">IF($J488="〇",OFFSET(集計!D$3,合体!$H488,0),"")</f>
        <v/>
      </c>
    </row>
    <row r="489" spans="2:13" x14ac:dyDescent="0.2">
      <c r="B489" s="201">
        <f t="shared" si="7"/>
        <v>485</v>
      </c>
      <c r="C489" s="15" t="str">
        <f>薬品マスタリスト_20260130100542!A487</f>
        <v>ティーエスワン配合カプセルＴ２０</v>
      </c>
      <c r="D489" s="15" t="str">
        <f>薬品マスタリスト_20260130100542!B487</f>
        <v>ﾃｨｰｴｽﾜﾝﾊｲｺﾞｳｶﾌﾟｾﾙT20</v>
      </c>
      <c r="E489" s="15">
        <f>薬品マスタリスト_20260130100542!C487</f>
        <v>2</v>
      </c>
      <c r="F489" s="206" t="str">
        <f>薬品マスタリスト_20260130100542!D487</f>
        <v>カプセル</v>
      </c>
      <c r="G489" s="208" t="str">
        <f>match_results!C486</f>
        <v>アミティーザカプセル</v>
      </c>
      <c r="H489" s="208">
        <f>match_results!D486</f>
        <v>653</v>
      </c>
      <c r="I489" s="218">
        <f>match_results!E486</f>
        <v>53.846153846153797</v>
      </c>
      <c r="J489" s="225"/>
      <c r="K489" s="15" t="str">
        <f ca="1">IF($J489="〇",OFFSET(集計!B$3,合体!$H489,0),"")</f>
        <v/>
      </c>
      <c r="L489" s="15" t="str">
        <f ca="1">IF($J489="〇",OFFSET(集計!C$3,合体!$H489,0),"")</f>
        <v/>
      </c>
      <c r="M489" s="202" t="str">
        <f ca="1">IF($J489="〇",OFFSET(集計!D$3,合体!$H489,0),"")</f>
        <v/>
      </c>
    </row>
    <row r="490" spans="2:13" x14ac:dyDescent="0.2">
      <c r="B490" s="201">
        <f t="shared" si="7"/>
        <v>486</v>
      </c>
      <c r="C490" s="15" t="str">
        <f>薬品マスタリスト_20260130100542!A488</f>
        <v>ｄ－クロルフェニラミンマレイン酸塩徐放錠６ｍｇ「武田テバ」</v>
      </c>
      <c r="D490" s="15" t="str">
        <f>薬品マスタリスト_20260130100542!B488</f>
        <v>d-ｸﾛﾙﾌｪﾆﾗﾐﾝﾏﾚｲﾝｻﾝｴﾝｼﾞｮﾎｳｼﾞｮｳ6mg｢武田ﾃﾊﾞ｣</v>
      </c>
      <c r="E490" s="15">
        <f>薬品マスタリスト_20260130100542!C488</f>
        <v>1</v>
      </c>
      <c r="F490" s="206" t="str">
        <f>薬品マスタリスト_20260130100542!D488</f>
        <v>錠剤</v>
      </c>
      <c r="G490" s="208" t="str">
        <f>match_results!C487</f>
        <v>クロフェクトン錠２５ｍｇ</v>
      </c>
      <c r="H490" s="208">
        <f>match_results!D487</f>
        <v>189</v>
      </c>
      <c r="I490" s="218">
        <f>match_results!E487</f>
        <v>39.024390243902403</v>
      </c>
      <c r="J490" s="225"/>
      <c r="K490" s="15" t="str">
        <f ca="1">IF($J490="〇",OFFSET(集計!B$3,合体!$H490,0),"")</f>
        <v/>
      </c>
      <c r="L490" s="15" t="str">
        <f ca="1">IF($J490="〇",OFFSET(集計!C$3,合体!$H490,0),"")</f>
        <v/>
      </c>
      <c r="M490" s="202" t="str">
        <f ca="1">IF($J490="〇",OFFSET(集計!D$3,合体!$H490,0),"")</f>
        <v/>
      </c>
    </row>
    <row r="491" spans="2:13" x14ac:dyDescent="0.2">
      <c r="B491" s="201">
        <f t="shared" si="7"/>
        <v>487</v>
      </c>
      <c r="C491" s="15" t="str">
        <f>薬品マスタリスト_20260130100542!A489</f>
        <v>デエビゴ錠２．５ｍｇ</v>
      </c>
      <c r="D491" s="15" t="str">
        <f>薬品マスタリスト_20260130100542!B489</f>
        <v>ﾃﾞｴﾋﾞｺﾞｼﾞｮｳ2.5mg</v>
      </c>
      <c r="E491" s="15">
        <f>薬品マスタリスト_20260130100542!C489</f>
        <v>1</v>
      </c>
      <c r="F491" s="206" t="str">
        <f>薬品マスタリスト_20260130100542!D489</f>
        <v>錠剤</v>
      </c>
      <c r="G491" s="208" t="str">
        <f>match_results!C488</f>
        <v>デエビゴ錠２．５ｍｇ</v>
      </c>
      <c r="H491" s="208">
        <f>match_results!D488</f>
        <v>605</v>
      </c>
      <c r="I491" s="218">
        <f>match_results!E488</f>
        <v>100</v>
      </c>
      <c r="J491" s="225" t="s">
        <v>3917</v>
      </c>
      <c r="K491" s="15">
        <f ca="1">IF($J491="〇",OFFSET(集計!B$3,合体!$H491,0),"")</f>
        <v>44.8</v>
      </c>
      <c r="L491" s="15">
        <f ca="1">IF($J491="〇",OFFSET(集計!C$3,合体!$H491,0),"")</f>
        <v>791.66666666666674</v>
      </c>
      <c r="M491" s="202">
        <f ca="1">IF($J491="〇",OFFSET(集計!D$3,合体!$H491,0),"")</f>
        <v>35466.666666666664</v>
      </c>
    </row>
    <row r="492" spans="2:13" x14ac:dyDescent="0.2">
      <c r="B492" s="201">
        <f t="shared" si="7"/>
        <v>488</v>
      </c>
      <c r="C492" s="15" t="str">
        <f>薬品マスタリスト_20260130100542!A490</f>
        <v>デエビゴ錠５ｍｇ</v>
      </c>
      <c r="D492" s="15" t="str">
        <f>薬品マスタリスト_20260130100542!B490</f>
        <v>ﾃﾞｴﾋﾞｺﾞｼﾞｮｳ5mg</v>
      </c>
      <c r="E492" s="15">
        <f>薬品マスタリスト_20260130100542!C490</f>
        <v>1</v>
      </c>
      <c r="F492" s="206" t="str">
        <f>薬品マスタリスト_20260130100542!D490</f>
        <v>錠剤</v>
      </c>
      <c r="G492" s="208" t="str">
        <f>match_results!C489</f>
        <v>デエビゴ錠５ｍｇ</v>
      </c>
      <c r="H492" s="208">
        <f>match_results!D489</f>
        <v>663</v>
      </c>
      <c r="I492" s="218">
        <f>match_results!E489</f>
        <v>100</v>
      </c>
      <c r="J492" s="225" t="s">
        <v>3917</v>
      </c>
      <c r="K492" s="15">
        <f ca="1">IF($J492="〇",OFFSET(集計!B$3,合体!$H492,0),"")</f>
        <v>71.12</v>
      </c>
      <c r="L492" s="15">
        <f ca="1">IF($J492="〇",OFFSET(集計!C$3,合体!$H492,0),"")</f>
        <v>1937.3333333333335</v>
      </c>
      <c r="M492" s="202">
        <f ca="1">IF($J492="〇",OFFSET(集計!D$3,合体!$H492,0),"")</f>
        <v>137783.1466666667</v>
      </c>
    </row>
    <row r="493" spans="2:13" x14ac:dyDescent="0.2">
      <c r="B493" s="201">
        <f t="shared" si="7"/>
        <v>489</v>
      </c>
      <c r="C493" s="15" t="str">
        <f>薬品マスタリスト_20260130100542!A491</f>
        <v>テオフィリン徐放Ｕ錠２００ｍｇ「トーワ」</v>
      </c>
      <c r="D493" s="15" t="str">
        <f>薬品マスタリスト_20260130100542!B491</f>
        <v>ﾃｵﾌｨﾘﾝ徐放Uｼﾞｮｳ200mg｢ﾄｰﾜ｣</v>
      </c>
      <c r="E493" s="15">
        <f>薬品マスタリスト_20260130100542!C491</f>
        <v>1</v>
      </c>
      <c r="F493" s="206" t="str">
        <f>薬品マスタリスト_20260130100542!D491</f>
        <v>錠剤</v>
      </c>
      <c r="G493" s="208" t="str">
        <f>match_results!C490</f>
        <v>テオフィリン徐放Ｕ錠２００ｍｇ</v>
      </c>
      <c r="H493" s="208">
        <f>match_results!D490</f>
        <v>145</v>
      </c>
      <c r="I493" s="218">
        <f>match_results!E490</f>
        <v>85.714285714285694</v>
      </c>
      <c r="J493" s="225"/>
      <c r="K493" s="15" t="str">
        <f ca="1">IF($J493="〇",OFFSET(集計!B$3,合体!$H493,0),"")</f>
        <v/>
      </c>
      <c r="L493" s="15" t="str">
        <f ca="1">IF($J493="〇",OFFSET(集計!C$3,合体!$H493,0),"")</f>
        <v/>
      </c>
      <c r="M493" s="202" t="str">
        <f ca="1">IF($J493="〇",OFFSET(集計!D$3,合体!$H493,0),"")</f>
        <v/>
      </c>
    </row>
    <row r="494" spans="2:13" x14ac:dyDescent="0.2">
      <c r="B494" s="201">
        <f t="shared" si="7"/>
        <v>490</v>
      </c>
      <c r="C494" s="15" t="str">
        <f>薬品マスタリスト_20260130100542!A492</f>
        <v>デカドロン注射液３．３ｍｇ</v>
      </c>
      <c r="D494" s="15" t="str">
        <f>薬品マスタリスト_20260130100542!B492</f>
        <v>ﾃﾞｶﾄﾞﾛﾝﾁﾕｳｼﾔｴｷ3.3MG</v>
      </c>
      <c r="E494" s="15">
        <f>薬品マスタリスト_20260130100542!C492</f>
        <v>25</v>
      </c>
      <c r="F494" s="206" t="str">
        <f>薬品マスタリスト_20260130100542!D492</f>
        <v>注射剤</v>
      </c>
      <c r="G494" s="208" t="str">
        <f>match_results!C491</f>
        <v>デカドロン注射液３．３ｍｇ</v>
      </c>
      <c r="H494" s="208">
        <f>match_results!D491</f>
        <v>109</v>
      </c>
      <c r="I494" s="218">
        <f>match_results!E491</f>
        <v>100</v>
      </c>
      <c r="J494" s="225" t="s">
        <v>3917</v>
      </c>
      <c r="K494" s="15">
        <f ca="1">IF($J494="〇",OFFSET(集計!B$3,合体!$H494,0),"")</f>
        <v>154.1</v>
      </c>
      <c r="L494" s="15">
        <f ca="1">IF($J494="〇",OFFSET(集計!C$3,合体!$H494,0),"")</f>
        <v>10</v>
      </c>
      <c r="M494" s="202">
        <f ca="1">IF($J494="〇",OFFSET(集計!D$3,合体!$H494,0),"")</f>
        <v>1541</v>
      </c>
    </row>
    <row r="495" spans="2:13" x14ac:dyDescent="0.2">
      <c r="B495" s="201">
        <f t="shared" si="7"/>
        <v>491</v>
      </c>
      <c r="C495" s="15" t="str">
        <f>薬品マスタリスト_20260130100542!A493</f>
        <v>デキサメタゾン口腔用軟膏０．１％「日医工」</v>
      </c>
      <c r="D495" s="15" t="str">
        <f>薬品マスタリスト_20260130100542!B493</f>
        <v>ﾃﾞｷｻﾒﾀｿﾞﾝｺｳｸｳﾖｳﾅﾝｺｳ0.1%｢ﾆﾁｲｺｳ｣</v>
      </c>
      <c r="E495" s="15">
        <f>薬品マスタリスト_20260130100542!C493</f>
        <v>14</v>
      </c>
      <c r="F495" s="206" t="str">
        <f>薬品マスタリスト_20260130100542!D493</f>
        <v>軟膏</v>
      </c>
      <c r="G495" s="208" t="str">
        <f>match_results!C492</f>
        <v>デキサメタゾン口腔用軟膏</v>
      </c>
      <c r="H495" s="208">
        <f>match_results!D492</f>
        <v>267</v>
      </c>
      <c r="I495" s="218">
        <f>match_results!E492</f>
        <v>72.727272727272705</v>
      </c>
      <c r="J495" s="225"/>
      <c r="K495" s="15" t="str">
        <f ca="1">IF($J495="〇",OFFSET(集計!B$3,合体!$H495,0),"")</f>
        <v/>
      </c>
      <c r="L495" s="15" t="str">
        <f ca="1">IF($J495="〇",OFFSET(集計!C$3,合体!$H495,0),"")</f>
        <v/>
      </c>
      <c r="M495" s="202" t="str">
        <f ca="1">IF($J495="〇",OFFSET(集計!D$3,合体!$H495,0),"")</f>
        <v/>
      </c>
    </row>
    <row r="496" spans="2:13" x14ac:dyDescent="0.2">
      <c r="B496" s="201">
        <f t="shared" si="7"/>
        <v>492</v>
      </c>
      <c r="C496" s="15" t="str">
        <f>薬品マスタリスト_20260130100542!A494</f>
        <v>デキストロメトルファン臭化水素酸塩錠１５ｍｇ「トーワ」</v>
      </c>
      <c r="D496" s="15" t="str">
        <f>薬品マスタリスト_20260130100542!B494</f>
        <v>ﾃﾞｷｽﾄﾛﾒﾄﾙﾌｱﾝｼﾕｳｶｽｲｿｻﾝｴﾝｼﾞﾖｳ15MGﾄ-ﾜ</v>
      </c>
      <c r="E496" s="15">
        <f>薬品マスタリスト_20260130100542!C494</f>
        <v>1</v>
      </c>
      <c r="F496" s="206" t="str">
        <f>薬品マスタリスト_20260130100542!D494</f>
        <v>錠剤</v>
      </c>
      <c r="G496" s="208" t="str">
        <f>match_results!C493</f>
        <v>エスゾピクロン錠１ｍｇ「トーワ」</v>
      </c>
      <c r="H496" s="208">
        <f>match_results!D493</f>
        <v>366</v>
      </c>
      <c r="I496" s="218">
        <f>match_results!E493</f>
        <v>55.813953488372</v>
      </c>
      <c r="J496" s="225"/>
      <c r="K496" s="15" t="str">
        <f ca="1">IF($J496="〇",OFFSET(集計!B$3,合体!$H496,0),"")</f>
        <v/>
      </c>
      <c r="L496" s="15" t="str">
        <f ca="1">IF($J496="〇",OFFSET(集計!C$3,合体!$H496,0),"")</f>
        <v/>
      </c>
      <c r="M496" s="202" t="str">
        <f ca="1">IF($J496="〇",OFFSET(集計!D$3,合体!$H496,0),"")</f>
        <v/>
      </c>
    </row>
    <row r="497" spans="2:13" x14ac:dyDescent="0.2">
      <c r="B497" s="201">
        <f t="shared" si="7"/>
        <v>493</v>
      </c>
      <c r="C497" s="15" t="str">
        <f>薬品マスタリスト_20260130100542!A495</f>
        <v>テクスメテン ユニバーサル クリーム０．１％</v>
      </c>
      <c r="D497" s="15" t="str">
        <f>薬品マスタリスト_20260130100542!B495</f>
        <v>ﾃｸｽﾒﾃﾝﾕﾆﾊﾞ-ｻﾙｸﾘ-ﾑ0.1%</v>
      </c>
      <c r="E497" s="15">
        <f>薬品マスタリスト_20260130100542!C495</f>
        <v>15</v>
      </c>
      <c r="F497" s="206" t="str">
        <f>薬品マスタリスト_20260130100542!D495</f>
        <v>クリーム</v>
      </c>
      <c r="G497" s="208" t="str">
        <f>match_results!C494</f>
        <v>テクスメテンユニバーサルクリーム０．１％</v>
      </c>
      <c r="H497" s="208">
        <f>match_results!D494</f>
        <v>86</v>
      </c>
      <c r="I497" s="218">
        <f>match_results!E494</f>
        <v>57.142857142857103</v>
      </c>
      <c r="J497" s="225"/>
      <c r="K497" s="15" t="str">
        <f ca="1">IF($J497="〇",OFFSET(集計!B$3,合体!$H497,0),"")</f>
        <v/>
      </c>
      <c r="L497" s="15" t="str">
        <f ca="1">IF($J497="〇",OFFSET(集計!C$3,合体!$H497,0),"")</f>
        <v/>
      </c>
      <c r="M497" s="202" t="str">
        <f ca="1">IF($J497="〇",OFFSET(集計!D$3,合体!$H497,0),"")</f>
        <v/>
      </c>
    </row>
    <row r="498" spans="2:13" x14ac:dyDescent="0.2">
      <c r="B498" s="201">
        <f t="shared" si="7"/>
        <v>494</v>
      </c>
      <c r="C498" s="15" t="str">
        <f>薬品マスタリスト_20260130100542!A496</f>
        <v>ﾃｽﾄﾔｸﾋﾝ9999999999999999999</v>
      </c>
      <c r="D498" s="15" t="str">
        <f>薬品マスタリスト_20260130100542!B496</f>
        <v>ﾃｽﾄﾔｸﾋﾝ9999999999999999999</v>
      </c>
      <c r="E498" s="15">
        <f>薬品マスタリスト_20260130100542!C496</f>
        <v>1</v>
      </c>
      <c r="F498" s="206" t="str">
        <f>薬品マスタリスト_20260130100542!D496</f>
        <v>錠剤</v>
      </c>
      <c r="G498" s="208" t="str">
        <f>match_results!C495</f>
        <v>アキネトン細粒１％</v>
      </c>
      <c r="H498" s="208">
        <f>match_results!D495</f>
        <v>1</v>
      </c>
      <c r="I498" s="218">
        <f>match_results!E495</f>
        <v>0</v>
      </c>
      <c r="J498" s="225"/>
      <c r="K498" s="15" t="str">
        <f ca="1">IF($J498="〇",OFFSET(集計!B$3,合体!$H498,0),"")</f>
        <v/>
      </c>
      <c r="L498" s="15" t="str">
        <f ca="1">IF($J498="〇",OFFSET(集計!C$3,合体!$H498,0),"")</f>
        <v/>
      </c>
      <c r="M498" s="202" t="str">
        <f ca="1">IF($J498="〇",OFFSET(集計!D$3,合体!$H498,0),"")</f>
        <v/>
      </c>
    </row>
    <row r="499" spans="2:13" x14ac:dyDescent="0.2">
      <c r="B499" s="201">
        <f t="shared" si="7"/>
        <v>495</v>
      </c>
      <c r="C499" s="15" t="str">
        <f>薬品マスタリスト_20260130100542!A497</f>
        <v>アイトロール錠１０ｍｇ</v>
      </c>
      <c r="D499" s="15" t="str">
        <f>薬品マスタリスト_20260130100542!B497</f>
        <v>ｱｲﾄﾛ-ﾙｼﾞﾖｳ10MG</v>
      </c>
      <c r="E499" s="15">
        <f>薬品マスタリスト_20260130100542!C497</f>
        <v>1</v>
      </c>
      <c r="F499" s="206" t="str">
        <f>薬品マスタリスト_20260130100542!D497</f>
        <v>錠剤</v>
      </c>
      <c r="G499" s="208" t="str">
        <f>match_results!C496</f>
        <v>アロプリノール錠１００ｍｇ</v>
      </c>
      <c r="H499" s="208">
        <f>match_results!D496</f>
        <v>520</v>
      </c>
      <c r="I499" s="218">
        <f>match_results!E496</f>
        <v>75</v>
      </c>
      <c r="J499" s="225"/>
      <c r="K499" s="15" t="str">
        <f ca="1">IF($J499="〇",OFFSET(集計!B$3,合体!$H499,0),"")</f>
        <v/>
      </c>
      <c r="L499" s="15" t="str">
        <f ca="1">IF($J499="〇",OFFSET(集計!C$3,合体!$H499,0),"")</f>
        <v/>
      </c>
      <c r="M499" s="202" t="str">
        <f ca="1">IF($J499="〇",OFFSET(集計!D$3,合体!$H499,0),"")</f>
        <v/>
      </c>
    </row>
    <row r="500" spans="2:13" x14ac:dyDescent="0.2">
      <c r="B500" s="201">
        <f t="shared" si="7"/>
        <v>496</v>
      </c>
      <c r="C500" s="15" t="str">
        <f>薬品マスタリスト_20260130100542!A498</f>
        <v>デタントール０．０１％点眼液</v>
      </c>
      <c r="D500" s="15" t="str">
        <f>薬品マスタリスト_20260130100542!B498</f>
        <v>ﾃﾞﾀﾝﾄｰﾙ0.01%ﾃﾝｶﾞﾝｴｷ</v>
      </c>
      <c r="E500" s="15">
        <f>薬品マスタリスト_20260130100542!C498</f>
        <v>21</v>
      </c>
      <c r="F500" s="206" t="str">
        <f>薬品マスタリスト_20260130100542!D498</f>
        <v>点眼剤</v>
      </c>
      <c r="G500" s="208" t="str">
        <f>match_results!C497</f>
        <v>デタントール点眼０．０１％</v>
      </c>
      <c r="H500" s="208">
        <f>match_results!D497</f>
        <v>368</v>
      </c>
      <c r="I500" s="218">
        <f>match_results!E497</f>
        <v>81.481481481481495</v>
      </c>
      <c r="J500" s="225"/>
      <c r="K500" s="15" t="str">
        <f ca="1">IF($J500="〇",OFFSET(集計!B$3,合体!$H500,0),"")</f>
        <v/>
      </c>
      <c r="L500" s="15" t="str">
        <f ca="1">IF($J500="〇",OFFSET(集計!C$3,合体!$H500,0),"")</f>
        <v/>
      </c>
      <c r="M500" s="202" t="str">
        <f ca="1">IF($J500="〇",OFFSET(集計!D$3,合体!$H500,0),"")</f>
        <v/>
      </c>
    </row>
    <row r="501" spans="2:13" x14ac:dyDescent="0.2">
      <c r="B501" s="201">
        <f t="shared" si="7"/>
        <v>497</v>
      </c>
      <c r="C501" s="15" t="str">
        <f>薬品マスタリスト_20260130100542!A499</f>
        <v>テトラミド錠１０ｍｇ</v>
      </c>
      <c r="D501" s="15" t="str">
        <f>薬品マスタリスト_20260130100542!B499</f>
        <v>ﾃﾄﾗﾐﾄﾞｼﾞｮｳ10mg</v>
      </c>
      <c r="E501" s="15">
        <f>薬品マスタリスト_20260130100542!C499</f>
        <v>1</v>
      </c>
      <c r="F501" s="206" t="str">
        <f>薬品マスタリスト_20260130100542!D499</f>
        <v>錠剤</v>
      </c>
      <c r="G501" s="208" t="str">
        <f>match_results!C498</f>
        <v>テトラミド錠１０ｍｇ　</v>
      </c>
      <c r="H501" s="208">
        <f>match_results!D498</f>
        <v>115</v>
      </c>
      <c r="I501" s="218">
        <f>match_results!E498</f>
        <v>100</v>
      </c>
      <c r="J501" s="225" t="s">
        <v>3917</v>
      </c>
      <c r="K501" s="15">
        <f ca="1">IF($J501="〇",OFFSET(集計!B$3,合体!$H501,0),"")</f>
        <v>9.27</v>
      </c>
      <c r="L501" s="15">
        <f ca="1">IF($J501="〇",OFFSET(集計!C$3,合体!$H501,0),"")</f>
        <v>173</v>
      </c>
      <c r="M501" s="202">
        <f ca="1">IF($J501="〇",OFFSET(集計!D$3,合体!$H501,0),"")</f>
        <v>1603.71</v>
      </c>
    </row>
    <row r="502" spans="2:13" x14ac:dyDescent="0.2">
      <c r="B502" s="201">
        <f t="shared" si="7"/>
        <v>498</v>
      </c>
      <c r="C502" s="15" t="str">
        <f>薬品マスタリスト_20260130100542!A500</f>
        <v>テトラミド錠３０ｍｇ</v>
      </c>
      <c r="D502" s="15" t="str">
        <f>薬品マスタリスト_20260130100542!B500</f>
        <v>ﾃﾄﾗﾐﾄﾞｼﾞﾖｳ30MG</v>
      </c>
      <c r="E502" s="15">
        <f>薬品マスタリスト_20260130100542!C500</f>
        <v>1</v>
      </c>
      <c r="F502" s="206" t="str">
        <f>薬品マスタリスト_20260130100542!D500</f>
        <v>錠剤</v>
      </c>
      <c r="G502" s="208" t="str">
        <f>match_results!C499</f>
        <v>テトラミド錠３０ｍｇ　</v>
      </c>
      <c r="H502" s="208">
        <f>match_results!D499</f>
        <v>511</v>
      </c>
      <c r="I502" s="218">
        <f>match_results!E499</f>
        <v>100</v>
      </c>
      <c r="J502" s="225" t="s">
        <v>3917</v>
      </c>
      <c r="K502" s="15">
        <f ca="1">IF($J502="〇",OFFSET(集計!B$3,合体!$H502,0),"")</f>
        <v>24.3</v>
      </c>
      <c r="L502" s="15">
        <f ca="1">IF($J502="〇",OFFSET(集計!C$3,合体!$H502,0),"")</f>
        <v>600</v>
      </c>
      <c r="M502" s="202">
        <f ca="1">IF($J502="〇",OFFSET(集計!D$3,合体!$H502,0),"")</f>
        <v>14580</v>
      </c>
    </row>
    <row r="503" spans="2:13" x14ac:dyDescent="0.2">
      <c r="B503" s="201">
        <f t="shared" si="7"/>
        <v>499</v>
      </c>
      <c r="C503" s="15" t="str">
        <f>薬品マスタリスト_20260130100542!A501</f>
        <v>デノタスチュアブル配合錠</v>
      </c>
      <c r="D503" s="15" t="str">
        <f>薬品マスタリスト_20260130100542!B501</f>
        <v>ﾃﾞﾉﾀｽﾁｭｱﾌﾞﾙﾊｲｺﾞｳｼﾞｮｳ</v>
      </c>
      <c r="E503" s="15">
        <f>薬品マスタリスト_20260130100542!C501</f>
        <v>1</v>
      </c>
      <c r="F503" s="206" t="str">
        <f>薬品マスタリスト_20260130100542!D501</f>
        <v>錠剤</v>
      </c>
      <c r="G503" s="208" t="str">
        <f>match_results!C500</f>
        <v>デノタスチュアブル配合</v>
      </c>
      <c r="H503" s="208">
        <f>match_results!D500</f>
        <v>29</v>
      </c>
      <c r="I503" s="218">
        <f>match_results!E500</f>
        <v>95.652173913043399</v>
      </c>
      <c r="J503" s="225"/>
      <c r="K503" s="15" t="str">
        <f ca="1">IF($J503="〇",OFFSET(集計!B$3,合体!$H503,0),"")</f>
        <v/>
      </c>
      <c r="L503" s="15" t="str">
        <f ca="1">IF($J503="〇",OFFSET(集計!C$3,合体!$H503,0),"")</f>
        <v/>
      </c>
      <c r="M503" s="202" t="str">
        <f ca="1">IF($J503="〇",OFFSET(集計!D$3,合体!$H503,0),"")</f>
        <v/>
      </c>
    </row>
    <row r="504" spans="2:13" x14ac:dyDescent="0.2">
      <c r="B504" s="201">
        <f t="shared" si="7"/>
        <v>500</v>
      </c>
      <c r="C504" s="15" t="str">
        <f>薬品マスタリスト_20260130100542!A502</f>
        <v>デパケンシロップ５％</v>
      </c>
      <c r="D504" s="15" t="str">
        <f>薬品マスタリスト_20260130100542!B502</f>
        <v>ﾃﾞﾊﾟｹﾝｼﾛｯﾌﾟ5%</v>
      </c>
      <c r="E504" s="15">
        <f>薬品マスタリスト_20260130100542!C502</f>
        <v>6</v>
      </c>
      <c r="F504" s="206" t="str">
        <f>薬品マスタリスト_20260130100542!D502</f>
        <v>シロップ</v>
      </c>
      <c r="G504" s="208" t="str">
        <f>match_results!C501</f>
        <v>デパケンＲ錠２００</v>
      </c>
      <c r="H504" s="208">
        <f>match_results!D501</f>
        <v>524</v>
      </c>
      <c r="I504" s="218">
        <f>match_results!E501</f>
        <v>42.105263157894697</v>
      </c>
      <c r="J504" s="225"/>
      <c r="K504" s="15" t="str">
        <f ca="1">IF($J504="〇",OFFSET(集計!B$3,合体!$H504,0),"")</f>
        <v/>
      </c>
      <c r="L504" s="15" t="str">
        <f ca="1">IF($J504="〇",OFFSET(集計!C$3,合体!$H504,0),"")</f>
        <v/>
      </c>
      <c r="M504" s="202" t="str">
        <f ca="1">IF($J504="〇",OFFSET(集計!D$3,合体!$H504,0),"")</f>
        <v/>
      </c>
    </row>
    <row r="505" spans="2:13" x14ac:dyDescent="0.2">
      <c r="B505" s="201">
        <f t="shared" si="7"/>
        <v>501</v>
      </c>
      <c r="C505" s="15" t="str">
        <f>薬品マスタリスト_20260130100542!A503</f>
        <v>デパケンＲ錠２００ｍｇ</v>
      </c>
      <c r="D505" s="15" t="str">
        <f>薬品マスタリスト_20260130100542!B503</f>
        <v>ﾃﾞﾊﾟｹﾝRｼﾞﾖｳ200MG</v>
      </c>
      <c r="E505" s="15">
        <f>薬品マスタリスト_20260130100542!C503</f>
        <v>1</v>
      </c>
      <c r="F505" s="206" t="str">
        <f>薬品マスタリスト_20260130100542!D503</f>
        <v>錠剤</v>
      </c>
      <c r="G505" s="208" t="str">
        <f>match_results!C502</f>
        <v>デパケンＲ錠２００</v>
      </c>
      <c r="H505" s="208">
        <f>match_results!D502</f>
        <v>524</v>
      </c>
      <c r="I505" s="218">
        <f>match_results!E502</f>
        <v>90</v>
      </c>
      <c r="J505" s="225"/>
      <c r="K505" s="15" t="str">
        <f ca="1">IF($J505="〇",OFFSET(集計!B$3,合体!$H505,0),"")</f>
        <v/>
      </c>
      <c r="L505" s="15" t="str">
        <f ca="1">IF($J505="〇",OFFSET(集計!C$3,合体!$H505,0),"")</f>
        <v/>
      </c>
      <c r="M505" s="202" t="str">
        <f ca="1">IF($J505="〇",OFFSET(集計!D$3,合体!$H505,0),"")</f>
        <v/>
      </c>
    </row>
    <row r="506" spans="2:13" x14ac:dyDescent="0.2">
      <c r="B506" s="201">
        <f t="shared" si="7"/>
        <v>502</v>
      </c>
      <c r="C506" s="15" t="str">
        <f>薬品マスタリスト_20260130100542!A504</f>
        <v>デパス錠０．５ｍｇ</v>
      </c>
      <c r="D506" s="15" t="str">
        <f>薬品マスタリスト_20260130100542!B504</f>
        <v>ﾃﾞﾊﾟｽｼﾞｮｳ0.5mg</v>
      </c>
      <c r="E506" s="15">
        <f>薬品マスタリスト_20260130100542!C504</f>
        <v>1</v>
      </c>
      <c r="F506" s="206" t="str">
        <f>薬品マスタリスト_20260130100542!D504</f>
        <v>錠剤</v>
      </c>
      <c r="G506" s="208" t="str">
        <f>match_results!C503</f>
        <v>リンゼス錠０．２５ｍｇ</v>
      </c>
      <c r="H506" s="208">
        <f>match_results!D503</f>
        <v>199</v>
      </c>
      <c r="I506" s="218">
        <f>match_results!E503</f>
        <v>70</v>
      </c>
      <c r="J506" s="225"/>
      <c r="K506" s="15" t="str">
        <f ca="1">IF($J506="〇",OFFSET(集計!B$3,合体!$H506,0),"")</f>
        <v/>
      </c>
      <c r="L506" s="15" t="str">
        <f ca="1">IF($J506="〇",OFFSET(集計!C$3,合体!$H506,0),"")</f>
        <v/>
      </c>
      <c r="M506" s="202" t="str">
        <f ca="1">IF($J506="〇",OFFSET(集計!D$3,合体!$H506,0),"")</f>
        <v/>
      </c>
    </row>
    <row r="507" spans="2:13" x14ac:dyDescent="0.2">
      <c r="B507" s="201">
        <f t="shared" si="7"/>
        <v>503</v>
      </c>
      <c r="C507" s="15" t="str">
        <f>薬品マスタリスト_20260130100542!A505</f>
        <v>デパス錠１ｍｇ</v>
      </c>
      <c r="D507" s="15" t="str">
        <f>薬品マスタリスト_20260130100542!B505</f>
        <v>ﾃﾞﾊﾟｽｼﾞｮｳ1mg</v>
      </c>
      <c r="E507" s="15">
        <f>薬品マスタリスト_20260130100542!C505</f>
        <v>1</v>
      </c>
      <c r="F507" s="206" t="str">
        <f>薬品マスタリスト_20260130100542!D505</f>
        <v>錠剤</v>
      </c>
      <c r="G507" s="208" t="str">
        <f>match_results!C504</f>
        <v>インデラル錠１０ｍｇ</v>
      </c>
      <c r="H507" s="208">
        <f>match_results!D504</f>
        <v>370</v>
      </c>
      <c r="I507" s="218">
        <f>match_results!E504</f>
        <v>58.823529411764703</v>
      </c>
      <c r="J507" s="225"/>
      <c r="K507" s="15" t="str">
        <f ca="1">IF($J507="〇",OFFSET(集計!B$3,合体!$H507,0),"")</f>
        <v/>
      </c>
      <c r="L507" s="15" t="str">
        <f ca="1">IF($J507="〇",OFFSET(集計!C$3,合体!$H507,0),"")</f>
        <v/>
      </c>
      <c r="M507" s="202" t="str">
        <f ca="1">IF($J507="〇",OFFSET(集計!D$3,合体!$H507,0),"")</f>
        <v/>
      </c>
    </row>
    <row r="508" spans="2:13" x14ac:dyDescent="0.2">
      <c r="B508" s="201">
        <f t="shared" si="7"/>
        <v>504</v>
      </c>
      <c r="C508" s="15" t="str">
        <f>薬品マスタリスト_20260130100542!A506</f>
        <v>デパス細粒１％</v>
      </c>
      <c r="D508" s="15" t="str">
        <f>薬品マスタリスト_20260130100542!B506</f>
        <v>ﾃﾞﾊﾟｽｻｲﾘｭｳ1%</v>
      </c>
      <c r="E508" s="15">
        <f>薬品マスタリスト_20260130100542!C506</f>
        <v>3</v>
      </c>
      <c r="F508" s="206" t="str">
        <f>薬品マスタリスト_20260130100542!D506</f>
        <v>散</v>
      </c>
      <c r="G508" s="208" t="str">
        <f>match_results!C505</f>
        <v>デパス細粒１％</v>
      </c>
      <c r="H508" s="208">
        <f>match_results!D505</f>
        <v>293</v>
      </c>
      <c r="I508" s="218">
        <f>match_results!E505</f>
        <v>100</v>
      </c>
      <c r="J508" s="225" t="s">
        <v>3917</v>
      </c>
      <c r="K508" s="15">
        <f ca="1">IF($J508="〇",OFFSET(集計!B$3,合体!$H508,0),"")</f>
        <v>34</v>
      </c>
      <c r="L508" s="15">
        <f ca="1">IF($J508="〇",OFFSET(集計!C$3,合体!$H508,0),"")</f>
        <v>131</v>
      </c>
      <c r="M508" s="202">
        <f ca="1">IF($J508="〇",OFFSET(集計!D$3,合体!$H508,0),"")</f>
        <v>4454</v>
      </c>
    </row>
    <row r="509" spans="2:13" x14ac:dyDescent="0.2">
      <c r="B509" s="201">
        <f t="shared" si="7"/>
        <v>505</v>
      </c>
      <c r="C509" s="15" t="str">
        <f>薬品マスタリスト_20260130100542!A507</f>
        <v>テプレノンカプセル５０ｍｇ「日医工Ｐ」</v>
      </c>
      <c r="D509" s="15" t="str">
        <f>薬品マスタリスト_20260130100542!B507</f>
        <v>ﾃﾌﾟﾚﾉﾝｶﾌﾟｾﾙ50mg｢ﾆﾁｲｺｳP｣</v>
      </c>
      <c r="E509" s="15">
        <f>薬品マスタリスト_20260130100542!C507</f>
        <v>2</v>
      </c>
      <c r="F509" s="206" t="str">
        <f>薬品マスタリスト_20260130100542!D507</f>
        <v>カプセル</v>
      </c>
      <c r="G509" s="208" t="str">
        <f>match_results!C506</f>
        <v>テプレノンカプセル５０ｍｇ　</v>
      </c>
      <c r="H509" s="208">
        <f>match_results!D506</f>
        <v>525</v>
      </c>
      <c r="I509" s="218">
        <f>match_results!E506</f>
        <v>81.25</v>
      </c>
      <c r="J509" s="225"/>
      <c r="K509" s="15" t="str">
        <f ca="1">IF($J509="〇",OFFSET(集計!B$3,合体!$H509,0),"")</f>
        <v/>
      </c>
      <c r="L509" s="15" t="str">
        <f ca="1">IF($J509="〇",OFFSET(集計!C$3,合体!$H509,0),"")</f>
        <v/>
      </c>
      <c r="M509" s="202" t="str">
        <f ca="1">IF($J509="〇",OFFSET(集計!D$3,合体!$H509,0),"")</f>
        <v/>
      </c>
    </row>
    <row r="510" spans="2:13" x14ac:dyDescent="0.2">
      <c r="B510" s="201">
        <f t="shared" si="7"/>
        <v>506</v>
      </c>
      <c r="C510" s="15" t="str">
        <f>薬品マスタリスト_20260130100542!A508</f>
        <v>テプレノン細粒１０％「ＹＤ」</v>
      </c>
      <c r="D510" s="15" t="str">
        <f>薬品マスタリスト_20260130100542!B508</f>
        <v>ﾃﾌﾟﾚﾉﾝｻｲﾘｭｳ10%｢YD｣</v>
      </c>
      <c r="E510" s="15">
        <f>薬品マスタリスト_20260130100542!C508</f>
        <v>3</v>
      </c>
      <c r="F510" s="206" t="str">
        <f>薬品マスタリスト_20260130100542!D508</f>
        <v>散</v>
      </c>
      <c r="G510" s="208" t="str">
        <f>match_results!C507</f>
        <v>テプレノン細粒１０％　</v>
      </c>
      <c r="H510" s="208">
        <f>match_results!D507</f>
        <v>193</v>
      </c>
      <c r="I510" s="218">
        <f>match_results!E507</f>
        <v>83.3333333333333</v>
      </c>
      <c r="J510" s="225"/>
      <c r="K510" s="15" t="str">
        <f ca="1">IF($J510="〇",OFFSET(集計!B$3,合体!$H510,0),"")</f>
        <v/>
      </c>
      <c r="L510" s="15" t="str">
        <f ca="1">IF($J510="〇",OFFSET(集計!C$3,合体!$H510,0),"")</f>
        <v/>
      </c>
      <c r="M510" s="202" t="str">
        <f ca="1">IF($J510="〇",OFFSET(集計!D$3,合体!$H510,0),"")</f>
        <v/>
      </c>
    </row>
    <row r="511" spans="2:13" x14ac:dyDescent="0.2">
      <c r="B511" s="201">
        <f t="shared" si="7"/>
        <v>507</v>
      </c>
      <c r="C511" s="15" t="str">
        <f>薬品マスタリスト_20260130100542!A509</f>
        <v>テプレノンカプセル５０ｍｇ「ＹＤ」</v>
      </c>
      <c r="D511" s="15" t="str">
        <f>薬品マスタリスト_20260130100542!B509</f>
        <v>ﾃﾌﾟﾚﾉﾝｶﾌﾟｾﾙ50MGYD</v>
      </c>
      <c r="E511" s="15">
        <f>薬品マスタリスト_20260130100542!C509</f>
        <v>2</v>
      </c>
      <c r="F511" s="206" t="str">
        <f>薬品マスタリスト_20260130100542!D509</f>
        <v>カプセル</v>
      </c>
      <c r="G511" s="208" t="str">
        <f>match_results!C508</f>
        <v>テプレノンカプセル５０ｍｇ　</v>
      </c>
      <c r="H511" s="208">
        <f>match_results!D508</f>
        <v>525</v>
      </c>
      <c r="I511" s="218">
        <f>match_results!E508</f>
        <v>86.6666666666666</v>
      </c>
      <c r="J511" s="225"/>
      <c r="K511" s="15" t="str">
        <f ca="1">IF($J511="〇",OFFSET(集計!B$3,合体!$H511,0),"")</f>
        <v/>
      </c>
      <c r="L511" s="15" t="str">
        <f ca="1">IF($J511="〇",OFFSET(集計!C$3,合体!$H511,0),"")</f>
        <v/>
      </c>
      <c r="M511" s="202" t="str">
        <f ca="1">IF($J511="〇",OFFSET(集計!D$3,合体!$H511,0),"")</f>
        <v/>
      </c>
    </row>
    <row r="512" spans="2:13" x14ac:dyDescent="0.2">
      <c r="B512" s="201">
        <f t="shared" si="7"/>
        <v>508</v>
      </c>
      <c r="C512" s="15" t="str">
        <f>薬品マスタリスト_20260130100542!A510</f>
        <v>デプロメール錠２５</v>
      </c>
      <c r="D512" s="15" t="str">
        <f>薬品マスタリスト_20260130100542!B510</f>
        <v>ﾃﾞﾌﾟﾛﾒ-ﾙｼﾞﾖｳ25</v>
      </c>
      <c r="E512" s="15">
        <f>薬品マスタリスト_20260130100542!C510</f>
        <v>1</v>
      </c>
      <c r="F512" s="206" t="str">
        <f>薬品マスタリスト_20260130100542!D510</f>
        <v>錠剤</v>
      </c>
      <c r="G512" s="208" t="str">
        <f>match_results!C509</f>
        <v>デプロメール錠２５　</v>
      </c>
      <c r="H512" s="208">
        <f>match_results!D509</f>
        <v>620</v>
      </c>
      <c r="I512" s="218">
        <f>match_results!E509</f>
        <v>100</v>
      </c>
      <c r="J512" s="225" t="s">
        <v>3917</v>
      </c>
      <c r="K512" s="15">
        <f ca="1">IF($J512="〇",OFFSET(集計!B$3,合体!$H512,0),"")</f>
        <v>17.8</v>
      </c>
      <c r="L512" s="15">
        <f ca="1">IF($J512="〇",OFFSET(集計!C$3,合体!$H512,0),"")</f>
        <v>2478</v>
      </c>
      <c r="M512" s="202">
        <f ca="1">IF($J512="〇",OFFSET(集計!D$3,合体!$H512,0),"")</f>
        <v>44108.4</v>
      </c>
    </row>
    <row r="513" spans="2:13" x14ac:dyDescent="0.2">
      <c r="B513" s="201">
        <f t="shared" si="7"/>
        <v>509</v>
      </c>
      <c r="C513" s="15" t="str">
        <f>薬品マスタリスト_20260130100542!A511</f>
        <v>デュオトラバ配合点眼液</v>
      </c>
      <c r="D513" s="15" t="str">
        <f>薬品マスタリスト_20260130100542!B511</f>
        <v>ﾃﾞｭｵﾄﾗﾊﾞﾊｲｺﾞｳﾃﾝｶﾞﾝｴｷ</v>
      </c>
      <c r="E513" s="15">
        <f>薬品マスタリスト_20260130100542!C511</f>
        <v>21</v>
      </c>
      <c r="F513" s="206" t="str">
        <f>薬品マスタリスト_20260130100542!D511</f>
        <v>点眼剤</v>
      </c>
      <c r="G513" s="208" t="str">
        <f>match_results!C510</f>
        <v>コソプト配合点眼</v>
      </c>
      <c r="H513" s="208">
        <f>match_results!D510</f>
        <v>522</v>
      </c>
      <c r="I513" s="218">
        <f>match_results!E510</f>
        <v>52.631578947368403</v>
      </c>
      <c r="J513" s="225"/>
      <c r="K513" s="15" t="str">
        <f ca="1">IF($J513="〇",OFFSET(集計!B$3,合体!$H513,0),"")</f>
        <v/>
      </c>
      <c r="L513" s="15" t="str">
        <f ca="1">IF($J513="〇",OFFSET(集計!C$3,合体!$H513,0),"")</f>
        <v/>
      </c>
      <c r="M513" s="202" t="str">
        <f ca="1">IF($J513="〇",OFFSET(集計!D$3,合体!$H513,0),"")</f>
        <v/>
      </c>
    </row>
    <row r="514" spans="2:13" x14ac:dyDescent="0.2">
      <c r="B514" s="201">
        <f t="shared" si="7"/>
        <v>510</v>
      </c>
      <c r="C514" s="15" t="str">
        <f>薬品マスタリスト_20260130100542!A512</f>
        <v>デュタステリドカプセル０．５ｍｇＡＶ「サワイ」</v>
      </c>
      <c r="D514" s="15" t="str">
        <f>薬品マスタリスト_20260130100542!B512</f>
        <v>ﾃﾞｭﾀｽﾃﾘﾄﾞｶﾌﾟｾﾙ0.5mgAV｢ｻﾜｲ｣</v>
      </c>
      <c r="E514" s="15">
        <f>薬品マスタリスト_20260130100542!C512</f>
        <v>2</v>
      </c>
      <c r="F514" s="206" t="str">
        <f>薬品マスタリスト_20260130100542!D512</f>
        <v>カプセル</v>
      </c>
      <c r="G514" s="208" t="str">
        <f>match_results!C511</f>
        <v>デュタステリドカプセル（０．５）</v>
      </c>
      <c r="H514" s="208">
        <f>match_results!D511</f>
        <v>71</v>
      </c>
      <c r="I514" s="218">
        <f>match_results!E511</f>
        <v>71.794871794871796</v>
      </c>
      <c r="J514" s="225"/>
      <c r="K514" s="15" t="str">
        <f ca="1">IF($J514="〇",OFFSET(集計!B$3,合体!$H514,0),"")</f>
        <v/>
      </c>
      <c r="L514" s="15" t="str">
        <f ca="1">IF($J514="〇",OFFSET(集計!C$3,合体!$H514,0),"")</f>
        <v/>
      </c>
      <c r="M514" s="202" t="str">
        <f ca="1">IF($J514="〇",OFFSET(集計!D$3,合体!$H514,0),"")</f>
        <v/>
      </c>
    </row>
    <row r="515" spans="2:13" x14ac:dyDescent="0.2">
      <c r="B515" s="201">
        <f t="shared" si="7"/>
        <v>511</v>
      </c>
      <c r="C515" s="15" t="str">
        <f>薬品マスタリスト_20260130100542!A513</f>
        <v>デュロキセチンカプセル２０ｍｇ「ＤＳＥＰ」</v>
      </c>
      <c r="D515" s="15" t="str">
        <f>薬品マスタリスト_20260130100542!B513</f>
        <v>ﾃﾞｭﾛｷｾﾁﾝｶﾌﾟｾﾙ20mg｢DSEP｣</v>
      </c>
      <c r="E515" s="15">
        <f>薬品マスタリスト_20260130100542!C513</f>
        <v>2</v>
      </c>
      <c r="F515" s="206" t="str">
        <f>薬品マスタリスト_20260130100542!D513</f>
        <v>カプセル</v>
      </c>
      <c r="G515" s="208" t="str">
        <f>match_results!C512</f>
        <v>デュロキセチンカプセル</v>
      </c>
      <c r="H515" s="208">
        <f>match_results!D512</f>
        <v>602</v>
      </c>
      <c r="I515" s="218">
        <f>match_results!E512</f>
        <v>68.75</v>
      </c>
      <c r="J515" s="225"/>
      <c r="K515" s="15" t="str">
        <f ca="1">IF($J515="〇",OFFSET(集計!B$3,合体!$H515,0),"")</f>
        <v/>
      </c>
      <c r="L515" s="15" t="str">
        <f ca="1">IF($J515="〇",OFFSET(集計!C$3,合体!$H515,0),"")</f>
        <v/>
      </c>
      <c r="M515" s="202" t="str">
        <f ca="1">IF($J515="〇",OFFSET(集計!D$3,合体!$H515,0),"")</f>
        <v/>
      </c>
    </row>
    <row r="516" spans="2:13" x14ac:dyDescent="0.2">
      <c r="B516" s="201">
        <f t="shared" si="7"/>
        <v>512</v>
      </c>
      <c r="C516" s="15" t="str">
        <f>薬品マスタリスト_20260130100542!A514</f>
        <v>テリボン皮下注用５６．５μｇ</v>
      </c>
      <c r="D516" s="15" t="str">
        <f>薬品マスタリスト_20260130100542!B514</f>
        <v>ﾃﾘﾎﾞﾝﾋｶﾁｭｳﾖｳ56.5μg</v>
      </c>
      <c r="E516" s="15">
        <f>薬品マスタリスト_20260130100542!C514</f>
        <v>25</v>
      </c>
      <c r="F516" s="206" t="str">
        <f>薬品マスタリスト_20260130100542!D514</f>
        <v>注射剤</v>
      </c>
      <c r="G516" s="208" t="str">
        <f>match_results!C513</f>
        <v>テリボン皮下注</v>
      </c>
      <c r="H516" s="208">
        <f>match_results!D513</f>
        <v>615</v>
      </c>
      <c r="I516" s="218">
        <f>match_results!E513</f>
        <v>66.6666666666666</v>
      </c>
      <c r="J516" s="225"/>
      <c r="K516" s="15" t="str">
        <f ca="1">IF($J516="〇",OFFSET(集計!B$3,合体!$H516,0),"")</f>
        <v/>
      </c>
      <c r="L516" s="15" t="str">
        <f ca="1">IF($J516="〇",OFFSET(集計!C$3,合体!$H516,0),"")</f>
        <v/>
      </c>
      <c r="M516" s="202" t="str">
        <f ca="1">IF($J516="〇",OFFSET(集計!D$3,合体!$H516,0),"")</f>
        <v/>
      </c>
    </row>
    <row r="517" spans="2:13" x14ac:dyDescent="0.2">
      <c r="B517" s="201">
        <f t="shared" si="7"/>
        <v>513</v>
      </c>
      <c r="C517" s="15" t="str">
        <f>薬品マスタリスト_20260130100542!A515</f>
        <v>テルビナフィン塩酸塩クリーム１％「イワキ」</v>
      </c>
      <c r="D517" s="15" t="str">
        <f>薬品マスタリスト_20260130100542!B515</f>
        <v>ﾃﾙﾋﾞﾅﾌｨﾝｴﾝｻﾝｴﾝｸﾘｰﾑ1%｢ｲﾜｷ｣</v>
      </c>
      <c r="E517" s="15">
        <f>薬品マスタリスト_20260130100542!C515</f>
        <v>15</v>
      </c>
      <c r="F517" s="206" t="str">
        <f>薬品マスタリスト_20260130100542!D515</f>
        <v>クリーム</v>
      </c>
      <c r="G517" s="208" t="str">
        <f>match_results!C514</f>
        <v>テルビナフィンクリ－ム１％　１０ｇ／本</v>
      </c>
      <c r="H517" s="208">
        <f>match_results!D514</f>
        <v>217</v>
      </c>
      <c r="I517" s="218">
        <f>match_results!E514</f>
        <v>60</v>
      </c>
      <c r="J517" s="225"/>
      <c r="K517" s="15" t="str">
        <f ca="1">IF($J517="〇",OFFSET(集計!B$3,合体!$H517,0),"")</f>
        <v/>
      </c>
      <c r="L517" s="15" t="str">
        <f ca="1">IF($J517="〇",OFFSET(集計!C$3,合体!$H517,0),"")</f>
        <v/>
      </c>
      <c r="M517" s="202" t="str">
        <f ca="1">IF($J517="〇",OFFSET(集計!D$3,合体!$H517,0),"")</f>
        <v/>
      </c>
    </row>
    <row r="518" spans="2:13" x14ac:dyDescent="0.2">
      <c r="B518" s="201">
        <f t="shared" si="7"/>
        <v>514</v>
      </c>
      <c r="C518" s="15" t="str">
        <f>薬品マスタリスト_20260130100542!A516</f>
        <v>テルビナフィン塩酸塩外用液１％「イワキ」</v>
      </c>
      <c r="D518" s="15" t="str">
        <f>薬品マスタリスト_20260130100542!B516</f>
        <v>ﾃﾙﾋﾞﾅﾌｨﾝｴﾝｻﾝｴﾝｶﾞｲﾖｳｴｷ1%｢ｲﾜｷ｣</v>
      </c>
      <c r="E518" s="15">
        <f>薬品マスタリスト_20260130100542!C516</f>
        <v>17</v>
      </c>
      <c r="F518" s="206" t="str">
        <f>薬品マスタリスト_20260130100542!D516</f>
        <v>外用液剤</v>
      </c>
      <c r="G518" s="208" t="str">
        <f>match_results!C515</f>
        <v>テルビナフィン゛液１％　１０ｇ／本</v>
      </c>
      <c r="H518" s="208">
        <f>match_results!D515</f>
        <v>107</v>
      </c>
      <c r="I518" s="218">
        <f>match_results!E515</f>
        <v>54.054054054053999</v>
      </c>
      <c r="J518" s="225"/>
      <c r="K518" s="15" t="str">
        <f ca="1">IF($J518="〇",OFFSET(集計!B$3,合体!$H518,0),"")</f>
        <v/>
      </c>
      <c r="L518" s="15" t="str">
        <f ca="1">IF($J518="〇",OFFSET(集計!C$3,合体!$H518,0),"")</f>
        <v/>
      </c>
      <c r="M518" s="202" t="str">
        <f ca="1">IF($J518="〇",OFFSET(集計!D$3,合体!$H518,0),"")</f>
        <v/>
      </c>
    </row>
    <row r="519" spans="2:13" x14ac:dyDescent="0.2">
      <c r="B519" s="201">
        <f t="shared" ref="B519:B582" si="8">B518+1</f>
        <v>515</v>
      </c>
      <c r="C519" s="15" t="str">
        <f>薬品マスタリスト_20260130100542!A517</f>
        <v>テルビナフィン塩酸塩外用液１％「Ｆ」</v>
      </c>
      <c r="D519" s="15" t="str">
        <f>薬品マスタリスト_20260130100542!B517</f>
        <v>ﾃﾙﾋﾞﾅﾌｲﾝｴﾝｻﾝｴﾝｶﾞｲﾖｳｴｷ1%F</v>
      </c>
      <c r="E519" s="15">
        <f>薬品マスタリスト_20260130100542!C517</f>
        <v>17</v>
      </c>
      <c r="F519" s="206" t="str">
        <f>薬品マスタリスト_20260130100542!D517</f>
        <v>外用液剤</v>
      </c>
      <c r="G519" s="208" t="str">
        <f>match_results!C516</f>
        <v>テルビナフィン゛液１％　１０ｇ／本</v>
      </c>
      <c r="H519" s="208">
        <f>match_results!D516</f>
        <v>107</v>
      </c>
      <c r="I519" s="218">
        <f>match_results!E516</f>
        <v>57.142857142857103</v>
      </c>
      <c r="J519" s="225"/>
      <c r="K519" s="15" t="str">
        <f ca="1">IF($J519="〇",OFFSET(集計!B$3,合体!$H519,0),"")</f>
        <v/>
      </c>
      <c r="L519" s="15" t="str">
        <f ca="1">IF($J519="〇",OFFSET(集計!C$3,合体!$H519,0),"")</f>
        <v/>
      </c>
      <c r="M519" s="202" t="str">
        <f ca="1">IF($J519="〇",OFFSET(集計!D$3,合体!$H519,0),"")</f>
        <v/>
      </c>
    </row>
    <row r="520" spans="2:13" x14ac:dyDescent="0.2">
      <c r="B520" s="201">
        <f t="shared" si="8"/>
        <v>516</v>
      </c>
      <c r="C520" s="15" t="str">
        <f>薬品マスタリスト_20260130100542!A518</f>
        <v>テルビナフィン塩酸塩クリーム１％「サワイ」</v>
      </c>
      <c r="D520" s="15" t="str">
        <f>薬品マスタリスト_20260130100542!B518</f>
        <v>ﾃﾙﾋﾞﾅﾌｲﾝｴﾝｻﾝｴﾝｸﾘ-ﾑ1%ｻﾜｲ</v>
      </c>
      <c r="E520" s="15">
        <f>薬品マスタリスト_20260130100542!C518</f>
        <v>15</v>
      </c>
      <c r="F520" s="206" t="str">
        <f>薬品マスタリスト_20260130100542!D518</f>
        <v>クリーム</v>
      </c>
      <c r="G520" s="208" t="str">
        <f>match_results!C517</f>
        <v>テルビナフィンクリ－ム１％　１０ｇ／本</v>
      </c>
      <c r="H520" s="208">
        <f>match_results!D517</f>
        <v>217</v>
      </c>
      <c r="I520" s="218">
        <f>match_results!E517</f>
        <v>60</v>
      </c>
      <c r="J520" s="225"/>
      <c r="K520" s="15" t="str">
        <f ca="1">IF($J520="〇",OFFSET(集計!B$3,合体!$H520,0),"")</f>
        <v/>
      </c>
      <c r="L520" s="15" t="str">
        <f ca="1">IF($J520="〇",OFFSET(集計!C$3,合体!$H520,0),"")</f>
        <v/>
      </c>
      <c r="M520" s="202" t="str">
        <f ca="1">IF($J520="〇",OFFSET(集計!D$3,合体!$H520,0),"")</f>
        <v/>
      </c>
    </row>
    <row r="521" spans="2:13" x14ac:dyDescent="0.2">
      <c r="B521" s="201">
        <f t="shared" si="8"/>
        <v>517</v>
      </c>
      <c r="C521" s="15" t="str">
        <f>薬品マスタリスト_20260130100542!A519</f>
        <v>テルビナフィン塩酸塩外用液１％「サワイ」</v>
      </c>
      <c r="D521" s="15" t="str">
        <f>薬品マスタリスト_20260130100542!B519</f>
        <v>ﾃﾙﾋﾞﾅﾌｲﾝｴﾝｻﾝｴﾝｶﾞｲﾖｳｴｷ1%ｻﾜｲ</v>
      </c>
      <c r="E521" s="15">
        <f>薬品マスタリスト_20260130100542!C519</f>
        <v>17</v>
      </c>
      <c r="F521" s="206" t="str">
        <f>薬品マスタリスト_20260130100542!D519</f>
        <v>外用液剤</v>
      </c>
      <c r="G521" s="208" t="str">
        <f>match_results!C518</f>
        <v>テルビナフィン゛液１％　１０ｇ／本</v>
      </c>
      <c r="H521" s="208">
        <f>match_results!D518</f>
        <v>107</v>
      </c>
      <c r="I521" s="218">
        <f>match_results!E518</f>
        <v>54.054054054053999</v>
      </c>
      <c r="J521" s="225"/>
      <c r="K521" s="15" t="str">
        <f ca="1">IF($J521="〇",OFFSET(集計!B$3,合体!$H521,0),"")</f>
        <v/>
      </c>
      <c r="L521" s="15" t="str">
        <f ca="1">IF($J521="〇",OFFSET(集計!C$3,合体!$H521,0),"")</f>
        <v/>
      </c>
      <c r="M521" s="202" t="str">
        <f ca="1">IF($J521="〇",OFFSET(集計!D$3,合体!$H521,0),"")</f>
        <v/>
      </c>
    </row>
    <row r="522" spans="2:13" x14ac:dyDescent="0.2">
      <c r="B522" s="201">
        <f t="shared" si="8"/>
        <v>518</v>
      </c>
      <c r="C522" s="15" t="str">
        <f>薬品マスタリスト_20260130100542!A520</f>
        <v>テルミサルタン錠２０ｍｇ「杏林」</v>
      </c>
      <c r="D522" s="15" t="str">
        <f>薬品マスタリスト_20260130100542!B520</f>
        <v>ﾃﾙﾐｻﾙﾀﾝｼﾞｮｳ20mg｢ｷｮｳﾘﾝ｣</v>
      </c>
      <c r="E522" s="15">
        <f>薬品マスタリスト_20260130100542!C520</f>
        <v>1</v>
      </c>
      <c r="F522" s="206" t="str">
        <f>薬品マスタリスト_20260130100542!D520</f>
        <v>錠剤</v>
      </c>
      <c r="G522" s="208" t="str">
        <f>match_results!C519</f>
        <v>テルミサルタンＯＤ錠２０ｍｇ　</v>
      </c>
      <c r="H522" s="208">
        <f>match_results!D519</f>
        <v>451</v>
      </c>
      <c r="I522" s="218">
        <f>match_results!E519</f>
        <v>80</v>
      </c>
      <c r="J522" s="225"/>
      <c r="K522" s="15" t="str">
        <f ca="1">IF($J522="〇",OFFSET(集計!B$3,合体!$H522,0),"")</f>
        <v/>
      </c>
      <c r="L522" s="15" t="str">
        <f ca="1">IF($J522="〇",OFFSET(集計!C$3,合体!$H522,0),"")</f>
        <v/>
      </c>
      <c r="M522" s="202" t="str">
        <f ca="1">IF($J522="〇",OFFSET(集計!D$3,合体!$H522,0),"")</f>
        <v/>
      </c>
    </row>
    <row r="523" spans="2:13" x14ac:dyDescent="0.2">
      <c r="B523" s="201">
        <f t="shared" si="8"/>
        <v>519</v>
      </c>
      <c r="C523" s="15" t="str">
        <f>薬品マスタリスト_20260130100542!A521</f>
        <v>テルミサルタンＯＤ錠２０ｍｇ「トーワ」</v>
      </c>
      <c r="D523" s="15" t="str">
        <f>薬品マスタリスト_20260130100542!B521</f>
        <v>ﾃﾙﾐｻﾙﾀﾝODｼﾞﾖｳ20MGﾄ-ﾜ</v>
      </c>
      <c r="E523" s="15">
        <f>薬品マスタリスト_20260130100542!C521</f>
        <v>1</v>
      </c>
      <c r="F523" s="206" t="str">
        <f>薬品マスタリスト_20260130100542!D521</f>
        <v>錠剤</v>
      </c>
      <c r="G523" s="208" t="str">
        <f>match_results!C520</f>
        <v>テルミサルタンＯＤ錠２０ｍｇ　</v>
      </c>
      <c r="H523" s="208">
        <f>match_results!D520</f>
        <v>451</v>
      </c>
      <c r="I523" s="218">
        <f>match_results!E520</f>
        <v>84.848484848484802</v>
      </c>
      <c r="J523" s="225"/>
      <c r="K523" s="15" t="str">
        <f ca="1">IF($J523="〇",OFFSET(集計!B$3,合体!$H523,0),"")</f>
        <v/>
      </c>
      <c r="L523" s="15" t="str">
        <f ca="1">IF($J523="〇",OFFSET(集計!C$3,合体!$H523,0),"")</f>
        <v/>
      </c>
      <c r="M523" s="202" t="str">
        <f ca="1">IF($J523="〇",OFFSET(集計!D$3,合体!$H523,0),"")</f>
        <v/>
      </c>
    </row>
    <row r="524" spans="2:13" x14ac:dyDescent="0.2">
      <c r="B524" s="201">
        <f t="shared" si="8"/>
        <v>520</v>
      </c>
      <c r="C524" s="15" t="str">
        <f>薬品マスタリスト_20260130100542!A522</f>
        <v>デルモベート軟膏０．０５％</v>
      </c>
      <c r="D524" s="15" t="str">
        <f>薬品マスタリスト_20260130100542!B522</f>
        <v>ﾃﾞﾙﾓﾍﾞｰﾄﾅﾝｺｳ0.05%</v>
      </c>
      <c r="E524" s="15">
        <f>薬品マスタリスト_20260130100542!C522</f>
        <v>14</v>
      </c>
      <c r="F524" s="206" t="str">
        <f>薬品マスタリスト_20260130100542!D522</f>
        <v>軟膏</v>
      </c>
      <c r="G524" s="208" t="str">
        <f>match_results!C521</f>
        <v>デルモベ－ト軟膏０．０５％　５ｇ／本</v>
      </c>
      <c r="H524" s="208">
        <f>match_results!D521</f>
        <v>168</v>
      </c>
      <c r="I524" s="218">
        <f>match_results!E521</f>
        <v>77.419354838709594</v>
      </c>
      <c r="J524" s="225"/>
      <c r="K524" s="15" t="str">
        <f ca="1">IF($J524="〇",OFFSET(集計!B$3,合体!$H524,0),"")</f>
        <v/>
      </c>
      <c r="L524" s="15" t="str">
        <f ca="1">IF($J524="〇",OFFSET(集計!C$3,合体!$H524,0),"")</f>
        <v/>
      </c>
      <c r="M524" s="202" t="str">
        <f ca="1">IF($J524="〇",OFFSET(集計!D$3,合体!$H524,0),"")</f>
        <v/>
      </c>
    </row>
    <row r="525" spans="2:13" x14ac:dyDescent="0.2">
      <c r="B525" s="201">
        <f t="shared" si="8"/>
        <v>521</v>
      </c>
      <c r="C525" s="15" t="str">
        <f>薬品マスタリスト_20260130100542!A523</f>
        <v>デルモゾールＧ軟膏</v>
      </c>
      <c r="D525" s="15" t="str">
        <f>薬品マスタリスト_20260130100542!B523</f>
        <v>ﾃﾞﾙﾓｿﾞｰﾙGﾅﾝｺｳ</v>
      </c>
      <c r="E525" s="15">
        <f>薬品マスタリスト_20260130100542!C523</f>
        <v>14</v>
      </c>
      <c r="F525" s="206" t="str">
        <f>薬品マスタリスト_20260130100542!D523</f>
        <v>軟膏</v>
      </c>
      <c r="G525" s="208" t="str">
        <f>match_results!C522</f>
        <v>デルモゾ－ルＧ軟膏　５ｇ／本</v>
      </c>
      <c r="H525" s="208">
        <f>match_results!D522</f>
        <v>618</v>
      </c>
      <c r="I525" s="218">
        <f>match_results!E522</f>
        <v>69.565217391304301</v>
      </c>
      <c r="J525" s="225"/>
      <c r="K525" s="15" t="str">
        <f ca="1">IF($J525="〇",OFFSET(集計!B$3,合体!$H525,0),"")</f>
        <v/>
      </c>
      <c r="L525" s="15" t="str">
        <f ca="1">IF($J525="〇",OFFSET(集計!C$3,合体!$H525,0),"")</f>
        <v/>
      </c>
      <c r="M525" s="202" t="str">
        <f ca="1">IF($J525="〇",OFFSET(集計!D$3,合体!$H525,0),"")</f>
        <v/>
      </c>
    </row>
    <row r="526" spans="2:13" x14ac:dyDescent="0.2">
      <c r="B526" s="201">
        <f t="shared" si="8"/>
        <v>522</v>
      </c>
      <c r="C526" s="15" t="str">
        <f>薬品マスタリスト_20260130100542!A524</f>
        <v>デルモゾールＧクリーム</v>
      </c>
      <c r="D526" s="15" t="str">
        <f>薬品マスタリスト_20260130100542!B524</f>
        <v>ﾃﾞﾙﾓｿﾞｰﾙGｸﾘｰﾑ</v>
      </c>
      <c r="E526" s="15">
        <f>薬品マスタリスト_20260130100542!C524</f>
        <v>15</v>
      </c>
      <c r="F526" s="206" t="str">
        <f>薬品マスタリスト_20260130100542!D524</f>
        <v>クリーム</v>
      </c>
      <c r="G526" s="208" t="str">
        <f>match_results!C523</f>
        <v>ウレパールクリーム１０％</v>
      </c>
      <c r="H526" s="208">
        <f>match_results!D523</f>
        <v>36</v>
      </c>
      <c r="I526" s="218">
        <f>match_results!E523</f>
        <v>52.173913043478201</v>
      </c>
      <c r="J526" s="225"/>
      <c r="K526" s="15" t="str">
        <f ca="1">IF($J526="〇",OFFSET(集計!B$3,合体!$H526,0),"")</f>
        <v/>
      </c>
      <c r="L526" s="15" t="str">
        <f ca="1">IF($J526="〇",OFFSET(集計!C$3,合体!$H526,0),"")</f>
        <v/>
      </c>
      <c r="M526" s="202" t="str">
        <f ca="1">IF($J526="〇",OFFSET(集計!D$3,合体!$H526,0),"")</f>
        <v/>
      </c>
    </row>
    <row r="527" spans="2:13" x14ac:dyDescent="0.2">
      <c r="B527" s="201">
        <f t="shared" si="8"/>
        <v>523</v>
      </c>
      <c r="C527" s="15" t="str">
        <f>薬品マスタリスト_20260130100542!A525</f>
        <v>トアラセット配合錠「オーハラ」</v>
      </c>
      <c r="D527" s="15" t="str">
        <f>薬品マスタリスト_20260130100542!B525</f>
        <v>ﾄｱﾗｾﾂﾄﾊｲｺﾞｳｼﾞﾖｳｵ-ﾊﾗ</v>
      </c>
      <c r="E527" s="15">
        <f>薬品マスタリスト_20260130100542!C525</f>
        <v>1</v>
      </c>
      <c r="F527" s="206" t="str">
        <f>薬品マスタリスト_20260130100542!D525</f>
        <v>錠剤</v>
      </c>
      <c r="G527" s="208" t="str">
        <f>match_results!C524</f>
        <v>セレスタミン配合錠</v>
      </c>
      <c r="H527" s="208">
        <f>match_results!D524</f>
        <v>30</v>
      </c>
      <c r="I527" s="218">
        <f>match_results!E524</f>
        <v>33.3333333333333</v>
      </c>
      <c r="J527" s="225"/>
      <c r="K527" s="15" t="str">
        <f ca="1">IF($J527="〇",OFFSET(集計!B$3,合体!$H527,0),"")</f>
        <v/>
      </c>
      <c r="L527" s="15" t="str">
        <f ca="1">IF($J527="〇",OFFSET(集計!C$3,合体!$H527,0),"")</f>
        <v/>
      </c>
      <c r="M527" s="202" t="str">
        <f ca="1">IF($J527="〇",OFFSET(集計!D$3,合体!$H527,0),"")</f>
        <v/>
      </c>
    </row>
    <row r="528" spans="2:13" x14ac:dyDescent="0.2">
      <c r="B528" s="201">
        <f t="shared" si="8"/>
        <v>524</v>
      </c>
      <c r="C528" s="15" t="str">
        <f>薬品マスタリスト_20260130100542!A526</f>
        <v>５％糖液キットＨ</v>
      </c>
      <c r="D528" s="15" t="str">
        <f>薬品マスタリスト_20260130100542!B526</f>
        <v>5%ﾄｳｴｷｷｯﾄH</v>
      </c>
      <c r="E528" s="15">
        <f>薬品マスタリスト_20260130100542!C526</f>
        <v>25</v>
      </c>
      <c r="F528" s="206" t="str">
        <f>薬品マスタリスト_20260130100542!D526</f>
        <v>注射剤</v>
      </c>
      <c r="G528" s="208" t="str">
        <f>match_results!C525</f>
        <v>生食溶解キットＨ１００ｍｌ</v>
      </c>
      <c r="H528" s="208">
        <f>match_results!D525</f>
        <v>567</v>
      </c>
      <c r="I528" s="218">
        <f>match_results!E525</f>
        <v>38.095238095238003</v>
      </c>
      <c r="J528" s="225"/>
      <c r="K528" s="15" t="str">
        <f ca="1">IF($J528="〇",OFFSET(集計!B$3,合体!$H528,0),"")</f>
        <v/>
      </c>
      <c r="L528" s="15" t="str">
        <f ca="1">IF($J528="〇",OFFSET(集計!C$3,合体!$H528,0),"")</f>
        <v/>
      </c>
      <c r="M528" s="202" t="str">
        <f ca="1">IF($J528="〇",OFFSET(集計!D$3,合体!$H528,0),"")</f>
        <v/>
      </c>
    </row>
    <row r="529" spans="2:13" x14ac:dyDescent="0.2">
      <c r="B529" s="201">
        <f t="shared" si="8"/>
        <v>525</v>
      </c>
      <c r="C529" s="15" t="str">
        <f>薬品マスタリスト_20260130100542!A527</f>
        <v>大塚糖液５％</v>
      </c>
      <c r="D529" s="15" t="str">
        <f>薬品マスタリスト_20260130100542!B527</f>
        <v>ｵｵﾂｶﾄｳｴｷ5%</v>
      </c>
      <c r="E529" s="15">
        <f>薬品マスタリスト_20260130100542!C527</f>
        <v>25</v>
      </c>
      <c r="F529" s="206" t="str">
        <f>薬品マスタリスト_20260130100542!D527</f>
        <v>注射剤</v>
      </c>
      <c r="G529" s="208" t="str">
        <f>match_results!C526</f>
        <v>大塚糖液　５％５００ｍｌ</v>
      </c>
      <c r="H529" s="208">
        <f>match_results!D526</f>
        <v>442</v>
      </c>
      <c r="I529" s="218">
        <f>match_results!E526</f>
        <v>66.6666666666666</v>
      </c>
      <c r="J529" s="225"/>
      <c r="K529" s="15" t="str">
        <f ca="1">IF($J529="〇",OFFSET(集計!B$3,合体!$H529,0),"")</f>
        <v/>
      </c>
      <c r="L529" s="15" t="str">
        <f ca="1">IF($J529="〇",OFFSET(集計!C$3,合体!$H529,0),"")</f>
        <v/>
      </c>
      <c r="M529" s="202" t="str">
        <f ca="1">IF($J529="〇",OFFSET(集計!D$3,合体!$H529,0),"")</f>
        <v/>
      </c>
    </row>
    <row r="530" spans="2:13" x14ac:dyDescent="0.2">
      <c r="B530" s="201">
        <f t="shared" si="8"/>
        <v>526</v>
      </c>
      <c r="C530" s="15" t="str">
        <f>薬品マスタリスト_20260130100542!A528</f>
        <v>ドグマチール細粒５０％</v>
      </c>
      <c r="D530" s="15" t="str">
        <f>薬品マスタリスト_20260130100542!B528</f>
        <v>ﾄﾞｸﾞﾏﾁｰﾙｻｲﾘｭｳ50%</v>
      </c>
      <c r="E530" s="15">
        <f>薬品マスタリスト_20260130100542!C528</f>
        <v>3</v>
      </c>
      <c r="F530" s="206" t="str">
        <f>薬品マスタリスト_20260130100542!D528</f>
        <v>散</v>
      </c>
      <c r="G530" s="208" t="str">
        <f>match_results!C527</f>
        <v>ドグマチール細粒</v>
      </c>
      <c r="H530" s="208">
        <f>match_results!D527</f>
        <v>12</v>
      </c>
      <c r="I530" s="218">
        <f>match_results!E527</f>
        <v>84.210526315789394</v>
      </c>
      <c r="J530" s="225"/>
      <c r="K530" s="15" t="str">
        <f ca="1">IF($J530="〇",OFFSET(集計!B$3,合体!$H530,0),"")</f>
        <v/>
      </c>
      <c r="L530" s="15" t="str">
        <f ca="1">IF($J530="〇",OFFSET(集計!C$3,合体!$H530,0),"")</f>
        <v/>
      </c>
      <c r="M530" s="202" t="str">
        <f ca="1">IF($J530="〇",OFFSET(集計!D$3,合体!$H530,0),"")</f>
        <v/>
      </c>
    </row>
    <row r="531" spans="2:13" x14ac:dyDescent="0.2">
      <c r="B531" s="201">
        <f t="shared" si="8"/>
        <v>527</v>
      </c>
      <c r="C531" s="15" t="str">
        <f>薬品マスタリスト_20260130100542!A529</f>
        <v>トスキサシン錠１５０ｍｇ</v>
      </c>
      <c r="D531" s="15" t="str">
        <f>薬品マスタリスト_20260130100542!B529</f>
        <v>ﾄｽｷｻｼﾝｼﾞﾖｳ150MG</v>
      </c>
      <c r="E531" s="15">
        <f>薬品マスタリスト_20260130100542!C529</f>
        <v>1</v>
      </c>
      <c r="F531" s="206" t="str">
        <f>薬品マスタリスト_20260130100542!D529</f>
        <v>錠剤</v>
      </c>
      <c r="G531" s="208" t="str">
        <f>match_results!C528</f>
        <v>トスキサシン錠１５０ｍｇ</v>
      </c>
      <c r="H531" s="208">
        <f>match_results!D528</f>
        <v>377</v>
      </c>
      <c r="I531" s="218">
        <f>match_results!E528</f>
        <v>100</v>
      </c>
      <c r="J531" s="225" t="s">
        <v>3917</v>
      </c>
      <c r="K531" s="15">
        <f ca="1">IF($J531="〇",OFFSET(集計!B$3,合体!$H531,0),"")</f>
        <v>47.23</v>
      </c>
      <c r="L531" s="15">
        <f ca="1">IF($J531="〇",OFFSET(集計!C$3,合体!$H531,0),"")</f>
        <v>148</v>
      </c>
      <c r="M531" s="202">
        <f ca="1">IF($J531="〇",OFFSET(集計!D$3,合体!$H531,0),"")</f>
        <v>6990.04</v>
      </c>
    </row>
    <row r="532" spans="2:13" x14ac:dyDescent="0.2">
      <c r="B532" s="201">
        <f t="shared" si="8"/>
        <v>528</v>
      </c>
      <c r="C532" s="15" t="str">
        <f>薬品マスタリスト_20260130100542!A530</f>
        <v>ドネペジル塩酸塩ＯＤ錠３ｍｇ「明治」</v>
      </c>
      <c r="D532" s="15" t="str">
        <f>薬品マスタリスト_20260130100542!B530</f>
        <v>ﾄﾞﾈﾍﾟｼﾞﾙｴﾝｻﾝｴﾝODｼﾞｮｳ3mg｢ﾒｲｼﾞ｣</v>
      </c>
      <c r="E532" s="15">
        <f>薬品マスタリスト_20260130100542!C530</f>
        <v>1</v>
      </c>
      <c r="F532" s="206" t="str">
        <f>薬品マスタリスト_20260130100542!D530</f>
        <v>錠剤</v>
      </c>
      <c r="G532" s="208" t="str">
        <f>match_results!C529</f>
        <v>ドネペジル塩酸塩錠ＯＤ３ｍｇ</v>
      </c>
      <c r="H532" s="208">
        <f>match_results!D529</f>
        <v>606</v>
      </c>
      <c r="I532" s="218">
        <f>match_results!E529</f>
        <v>81.25</v>
      </c>
      <c r="J532" s="225"/>
      <c r="K532" s="15" t="str">
        <f ca="1">IF($J532="〇",OFFSET(集計!B$3,合体!$H532,0),"")</f>
        <v/>
      </c>
      <c r="L532" s="15" t="str">
        <f ca="1">IF($J532="〇",OFFSET(集計!C$3,合体!$H532,0),"")</f>
        <v/>
      </c>
      <c r="M532" s="202" t="str">
        <f ca="1">IF($J532="〇",OFFSET(集計!D$3,合体!$H532,0),"")</f>
        <v/>
      </c>
    </row>
    <row r="533" spans="2:13" x14ac:dyDescent="0.2">
      <c r="B533" s="201">
        <f t="shared" si="8"/>
        <v>529</v>
      </c>
      <c r="C533" s="15" t="str">
        <f>薬品マスタリスト_20260130100542!A531</f>
        <v>ドネペジル塩酸塩ＯＤ錠３ｍｇ「オーハラ」</v>
      </c>
      <c r="D533" s="15" t="str">
        <f>薬品マスタリスト_20260130100542!B531</f>
        <v>ﾄﾞﾈﾍﾟｼﾞﾙｴﾝｻﾝｴﾝODｼﾞｮｳ3mg｢ｵｰﾊﾗ｣</v>
      </c>
      <c r="E533" s="15">
        <f>薬品マスタリスト_20260130100542!C531</f>
        <v>1</v>
      </c>
      <c r="F533" s="206" t="str">
        <f>薬品マスタリスト_20260130100542!D531</f>
        <v>錠剤</v>
      </c>
      <c r="G533" s="208" t="str">
        <f>match_results!C530</f>
        <v>ドネペジル塩酸塩錠ＯＤ３ｍｇ</v>
      </c>
      <c r="H533" s="208">
        <f>match_results!D530</f>
        <v>606</v>
      </c>
      <c r="I533" s="218">
        <f>match_results!E530</f>
        <v>76.470588235294102</v>
      </c>
      <c r="J533" s="225"/>
      <c r="K533" s="15" t="str">
        <f ca="1">IF($J533="〇",OFFSET(集計!B$3,合体!$H533,0),"")</f>
        <v/>
      </c>
      <c r="L533" s="15" t="str">
        <f ca="1">IF($J533="〇",OFFSET(集計!C$3,合体!$H533,0),"")</f>
        <v/>
      </c>
      <c r="M533" s="202" t="str">
        <f ca="1">IF($J533="〇",OFFSET(集計!D$3,合体!$H533,0),"")</f>
        <v/>
      </c>
    </row>
    <row r="534" spans="2:13" x14ac:dyDescent="0.2">
      <c r="B534" s="201">
        <f t="shared" si="8"/>
        <v>530</v>
      </c>
      <c r="C534" s="15" t="str">
        <f>薬品マスタリスト_20260130100542!A532</f>
        <v>ドネペジル塩酸塩ＯＤ錠５ｍｇ「明治」</v>
      </c>
      <c r="D534" s="15" t="str">
        <f>薬品マスタリスト_20260130100542!B532</f>
        <v>ﾄﾞﾈﾍﾟｼﾞﾙｴﾝｻﾝｴﾝODｼﾞｮｳ5mg｢ﾒｲｼﾞ｣</v>
      </c>
      <c r="E534" s="15">
        <f>薬品マスタリスト_20260130100542!C532</f>
        <v>1</v>
      </c>
      <c r="F534" s="206" t="str">
        <f>薬品マスタリスト_20260130100542!D532</f>
        <v>錠剤</v>
      </c>
      <c r="G534" s="208" t="str">
        <f>match_results!C531</f>
        <v>ドネペジル塩酸塩錠ＯＤ５ｍｇ</v>
      </c>
      <c r="H534" s="208">
        <f>match_results!D531</f>
        <v>604</v>
      </c>
      <c r="I534" s="218">
        <f>match_results!E531</f>
        <v>81.25</v>
      </c>
      <c r="J534" s="225"/>
      <c r="K534" s="15" t="str">
        <f ca="1">IF($J534="〇",OFFSET(集計!B$3,合体!$H534,0),"")</f>
        <v/>
      </c>
      <c r="L534" s="15" t="str">
        <f ca="1">IF($J534="〇",OFFSET(集計!C$3,合体!$H534,0),"")</f>
        <v/>
      </c>
      <c r="M534" s="202" t="str">
        <f ca="1">IF($J534="〇",OFFSET(集計!D$3,合体!$H534,0),"")</f>
        <v/>
      </c>
    </row>
    <row r="535" spans="2:13" x14ac:dyDescent="0.2">
      <c r="B535" s="201">
        <f t="shared" si="8"/>
        <v>531</v>
      </c>
      <c r="C535" s="15" t="str">
        <f>薬品マスタリスト_20260130100542!A533</f>
        <v>ドネペジル塩酸塩ＯＤ錠５ｍｇ「オーハラ」</v>
      </c>
      <c r="D535" s="15" t="str">
        <f>薬品マスタリスト_20260130100542!B533</f>
        <v>ﾄﾞﾈﾍﾟｼﾞﾙｴﾝｻﾝｴﾝODｼﾞｮｳ5mg｢ｵｰﾊﾗ｣</v>
      </c>
      <c r="E535" s="15">
        <f>薬品マスタリスト_20260130100542!C533</f>
        <v>1</v>
      </c>
      <c r="F535" s="206" t="str">
        <f>薬品マスタリスト_20260130100542!D533</f>
        <v>錠剤</v>
      </c>
      <c r="G535" s="208" t="str">
        <f>match_results!C532</f>
        <v>ドネペジル塩酸塩錠ＯＤ５ｍｇ</v>
      </c>
      <c r="H535" s="208">
        <f>match_results!D532</f>
        <v>604</v>
      </c>
      <c r="I535" s="218">
        <f>match_results!E532</f>
        <v>76.470588235294102</v>
      </c>
      <c r="J535" s="225"/>
      <c r="K535" s="15" t="str">
        <f ca="1">IF($J535="〇",OFFSET(集計!B$3,合体!$H535,0),"")</f>
        <v/>
      </c>
      <c r="L535" s="15" t="str">
        <f ca="1">IF($J535="〇",OFFSET(集計!C$3,合体!$H535,0),"")</f>
        <v/>
      </c>
      <c r="M535" s="202" t="str">
        <f ca="1">IF($J535="〇",OFFSET(集計!D$3,合体!$H535,0),"")</f>
        <v/>
      </c>
    </row>
    <row r="536" spans="2:13" x14ac:dyDescent="0.2">
      <c r="B536" s="201">
        <f t="shared" si="8"/>
        <v>532</v>
      </c>
      <c r="C536" s="15" t="str">
        <f>薬品マスタリスト_20260130100542!A534</f>
        <v>ドネペジル塩酸塩細粒０．５％「日医工」</v>
      </c>
      <c r="D536" s="15" t="str">
        <f>薬品マスタリスト_20260130100542!B534</f>
        <v>ﾄﾞﾈﾍﾟｼﾞﾙｴﾝｻﾝｴﾝｻｲﾘｭｳ0.5%｢ﾆﾁｲｺｳ｣</v>
      </c>
      <c r="E536" s="15">
        <f>薬品マスタリスト_20260130100542!C534</f>
        <v>3</v>
      </c>
      <c r="F536" s="206" t="str">
        <f>薬品マスタリスト_20260130100542!D534</f>
        <v>散</v>
      </c>
      <c r="G536" s="208" t="str">
        <f>match_results!C533</f>
        <v>ドネペジル塩酸塩錠ＯＤ５ｍｇ</v>
      </c>
      <c r="H536" s="208">
        <f>match_results!D533</f>
        <v>604</v>
      </c>
      <c r="I536" s="218">
        <f>match_results!E533</f>
        <v>54.545454545454497</v>
      </c>
      <c r="J536" s="225"/>
      <c r="K536" s="15" t="str">
        <f ca="1">IF($J536="〇",OFFSET(集計!B$3,合体!$H536,0),"")</f>
        <v/>
      </c>
      <c r="L536" s="15" t="str">
        <f ca="1">IF($J536="〇",OFFSET(集計!C$3,合体!$H536,0),"")</f>
        <v/>
      </c>
      <c r="M536" s="202" t="str">
        <f ca="1">IF($J536="〇",OFFSET(集計!D$3,合体!$H536,0),"")</f>
        <v/>
      </c>
    </row>
    <row r="537" spans="2:13" x14ac:dyDescent="0.2">
      <c r="B537" s="201">
        <f t="shared" si="8"/>
        <v>533</v>
      </c>
      <c r="C537" s="15" t="str">
        <f>薬品マスタリスト_20260130100542!A535</f>
        <v>ドネペジル塩酸塩ＯＤ錠１０ｍｇ「明治」</v>
      </c>
      <c r="D537" s="15" t="str">
        <f>薬品マスタリスト_20260130100542!B535</f>
        <v>ﾄﾞﾈﾍﾟｼﾞﾙｴﾝｻﾝｴﾝODｼﾞｮｳ10mg｢ﾒｲｼﾞ｣</v>
      </c>
      <c r="E537" s="15">
        <f>薬品マスタリスト_20260130100542!C535</f>
        <v>1</v>
      </c>
      <c r="F537" s="206" t="str">
        <f>薬品マスタリスト_20260130100542!D535</f>
        <v>錠剤</v>
      </c>
      <c r="G537" s="208" t="str">
        <f>match_results!C534</f>
        <v>ドネペジル塩酸塩錠ＯＤ１０ｍｇ</v>
      </c>
      <c r="H537" s="208">
        <f>match_results!D534</f>
        <v>598</v>
      </c>
      <c r="I537" s="218">
        <f>match_results!E534</f>
        <v>82.352941176470495</v>
      </c>
      <c r="J537" s="225"/>
      <c r="K537" s="15" t="str">
        <f ca="1">IF($J537="〇",OFFSET(集計!B$3,合体!$H537,0),"")</f>
        <v/>
      </c>
      <c r="L537" s="15" t="str">
        <f ca="1">IF($J537="〇",OFFSET(集計!C$3,合体!$H537,0),"")</f>
        <v/>
      </c>
      <c r="M537" s="202" t="str">
        <f ca="1">IF($J537="〇",OFFSET(集計!D$3,合体!$H537,0),"")</f>
        <v/>
      </c>
    </row>
    <row r="538" spans="2:13" x14ac:dyDescent="0.2">
      <c r="B538" s="201">
        <f t="shared" si="8"/>
        <v>534</v>
      </c>
      <c r="C538" s="15" t="str">
        <f>薬品マスタリスト_20260130100542!A536</f>
        <v>ドネペジル塩酸塩ＯＤ錠１０ｍｇ「オーハラ」</v>
      </c>
      <c r="D538" s="15" t="str">
        <f>薬品マスタリスト_20260130100542!B536</f>
        <v>ﾄﾞﾈﾍﾟｼﾞﾙｴﾝｻﾝｴﾝODｼﾞｮｳ10mg｢ｵｰﾊﾗ｣</v>
      </c>
      <c r="E538" s="15">
        <f>薬品マスタリスト_20260130100542!C536</f>
        <v>1</v>
      </c>
      <c r="F538" s="206" t="str">
        <f>薬品マスタリスト_20260130100542!D536</f>
        <v>錠剤</v>
      </c>
      <c r="G538" s="208" t="str">
        <f>match_results!C535</f>
        <v>ドネペジル塩酸塩錠ＯＤ１０ｍｇ</v>
      </c>
      <c r="H538" s="208">
        <f>match_results!D535</f>
        <v>598</v>
      </c>
      <c r="I538" s="218">
        <f>match_results!E535</f>
        <v>77.7777777777777</v>
      </c>
      <c r="J538" s="225"/>
      <c r="K538" s="15" t="str">
        <f ca="1">IF($J538="〇",OFFSET(集計!B$3,合体!$H538,0),"")</f>
        <v/>
      </c>
      <c r="L538" s="15" t="str">
        <f ca="1">IF($J538="〇",OFFSET(集計!C$3,合体!$H538,0),"")</f>
        <v/>
      </c>
      <c r="M538" s="202" t="str">
        <f ca="1">IF($J538="〇",OFFSET(集計!D$3,合体!$H538,0),"")</f>
        <v/>
      </c>
    </row>
    <row r="539" spans="2:13" x14ac:dyDescent="0.2">
      <c r="B539" s="201">
        <f t="shared" si="8"/>
        <v>535</v>
      </c>
      <c r="C539" s="15" t="str">
        <f>薬品マスタリスト_20260130100542!A537</f>
        <v>ドネペジル塩酸塩ＯＤ錠３ｍｇ「トーワ」</v>
      </c>
      <c r="D539" s="15" t="str">
        <f>薬品マスタリスト_20260130100542!B537</f>
        <v>ﾄﾞﾈﾍﾟｼﾞﾙｴﾝｻﾝｴﾝODｼﾞﾖｳ3MGﾄ-ﾜ</v>
      </c>
      <c r="E539" s="15">
        <f>薬品マスタリスト_20260130100542!C537</f>
        <v>1</v>
      </c>
      <c r="F539" s="206" t="str">
        <f>薬品マスタリスト_20260130100542!D537</f>
        <v>錠剤</v>
      </c>
      <c r="G539" s="208" t="str">
        <f>match_results!C536</f>
        <v>ドネペジル塩酸塩錠ＯＤ３ｍｇ</v>
      </c>
      <c r="H539" s="208">
        <f>match_results!D536</f>
        <v>606</v>
      </c>
      <c r="I539" s="218">
        <f>match_results!E536</f>
        <v>78.787878787878697</v>
      </c>
      <c r="J539" s="225"/>
      <c r="K539" s="15" t="str">
        <f ca="1">IF($J539="〇",OFFSET(集計!B$3,合体!$H539,0),"")</f>
        <v/>
      </c>
      <c r="L539" s="15" t="str">
        <f ca="1">IF($J539="〇",OFFSET(集計!C$3,合体!$H539,0),"")</f>
        <v/>
      </c>
      <c r="M539" s="202" t="str">
        <f ca="1">IF($J539="〇",OFFSET(集計!D$3,合体!$H539,0),"")</f>
        <v/>
      </c>
    </row>
    <row r="540" spans="2:13" x14ac:dyDescent="0.2">
      <c r="B540" s="201">
        <f t="shared" si="8"/>
        <v>536</v>
      </c>
      <c r="C540" s="15" t="str">
        <f>薬品マスタリスト_20260130100542!A538</f>
        <v>ドネペジル塩酸塩ＯＤ錠５ｍｇ「トーワ」</v>
      </c>
      <c r="D540" s="15" t="str">
        <f>薬品マスタリスト_20260130100542!B538</f>
        <v>ﾄﾞﾈﾍﾟｼﾞﾙｴﾝｻﾝｴﾝODｼﾞﾖｳ5MGﾄ-ﾜ</v>
      </c>
      <c r="E540" s="15">
        <f>薬品マスタリスト_20260130100542!C538</f>
        <v>1</v>
      </c>
      <c r="F540" s="206" t="str">
        <f>薬品マスタリスト_20260130100542!D538</f>
        <v>錠剤</v>
      </c>
      <c r="G540" s="208" t="str">
        <f>match_results!C537</f>
        <v>ドネペジル塩酸塩錠ＯＤ５ｍｇ</v>
      </c>
      <c r="H540" s="208">
        <f>match_results!D537</f>
        <v>604</v>
      </c>
      <c r="I540" s="218">
        <f>match_results!E537</f>
        <v>78.787878787878697</v>
      </c>
      <c r="J540" s="225"/>
      <c r="K540" s="15" t="str">
        <f ca="1">IF($J540="〇",OFFSET(集計!B$3,合体!$H540,0),"")</f>
        <v/>
      </c>
      <c r="L540" s="15" t="str">
        <f ca="1">IF($J540="〇",OFFSET(集計!C$3,合体!$H540,0),"")</f>
        <v/>
      </c>
      <c r="M540" s="202" t="str">
        <f ca="1">IF($J540="〇",OFFSET(集計!D$3,合体!$H540,0),"")</f>
        <v/>
      </c>
    </row>
    <row r="541" spans="2:13" x14ac:dyDescent="0.2">
      <c r="B541" s="201">
        <f t="shared" si="8"/>
        <v>537</v>
      </c>
      <c r="C541" s="15" t="str">
        <f>薬品マスタリスト_20260130100542!A539</f>
        <v>ドネペジル塩酸塩ＯＤ錠１０ｍｇ「トーワ」</v>
      </c>
      <c r="D541" s="15" t="str">
        <f>薬品マスタリスト_20260130100542!B539</f>
        <v>ﾄﾞﾈﾍﾟｼﾞﾙｴﾝｻﾝｴﾝODｼﾞﾖｳ10MGﾄ-ﾜ</v>
      </c>
      <c r="E541" s="15">
        <f>薬品マスタリスト_20260130100542!C539</f>
        <v>1</v>
      </c>
      <c r="F541" s="206" t="str">
        <f>薬品マスタリスト_20260130100542!D539</f>
        <v>錠剤</v>
      </c>
      <c r="G541" s="208" t="str">
        <f>match_results!C538</f>
        <v>ドネペジル塩酸塩錠ＯＤ１０ｍｇ</v>
      </c>
      <c r="H541" s="208">
        <f>match_results!D538</f>
        <v>598</v>
      </c>
      <c r="I541" s="218">
        <f>match_results!E538</f>
        <v>80</v>
      </c>
      <c r="J541" s="225"/>
      <c r="K541" s="15" t="str">
        <f ca="1">IF($J541="〇",OFFSET(集計!B$3,合体!$H541,0),"")</f>
        <v/>
      </c>
      <c r="L541" s="15" t="str">
        <f ca="1">IF($J541="〇",OFFSET(集計!C$3,合体!$H541,0),"")</f>
        <v/>
      </c>
      <c r="M541" s="202" t="str">
        <f ca="1">IF($J541="〇",OFFSET(集計!D$3,合体!$H541,0),"")</f>
        <v/>
      </c>
    </row>
    <row r="542" spans="2:13" x14ac:dyDescent="0.2">
      <c r="B542" s="201">
        <f t="shared" si="8"/>
        <v>538</v>
      </c>
      <c r="C542" s="15" t="str">
        <f>薬品マスタリスト_20260130100542!A540</f>
        <v>ドパストン静注５０ｍｇ</v>
      </c>
      <c r="D542" s="15" t="str">
        <f>薬品マスタリスト_20260130100542!B540</f>
        <v>ﾄﾞﾊﾟｽﾄﾝｼﾞｮｳﾁｭｳ50mg</v>
      </c>
      <c r="E542" s="15">
        <f>薬品マスタリスト_20260130100542!C540</f>
        <v>25</v>
      </c>
      <c r="F542" s="206" t="str">
        <f>薬品マスタリスト_20260130100542!D540</f>
        <v>注射剤</v>
      </c>
      <c r="G542" s="208" t="str">
        <f>match_results!C539</f>
        <v>ドパストン静注（５０）</v>
      </c>
      <c r="H542" s="208">
        <f>match_results!D539</f>
        <v>268</v>
      </c>
      <c r="I542" s="218">
        <f>match_results!E539</f>
        <v>81.818181818181799</v>
      </c>
      <c r="J542" s="225"/>
      <c r="K542" s="15" t="str">
        <f ca="1">IF($J542="〇",OFFSET(集計!B$3,合体!$H542,0),"")</f>
        <v/>
      </c>
      <c r="L542" s="15" t="str">
        <f ca="1">IF($J542="〇",OFFSET(集計!C$3,合体!$H542,0),"")</f>
        <v/>
      </c>
      <c r="M542" s="202" t="str">
        <f ca="1">IF($J542="〇",OFFSET(集計!D$3,合体!$H542,0),"")</f>
        <v/>
      </c>
    </row>
    <row r="543" spans="2:13" x14ac:dyDescent="0.2">
      <c r="B543" s="201">
        <f t="shared" si="8"/>
        <v>539</v>
      </c>
      <c r="C543" s="15" t="str">
        <f>薬品マスタリスト_20260130100542!A541</f>
        <v>ドパミン塩酸塩点滴静注１００ｍｇ「ＮＰ」</v>
      </c>
      <c r="D543" s="15" t="str">
        <f>薬品マスタリスト_20260130100542!B541</f>
        <v>ﾄﾞﾊﾟﾐﾝｴﾝｻﾝｴﾝﾃﾝﾃｷｼﾞｮｳﾁｭｳ100mg｢NP｣</v>
      </c>
      <c r="E543" s="15">
        <f>薬品マスタリスト_20260130100542!C541</f>
        <v>25</v>
      </c>
      <c r="F543" s="206" t="str">
        <f>薬品マスタリスト_20260130100542!D541</f>
        <v>注射剤</v>
      </c>
      <c r="G543" s="208" t="str">
        <f>match_results!C540</f>
        <v>ドパミン塩酸塩点滴静注　１００ｍｇ「ＫＮ」　５Ｘ１０管</v>
      </c>
      <c r="H543" s="208">
        <f>match_results!D540</f>
        <v>321</v>
      </c>
      <c r="I543" s="218">
        <f>match_results!E540</f>
        <v>80.851063829787194</v>
      </c>
      <c r="J543" s="225"/>
      <c r="K543" s="15" t="str">
        <f ca="1">IF($J543="〇",OFFSET(集計!B$3,合体!$H543,0),"")</f>
        <v/>
      </c>
      <c r="L543" s="15" t="str">
        <f ca="1">IF($J543="〇",OFFSET(集計!C$3,合体!$H543,0),"")</f>
        <v/>
      </c>
      <c r="M543" s="202" t="str">
        <f ca="1">IF($J543="〇",OFFSET(集計!D$3,合体!$H543,0),"")</f>
        <v/>
      </c>
    </row>
    <row r="544" spans="2:13" x14ac:dyDescent="0.2">
      <c r="B544" s="201">
        <f t="shared" si="8"/>
        <v>540</v>
      </c>
      <c r="C544" s="15" t="str">
        <f>薬品マスタリスト_20260130100542!A542</f>
        <v>トピナ錠５０ｍｇ</v>
      </c>
      <c r="D544" s="15" t="str">
        <f>薬品マスタリスト_20260130100542!B542</f>
        <v>ﾄﾋﾟﾅｼﾞｮｳ50mg</v>
      </c>
      <c r="E544" s="15">
        <f>薬品マスタリスト_20260130100542!C542</f>
        <v>1</v>
      </c>
      <c r="F544" s="206" t="str">
        <f>薬品マスタリスト_20260130100542!D542</f>
        <v>錠剤</v>
      </c>
      <c r="G544" s="208" t="str">
        <f>match_results!C541</f>
        <v>ロドピン錠５０ｍｇ　</v>
      </c>
      <c r="H544" s="208">
        <f>match_results!D541</f>
        <v>589</v>
      </c>
      <c r="I544" s="218">
        <f>match_results!E541</f>
        <v>70.588235294117595</v>
      </c>
      <c r="J544" s="225"/>
      <c r="K544" s="15" t="str">
        <f ca="1">IF($J544="〇",OFFSET(集計!B$3,合体!$H544,0),"")</f>
        <v/>
      </c>
      <c r="L544" s="15" t="str">
        <f ca="1">IF($J544="〇",OFFSET(集計!C$3,合体!$H544,0),"")</f>
        <v/>
      </c>
      <c r="M544" s="202" t="str">
        <f ca="1">IF($J544="〇",OFFSET(集計!D$3,合体!$H544,0),"")</f>
        <v/>
      </c>
    </row>
    <row r="545" spans="2:13" x14ac:dyDescent="0.2">
      <c r="B545" s="201">
        <f t="shared" si="8"/>
        <v>541</v>
      </c>
      <c r="C545" s="15" t="str">
        <f>薬品マスタリスト_20260130100542!A543</f>
        <v>トピロリック錠４０ｍｇ</v>
      </c>
      <c r="D545" s="15" t="str">
        <f>薬品マスタリスト_20260130100542!B543</f>
        <v>ﾄﾋﾟﾛﾘｯｸｼﾞｮｳ40mg</v>
      </c>
      <c r="E545" s="15">
        <f>薬品マスタリスト_20260130100542!C543</f>
        <v>1</v>
      </c>
      <c r="F545" s="206" t="str">
        <f>薬品マスタリスト_20260130100542!D543</f>
        <v>錠剤</v>
      </c>
      <c r="G545" s="208" t="str">
        <f>match_results!C542</f>
        <v>トピロリック</v>
      </c>
      <c r="H545" s="208">
        <f>match_results!D542</f>
        <v>461</v>
      </c>
      <c r="I545" s="218">
        <f>match_results!E542</f>
        <v>70.588235294117595</v>
      </c>
      <c r="J545" s="225"/>
      <c r="K545" s="15" t="str">
        <f ca="1">IF($J545="〇",OFFSET(集計!B$3,合体!$H545,0),"")</f>
        <v/>
      </c>
      <c r="L545" s="15" t="str">
        <f ca="1">IF($J545="〇",OFFSET(集計!C$3,合体!$H545,0),"")</f>
        <v/>
      </c>
      <c r="M545" s="202" t="str">
        <f ca="1">IF($J545="〇",OFFSET(集計!D$3,合体!$H545,0),"")</f>
        <v/>
      </c>
    </row>
    <row r="546" spans="2:13" x14ac:dyDescent="0.2">
      <c r="B546" s="201">
        <f t="shared" si="8"/>
        <v>542</v>
      </c>
      <c r="C546" s="15" t="str">
        <f>薬品マスタリスト_20260130100542!A544</f>
        <v>ドプスＯＤ錠１００ｍｇ</v>
      </c>
      <c r="D546" s="15" t="str">
        <f>薬品マスタリスト_20260130100542!B544</f>
        <v>ﾄﾞﾌﾟｽODｼﾞｮｳ100mg</v>
      </c>
      <c r="E546" s="15">
        <f>薬品マスタリスト_20260130100542!C544</f>
        <v>1</v>
      </c>
      <c r="F546" s="206" t="str">
        <f>薬品マスタリスト_20260130100542!D544</f>
        <v>錠剤</v>
      </c>
      <c r="G546" s="208" t="str">
        <f>match_results!C543</f>
        <v>ドプスＯＤ１００ｍｇ</v>
      </c>
      <c r="H546" s="208">
        <f>match_results!D543</f>
        <v>255</v>
      </c>
      <c r="I546" s="218">
        <f>match_results!E543</f>
        <v>95.238095238095198</v>
      </c>
      <c r="J546" s="225"/>
      <c r="K546" s="15" t="str">
        <f ca="1">IF($J546="〇",OFFSET(集計!B$3,合体!$H546,0),"")</f>
        <v/>
      </c>
      <c r="L546" s="15" t="str">
        <f ca="1">IF($J546="〇",OFFSET(集計!C$3,合体!$H546,0),"")</f>
        <v/>
      </c>
      <c r="M546" s="202" t="str">
        <f ca="1">IF($J546="〇",OFFSET(集計!D$3,合体!$H546,0),"")</f>
        <v/>
      </c>
    </row>
    <row r="547" spans="2:13" x14ac:dyDescent="0.2">
      <c r="B547" s="201">
        <f t="shared" si="8"/>
        <v>543</v>
      </c>
      <c r="C547" s="15" t="str">
        <f>薬品マスタリスト_20260130100542!A545</f>
        <v>トフラニール錠１０ｍｇ</v>
      </c>
      <c r="D547" s="15" t="str">
        <f>薬品マスタリスト_20260130100542!B545</f>
        <v>ﾄﾌﾗﾆｰﾙｼﾞｮｳ10mg</v>
      </c>
      <c r="E547" s="15">
        <f>薬品マスタリスト_20260130100542!C545</f>
        <v>1</v>
      </c>
      <c r="F547" s="206" t="str">
        <f>薬品マスタリスト_20260130100542!D545</f>
        <v>錠剤</v>
      </c>
      <c r="G547" s="208" t="str">
        <f>match_results!C544</f>
        <v>トフラニール錠１０ｍｇ</v>
      </c>
      <c r="H547" s="208">
        <f>match_results!D544</f>
        <v>136</v>
      </c>
      <c r="I547" s="218">
        <f>match_results!E544</f>
        <v>100</v>
      </c>
      <c r="J547" s="225" t="s">
        <v>3917</v>
      </c>
      <c r="K547" s="15">
        <f ca="1">IF($J547="〇",OFFSET(集計!B$3,合体!$H547,0),"")</f>
        <v>8.5299999999999994</v>
      </c>
      <c r="L547" s="15">
        <f ca="1">IF($J547="〇",OFFSET(集計!C$3,合体!$H547,0),"")</f>
        <v>225</v>
      </c>
      <c r="M547" s="202">
        <f ca="1">IF($J547="〇",OFFSET(集計!D$3,合体!$H547,0),"")</f>
        <v>1919.2499999999998</v>
      </c>
    </row>
    <row r="548" spans="2:13" x14ac:dyDescent="0.2">
      <c r="B548" s="201">
        <f t="shared" si="8"/>
        <v>544</v>
      </c>
      <c r="C548" s="15" t="str">
        <f>薬品マスタリスト_20260130100542!A546</f>
        <v>ドボネックス軟膏５０μｇ／ｇ</v>
      </c>
      <c r="D548" s="15" t="str">
        <f>薬品マスタリスト_20260130100542!B546</f>
        <v>ﾄﾞﾎﾞﾈｯｸｽﾅﾝｺｳ50μg/g</v>
      </c>
      <c r="E548" s="15">
        <f>薬品マスタリスト_20260130100542!C546</f>
        <v>14</v>
      </c>
      <c r="F548" s="206" t="str">
        <f>薬品マスタリスト_20260130100542!D546</f>
        <v>軟膏</v>
      </c>
      <c r="G548" s="208" t="str">
        <f>match_results!C545</f>
        <v>ヘモレックス軟膏　２ｇ／本</v>
      </c>
      <c r="H548" s="208">
        <f>match_results!D545</f>
        <v>343</v>
      </c>
      <c r="I548" s="218">
        <f>match_results!E545</f>
        <v>51.851851851851798</v>
      </c>
      <c r="J548" s="225"/>
      <c r="K548" s="15" t="str">
        <f ca="1">IF($J548="〇",OFFSET(集計!B$3,合体!$H548,0),"")</f>
        <v/>
      </c>
      <c r="L548" s="15" t="str">
        <f ca="1">IF($J548="〇",OFFSET(集計!C$3,合体!$H548,0),"")</f>
        <v/>
      </c>
      <c r="M548" s="202" t="str">
        <f ca="1">IF($J548="〇",OFFSET(集計!D$3,合体!$H548,0),"")</f>
        <v/>
      </c>
    </row>
    <row r="549" spans="2:13" x14ac:dyDescent="0.2">
      <c r="B549" s="201">
        <f t="shared" si="8"/>
        <v>545</v>
      </c>
      <c r="C549" s="15" t="str">
        <f>薬品マスタリスト_20260130100542!A547</f>
        <v>トラゼンタ錠５ｍｇ</v>
      </c>
      <c r="D549" s="15" t="str">
        <f>薬品マスタリスト_20260130100542!B547</f>
        <v>ﾄﾗｾﾞﾝﾀｼﾞｮｳ5mg</v>
      </c>
      <c r="E549" s="15">
        <f>薬品マスタリスト_20260130100542!C547</f>
        <v>1</v>
      </c>
      <c r="F549" s="206" t="str">
        <f>薬品マスタリスト_20260130100542!D547</f>
        <v>錠剤</v>
      </c>
      <c r="G549" s="208" t="str">
        <f>match_results!C546</f>
        <v>トラゼンタ錠５ｍｇ</v>
      </c>
      <c r="H549" s="208">
        <f>match_results!D546</f>
        <v>546</v>
      </c>
      <c r="I549" s="218">
        <f>match_results!E546</f>
        <v>100</v>
      </c>
      <c r="J549" s="225" t="s">
        <v>3917</v>
      </c>
      <c r="K549" s="15">
        <f ca="1">IF($J549="〇",OFFSET(集計!B$3,合体!$H549,0),"")</f>
        <v>108.68</v>
      </c>
      <c r="L549" s="15">
        <f ca="1">IF($J549="〇",OFFSET(集計!C$3,合体!$H549,0),"")</f>
        <v>196</v>
      </c>
      <c r="M549" s="202">
        <f ca="1">IF($J549="〇",OFFSET(集計!D$3,合体!$H549,0),"")</f>
        <v>21301.280000000002</v>
      </c>
    </row>
    <row r="550" spans="2:13" x14ac:dyDescent="0.2">
      <c r="B550" s="201">
        <f t="shared" si="8"/>
        <v>546</v>
      </c>
      <c r="C550" s="15" t="str">
        <f>薬品マスタリスト_20260130100542!A548</f>
        <v>トラセミド錠４ｍｇ「ＫＯ」</v>
      </c>
      <c r="D550" s="15" t="str">
        <f>薬品マスタリスト_20260130100542!B548</f>
        <v>ﾄﾗｾﾐﾄﾞｼﾞﾖｳ4MGKO</v>
      </c>
      <c r="E550" s="15">
        <f>薬品マスタリスト_20260130100542!C548</f>
        <v>1</v>
      </c>
      <c r="F550" s="206" t="str">
        <f>薬品マスタリスト_20260130100542!D548</f>
        <v>錠剤</v>
      </c>
      <c r="G550" s="208" t="str">
        <f>match_results!C547</f>
        <v>テトラミド錠１０ｍｇ　</v>
      </c>
      <c r="H550" s="208">
        <f>match_results!D547</f>
        <v>115</v>
      </c>
      <c r="I550" s="218">
        <f>match_results!E547</f>
        <v>60.869565217391298</v>
      </c>
      <c r="J550" s="225"/>
      <c r="K550" s="15" t="str">
        <f ca="1">IF($J550="〇",OFFSET(集計!B$3,合体!$H550,0),"")</f>
        <v/>
      </c>
      <c r="L550" s="15" t="str">
        <f ca="1">IF($J550="〇",OFFSET(集計!C$3,合体!$H550,0),"")</f>
        <v/>
      </c>
      <c r="M550" s="202" t="str">
        <f ca="1">IF($J550="〇",OFFSET(集計!D$3,合体!$H550,0),"")</f>
        <v/>
      </c>
    </row>
    <row r="551" spans="2:13" x14ac:dyDescent="0.2">
      <c r="B551" s="201">
        <f t="shared" si="8"/>
        <v>547</v>
      </c>
      <c r="C551" s="15" t="str">
        <f>薬品マスタリスト_20260130100542!A549</f>
        <v>トラゾドン塩酸塩錠２５ｍｇ「アメル」</v>
      </c>
      <c r="D551" s="15" t="str">
        <f>薬品マスタリスト_20260130100542!B549</f>
        <v>ﾄﾗｿﾞﾄﾞﾝｴﾝｻﾝｴﾝｼﾞｮｳ25mg｢ｱﾒﾙ｣</v>
      </c>
      <c r="E551" s="15">
        <f>薬品マスタリスト_20260130100542!C549</f>
        <v>1</v>
      </c>
      <c r="F551" s="206" t="str">
        <f>薬品マスタリスト_20260130100542!D549</f>
        <v>錠剤</v>
      </c>
      <c r="G551" s="208" t="str">
        <f>match_results!C548</f>
        <v>トラゾドン錠２５ｍｇ</v>
      </c>
      <c r="H551" s="208">
        <f>match_results!D548</f>
        <v>349</v>
      </c>
      <c r="I551" s="218">
        <f>match_results!E548</f>
        <v>71.428571428571402</v>
      </c>
      <c r="J551" s="225"/>
      <c r="K551" s="15" t="str">
        <f ca="1">IF($J551="〇",OFFSET(集計!B$3,合体!$H551,0),"")</f>
        <v/>
      </c>
      <c r="L551" s="15" t="str">
        <f ca="1">IF($J551="〇",OFFSET(集計!C$3,合体!$H551,0),"")</f>
        <v/>
      </c>
      <c r="M551" s="202" t="str">
        <f ca="1">IF($J551="〇",OFFSET(集計!D$3,合体!$H551,0),"")</f>
        <v/>
      </c>
    </row>
    <row r="552" spans="2:13" x14ac:dyDescent="0.2">
      <c r="B552" s="201">
        <f t="shared" si="8"/>
        <v>548</v>
      </c>
      <c r="C552" s="15" t="str">
        <f>薬品マスタリスト_20260130100542!A550</f>
        <v>トラマールＯＤ錠５０ｍｇ</v>
      </c>
      <c r="D552" s="15" t="str">
        <f>薬品マスタリスト_20260130100542!B550</f>
        <v>ﾄﾗﾏｰﾙODｼﾞｮｳ50mg</v>
      </c>
      <c r="E552" s="15">
        <f>薬品マスタリスト_20260130100542!C550</f>
        <v>1</v>
      </c>
      <c r="F552" s="206" t="str">
        <f>薬品マスタリスト_20260130100542!D550</f>
        <v>錠剤</v>
      </c>
      <c r="G552" s="208" t="str">
        <f>match_results!C549</f>
        <v>トラマールＯＤ錠２５</v>
      </c>
      <c r="H552" s="208">
        <f>match_results!D549</f>
        <v>211</v>
      </c>
      <c r="I552" s="218">
        <f>match_results!E549</f>
        <v>81.818181818181799</v>
      </c>
      <c r="J552" s="225"/>
      <c r="K552" s="15" t="str">
        <f ca="1">IF($J552="〇",OFFSET(集計!B$3,合体!$H552,0),"")</f>
        <v/>
      </c>
      <c r="L552" s="15" t="str">
        <f ca="1">IF($J552="〇",OFFSET(集計!C$3,合体!$H552,0),"")</f>
        <v/>
      </c>
      <c r="M552" s="202" t="str">
        <f ca="1">IF($J552="〇",OFFSET(集計!D$3,合体!$H552,0),"")</f>
        <v/>
      </c>
    </row>
    <row r="553" spans="2:13" x14ac:dyDescent="0.2">
      <c r="B553" s="201">
        <f t="shared" si="8"/>
        <v>549</v>
      </c>
      <c r="C553" s="15" t="str">
        <f>薬品マスタリスト_20260130100542!A551</f>
        <v>トラマールＯＤ錠２５ｍｇ</v>
      </c>
      <c r="D553" s="15" t="str">
        <f>薬品マスタリスト_20260130100542!B551</f>
        <v>ﾄﾗﾏ-ﾙODｼﾞﾖｳ25MG</v>
      </c>
      <c r="E553" s="15">
        <f>薬品マスタリスト_20260130100542!C551</f>
        <v>1</v>
      </c>
      <c r="F553" s="206" t="str">
        <f>薬品マスタリスト_20260130100542!D551</f>
        <v>錠剤</v>
      </c>
      <c r="G553" s="208" t="str">
        <f>match_results!C550</f>
        <v>トラマールＯＤ錠２５</v>
      </c>
      <c r="H553" s="208">
        <f>match_results!D550</f>
        <v>211</v>
      </c>
      <c r="I553" s="218">
        <f>match_results!E550</f>
        <v>90.909090909090907</v>
      </c>
      <c r="J553" s="225"/>
      <c r="K553" s="15" t="str">
        <f ca="1">IF($J553="〇",OFFSET(集計!B$3,合体!$H553,0),"")</f>
        <v/>
      </c>
      <c r="L553" s="15" t="str">
        <f ca="1">IF($J553="〇",OFFSET(集計!C$3,合体!$H553,0),"")</f>
        <v/>
      </c>
      <c r="M553" s="202" t="str">
        <f ca="1">IF($J553="〇",OFFSET(集計!D$3,合体!$H553,0),"")</f>
        <v/>
      </c>
    </row>
    <row r="554" spans="2:13" x14ac:dyDescent="0.2">
      <c r="B554" s="201">
        <f t="shared" si="8"/>
        <v>550</v>
      </c>
      <c r="C554" s="15" t="str">
        <f>薬品マスタリスト_20260130100542!A552</f>
        <v>トラムセット配合錠</v>
      </c>
      <c r="D554" s="15" t="str">
        <f>薬品マスタリスト_20260130100542!B552</f>
        <v>ﾄﾗﾑｾｯﾄﾊｲｺﾞｳｼﾞｮｳ</v>
      </c>
      <c r="E554" s="15">
        <f>薬品マスタリスト_20260130100542!C552</f>
        <v>1</v>
      </c>
      <c r="F554" s="206" t="str">
        <f>薬品マスタリスト_20260130100542!D552</f>
        <v>錠剤</v>
      </c>
      <c r="G554" s="208" t="str">
        <f>match_results!C551</f>
        <v>セレスタミン配合錠</v>
      </c>
      <c r="H554" s="208">
        <f>match_results!D551</f>
        <v>30</v>
      </c>
      <c r="I554" s="218">
        <f>match_results!E551</f>
        <v>44.4444444444444</v>
      </c>
      <c r="J554" s="225"/>
      <c r="K554" s="15" t="str">
        <f ca="1">IF($J554="〇",OFFSET(集計!B$3,合体!$H554,0),"")</f>
        <v/>
      </c>
      <c r="L554" s="15" t="str">
        <f ca="1">IF($J554="〇",OFFSET(集計!C$3,合体!$H554,0),"")</f>
        <v/>
      </c>
      <c r="M554" s="202" t="str">
        <f ca="1">IF($J554="〇",OFFSET(集計!D$3,合体!$H554,0),"")</f>
        <v/>
      </c>
    </row>
    <row r="555" spans="2:13" x14ac:dyDescent="0.2">
      <c r="B555" s="201">
        <f t="shared" si="8"/>
        <v>551</v>
      </c>
      <c r="C555" s="15" t="str">
        <f>薬品マスタリスト_20260130100542!A553</f>
        <v>トランサミンカプセル２５０ｍｇ</v>
      </c>
      <c r="D555" s="15" t="str">
        <f>薬品マスタリスト_20260130100542!B553</f>
        <v>ﾄﾗﾝｻﾐﾝｶﾌﾟｾﾙ250mg</v>
      </c>
      <c r="E555" s="15">
        <f>薬品マスタリスト_20260130100542!C553</f>
        <v>2</v>
      </c>
      <c r="F555" s="206" t="str">
        <f>薬品マスタリスト_20260130100542!D553</f>
        <v>カプセル</v>
      </c>
      <c r="G555" s="208" t="str">
        <f>match_results!C552</f>
        <v>トランサミンカプセル２５０ｍｇ</v>
      </c>
      <c r="H555" s="208">
        <f>match_results!D552</f>
        <v>401</v>
      </c>
      <c r="I555" s="218">
        <f>match_results!E552</f>
        <v>100</v>
      </c>
      <c r="J555" s="225" t="s">
        <v>3917</v>
      </c>
      <c r="K555" s="15">
        <f ca="1">IF($J555="〇",OFFSET(集計!B$3,合体!$H555,0),"")</f>
        <v>9</v>
      </c>
      <c r="L555" s="15">
        <f ca="1">IF($J555="〇",OFFSET(集計!C$3,合体!$H555,0),"")</f>
        <v>865.42857142857144</v>
      </c>
      <c r="M555" s="202">
        <f ca="1">IF($J555="〇",OFFSET(集計!D$3,合体!$H555,0),"")</f>
        <v>7788.8571428571431</v>
      </c>
    </row>
    <row r="556" spans="2:13" x14ac:dyDescent="0.2">
      <c r="B556" s="201">
        <f t="shared" si="8"/>
        <v>552</v>
      </c>
      <c r="C556" s="15" t="str">
        <f>薬品マスタリスト_20260130100542!A554</f>
        <v>トランサミン注５％</v>
      </c>
      <c r="D556" s="15" t="str">
        <f>薬品マスタリスト_20260130100542!B554</f>
        <v>ﾄﾗﾝｻﾐﾝﾁｭｳ5%</v>
      </c>
      <c r="E556" s="15">
        <f>薬品マスタリスト_20260130100542!C554</f>
        <v>25</v>
      </c>
      <c r="F556" s="206" t="str">
        <f>薬品マスタリスト_20260130100542!D554</f>
        <v>注射剤</v>
      </c>
      <c r="G556" s="208" t="str">
        <f>match_results!C553</f>
        <v>トランサミン注　５％</v>
      </c>
      <c r="H556" s="208">
        <f>match_results!D553</f>
        <v>275</v>
      </c>
      <c r="I556" s="218">
        <f>match_results!E553</f>
        <v>94.736842105263094</v>
      </c>
      <c r="J556" s="225"/>
      <c r="K556" s="15" t="str">
        <f ca="1">IF($J556="〇",OFFSET(集計!B$3,合体!$H556,0),"")</f>
        <v/>
      </c>
      <c r="L556" s="15" t="str">
        <f ca="1">IF($J556="〇",OFFSET(集計!C$3,合体!$H556,0),"")</f>
        <v/>
      </c>
      <c r="M556" s="202" t="str">
        <f ca="1">IF($J556="〇",OFFSET(集計!D$3,合体!$H556,0),"")</f>
        <v/>
      </c>
    </row>
    <row r="557" spans="2:13" x14ac:dyDescent="0.2">
      <c r="B557" s="201">
        <f t="shared" si="8"/>
        <v>553</v>
      </c>
      <c r="C557" s="15" t="str">
        <f>薬品マスタリスト_20260130100542!A555</f>
        <v>トリアゾラム錠０．２５ｍｇ「日医工」</v>
      </c>
      <c r="D557" s="15" t="str">
        <f>薬品マスタリスト_20260130100542!B555</f>
        <v>ﾄﾘｱｿﾞﾗﾑｼﾞｮｳ0.25mg｢ﾆﾁｲｺｳ｣</v>
      </c>
      <c r="E557" s="15">
        <f>薬品マスタリスト_20260130100542!C555</f>
        <v>1</v>
      </c>
      <c r="F557" s="206" t="str">
        <f>薬品マスタリスト_20260130100542!D555</f>
        <v>錠剤</v>
      </c>
      <c r="G557" s="208" t="str">
        <f>match_results!C554</f>
        <v>トリアゾラム錠０．２５ｍｇ</v>
      </c>
      <c r="H557" s="208">
        <f>match_results!D554</f>
        <v>448</v>
      </c>
      <c r="I557" s="218">
        <f>match_results!E554</f>
        <v>83.870967741935402</v>
      </c>
      <c r="J557" s="225"/>
      <c r="K557" s="15" t="str">
        <f ca="1">IF($J557="〇",OFFSET(集計!B$3,合体!$H557,0),"")</f>
        <v/>
      </c>
      <c r="L557" s="15" t="str">
        <f ca="1">IF($J557="〇",OFFSET(集計!C$3,合体!$H557,0),"")</f>
        <v/>
      </c>
      <c r="M557" s="202" t="str">
        <f ca="1">IF($J557="〇",OFFSET(集計!D$3,合体!$H557,0),"")</f>
        <v/>
      </c>
    </row>
    <row r="558" spans="2:13" x14ac:dyDescent="0.2">
      <c r="B558" s="201">
        <f t="shared" si="8"/>
        <v>554</v>
      </c>
      <c r="C558" s="15" t="str">
        <f>薬品マスタリスト_20260130100542!A556</f>
        <v>トリアゾラム錠０．２５ｍｇ「テバ」</v>
      </c>
      <c r="D558" s="15" t="str">
        <f>薬品マスタリスト_20260130100542!B556</f>
        <v>ﾄﾘｱｿﾞﾗﾑｼﾞｮｳ0.25mg｢ﾃﾊﾞ｣</v>
      </c>
      <c r="E558" s="15">
        <f>薬品マスタリスト_20260130100542!C556</f>
        <v>1</v>
      </c>
      <c r="F558" s="206" t="str">
        <f>薬品マスタリスト_20260130100542!D556</f>
        <v>錠剤</v>
      </c>
      <c r="G558" s="208" t="str">
        <f>match_results!C555</f>
        <v>トリアゾラム錠０．２５ｍｇ</v>
      </c>
      <c r="H558" s="208">
        <f>match_results!D555</f>
        <v>448</v>
      </c>
      <c r="I558" s="218">
        <f>match_results!E555</f>
        <v>86.6666666666666</v>
      </c>
      <c r="J558" s="225"/>
      <c r="K558" s="15" t="str">
        <f ca="1">IF($J558="〇",OFFSET(集計!B$3,合体!$H558,0),"")</f>
        <v/>
      </c>
      <c r="L558" s="15" t="str">
        <f ca="1">IF($J558="〇",OFFSET(集計!C$3,合体!$H558,0),"")</f>
        <v/>
      </c>
      <c r="M558" s="202" t="str">
        <f ca="1">IF($J558="〇",OFFSET(集計!D$3,合体!$H558,0),"")</f>
        <v/>
      </c>
    </row>
    <row r="559" spans="2:13" x14ac:dyDescent="0.2">
      <c r="B559" s="201">
        <f t="shared" si="8"/>
        <v>555</v>
      </c>
      <c r="C559" s="15" t="str">
        <f>薬品マスタリスト_20260130100542!A557</f>
        <v>トリアゾラム錠０．２５ｍｇ「ＣＨ」</v>
      </c>
      <c r="D559" s="15" t="str">
        <f>薬品マスタリスト_20260130100542!B557</f>
        <v>ﾄﾘｱｿﾞﾗﾑｼﾞﾖｳ0.25MGCH</v>
      </c>
      <c r="E559" s="15">
        <f>薬品マスタリスト_20260130100542!C557</f>
        <v>1</v>
      </c>
      <c r="F559" s="206" t="str">
        <f>薬品マスタリスト_20260130100542!D557</f>
        <v>錠剤</v>
      </c>
      <c r="G559" s="208" t="str">
        <f>match_results!C556</f>
        <v>トリアゾラム錠０．２５ｍｇ</v>
      </c>
      <c r="H559" s="208">
        <f>match_results!D556</f>
        <v>448</v>
      </c>
      <c r="I559" s="218">
        <f>match_results!E556</f>
        <v>86.6666666666666</v>
      </c>
      <c r="J559" s="225"/>
      <c r="K559" s="15" t="str">
        <f ca="1">IF($J559="〇",OFFSET(集計!B$3,合体!$H559,0),"")</f>
        <v/>
      </c>
      <c r="L559" s="15" t="str">
        <f ca="1">IF($J559="〇",OFFSET(集計!C$3,合体!$H559,0),"")</f>
        <v/>
      </c>
      <c r="M559" s="202" t="str">
        <f ca="1">IF($J559="〇",OFFSET(集計!D$3,合体!$H559,0),"")</f>
        <v/>
      </c>
    </row>
    <row r="560" spans="2:13" x14ac:dyDescent="0.2">
      <c r="B560" s="201">
        <f t="shared" si="8"/>
        <v>556</v>
      </c>
      <c r="C560" s="15" t="str">
        <f>薬品マスタリスト_20260130100542!A558</f>
        <v>トリプタノール錠２５</v>
      </c>
      <c r="D560" s="15" t="str">
        <f>薬品マスタリスト_20260130100542!B558</f>
        <v>ﾄﾘﾌﾟﾀﾉｰﾙｼﾞｮｳ25</v>
      </c>
      <c r="E560" s="15">
        <f>薬品マスタリスト_20260130100542!C558</f>
        <v>1</v>
      </c>
      <c r="F560" s="206" t="str">
        <f>薬品マスタリスト_20260130100542!D558</f>
        <v>錠剤</v>
      </c>
      <c r="G560" s="208" t="str">
        <f>match_results!C557</f>
        <v>トリプタノール錠２５　</v>
      </c>
      <c r="H560" s="208">
        <f>match_results!D557</f>
        <v>203</v>
      </c>
      <c r="I560" s="218">
        <f>match_results!E557</f>
        <v>100</v>
      </c>
      <c r="J560" s="225" t="s">
        <v>3917</v>
      </c>
      <c r="K560" s="15">
        <f ca="1">IF($J560="〇",OFFSET(集計!B$3,合体!$H560,0),"")</f>
        <v>8.9</v>
      </c>
      <c r="L560" s="15">
        <f ca="1">IF($J560="〇",OFFSET(集計!C$3,合体!$H560,0),"")</f>
        <v>330.76923076923077</v>
      </c>
      <c r="M560" s="202">
        <f ca="1">IF($J560="〇",OFFSET(集計!D$3,合体!$H560,0),"")</f>
        <v>2943.8461538461538</v>
      </c>
    </row>
    <row r="561" spans="2:13" x14ac:dyDescent="0.2">
      <c r="B561" s="201">
        <f t="shared" si="8"/>
        <v>557</v>
      </c>
      <c r="C561" s="15" t="str">
        <f>薬品マスタリスト_20260130100542!A559</f>
        <v>トリフリード輸液</v>
      </c>
      <c r="D561" s="15" t="str">
        <f>薬品マスタリスト_20260130100542!B559</f>
        <v>ﾄﾘﾌﾘｰﾄﾞﾕｴｷ</v>
      </c>
      <c r="E561" s="15">
        <f>薬品マスタリスト_20260130100542!C559</f>
        <v>25</v>
      </c>
      <c r="F561" s="206" t="str">
        <f>薬品マスタリスト_20260130100542!D559</f>
        <v>注射剤</v>
      </c>
      <c r="G561" s="208" t="str">
        <f>match_results!C558</f>
        <v>トリフリ－ド輸液</v>
      </c>
      <c r="H561" s="208">
        <f>match_results!D558</f>
        <v>517</v>
      </c>
      <c r="I561" s="218">
        <f>match_results!E558</f>
        <v>87.5</v>
      </c>
      <c r="J561" s="225"/>
      <c r="K561" s="15" t="str">
        <f ca="1">IF($J561="〇",OFFSET(集計!B$3,合体!$H561,0),"")</f>
        <v/>
      </c>
      <c r="L561" s="15" t="str">
        <f ca="1">IF($J561="〇",OFFSET(集計!C$3,合体!$H561,0),"")</f>
        <v/>
      </c>
      <c r="M561" s="202" t="str">
        <f ca="1">IF($J561="〇",OFFSET(集計!D$3,合体!$H561,0),"")</f>
        <v/>
      </c>
    </row>
    <row r="562" spans="2:13" x14ac:dyDescent="0.2">
      <c r="B562" s="201">
        <f t="shared" si="8"/>
        <v>558</v>
      </c>
      <c r="C562" s="15" t="str">
        <f>薬品マスタリスト_20260130100542!A560</f>
        <v>トリヘキシフェニジル塩酸塩錠２ｍｇ「タカタ」</v>
      </c>
      <c r="D562" s="15" t="str">
        <f>薬品マスタリスト_20260130100542!B560</f>
        <v>ﾄﾘﾍｷｼﾌｪﾆｼﾞﾙｴﾝｻﾝｴﾝｼﾞｮｳ2mg｢ﾀｶﾀ｣</v>
      </c>
      <c r="E562" s="15">
        <f>薬品マスタリスト_20260130100542!C560</f>
        <v>1</v>
      </c>
      <c r="F562" s="206" t="str">
        <f>薬品マスタリスト_20260130100542!D560</f>
        <v>錠剤</v>
      </c>
      <c r="G562" s="208" t="str">
        <f>match_results!C559</f>
        <v>トリヘキシフェニジル塩酸塩錠２ｍｇ</v>
      </c>
      <c r="H562" s="208">
        <f>match_results!D559</f>
        <v>276</v>
      </c>
      <c r="I562" s="218">
        <f>match_results!E559</f>
        <v>87.179487179487097</v>
      </c>
      <c r="J562" s="225"/>
      <c r="K562" s="15" t="str">
        <f ca="1">IF($J562="〇",OFFSET(集計!B$3,合体!$H562,0),"")</f>
        <v/>
      </c>
      <c r="L562" s="15" t="str">
        <f ca="1">IF($J562="〇",OFFSET(集計!C$3,合体!$H562,0),"")</f>
        <v/>
      </c>
      <c r="M562" s="202" t="str">
        <f ca="1">IF($J562="〇",OFFSET(集計!D$3,合体!$H562,0),"")</f>
        <v/>
      </c>
    </row>
    <row r="563" spans="2:13" x14ac:dyDescent="0.2">
      <c r="B563" s="201">
        <f t="shared" si="8"/>
        <v>559</v>
      </c>
      <c r="C563" s="15" t="str">
        <f>薬品マスタリスト_20260130100542!A561</f>
        <v>トリヘキシフェニジル塩酸塩錠２ｍｇ「ＮＩＧ」</v>
      </c>
      <c r="D563" s="15" t="str">
        <f>薬品マスタリスト_20260130100542!B561</f>
        <v>ﾄﾘﾍｷｼﾌｴﾆｼﾞﾙｴﾝｻﾝｴﾝｼﾞﾖｳ2MGNIG</v>
      </c>
      <c r="E563" s="15">
        <f>薬品マスタリスト_20260130100542!C561</f>
        <v>1</v>
      </c>
      <c r="F563" s="206" t="str">
        <f>薬品マスタリスト_20260130100542!D561</f>
        <v>錠剤</v>
      </c>
      <c r="G563" s="208" t="str">
        <f>match_results!C560</f>
        <v>トリヘキシフェニジル塩酸塩錠２ｍｇ</v>
      </c>
      <c r="H563" s="208">
        <f>match_results!D560</f>
        <v>276</v>
      </c>
      <c r="I563" s="218">
        <f>match_results!E560</f>
        <v>87.179487179487097</v>
      </c>
      <c r="J563" s="225"/>
      <c r="K563" s="15" t="str">
        <f ca="1">IF($J563="〇",OFFSET(集計!B$3,合体!$H563,0),"")</f>
        <v/>
      </c>
      <c r="L563" s="15" t="str">
        <f ca="1">IF($J563="〇",OFFSET(集計!C$3,合体!$H563,0),"")</f>
        <v/>
      </c>
      <c r="M563" s="202" t="str">
        <f ca="1">IF($J563="〇",OFFSET(集計!D$3,合体!$H563,0),"")</f>
        <v/>
      </c>
    </row>
    <row r="564" spans="2:13" x14ac:dyDescent="0.2">
      <c r="B564" s="201">
        <f t="shared" si="8"/>
        <v>560</v>
      </c>
      <c r="C564" s="15" t="str">
        <f>薬品マスタリスト_20260130100542!A562</f>
        <v>トリメブチンマレイン酸塩錠１００ｍｇ「トーワ」</v>
      </c>
      <c r="D564" s="15" t="str">
        <f>薬品マスタリスト_20260130100542!B562</f>
        <v>ﾄﾘﾒﾌﾞﾁﾝﾏﾚｲﾝｻﾝｴﾝｼﾞｮｳ100mg｢ﾄｰﾜ｣</v>
      </c>
      <c r="E564" s="15">
        <f>薬品マスタリスト_20260130100542!C562</f>
        <v>1</v>
      </c>
      <c r="F564" s="206" t="str">
        <f>薬品マスタリスト_20260130100542!D562</f>
        <v>錠剤</v>
      </c>
      <c r="G564" s="208" t="str">
        <f>match_results!C561</f>
        <v>トリメブチン錠１００ｍｇ</v>
      </c>
      <c r="H564" s="208">
        <f>match_results!D561</f>
        <v>364</v>
      </c>
      <c r="I564" s="218">
        <f>match_results!E561</f>
        <v>68.571428571428498</v>
      </c>
      <c r="J564" s="225"/>
      <c r="K564" s="15" t="str">
        <f ca="1">IF($J564="〇",OFFSET(集計!B$3,合体!$H564,0),"")</f>
        <v/>
      </c>
      <c r="L564" s="15" t="str">
        <f ca="1">IF($J564="〇",OFFSET(集計!C$3,合体!$H564,0),"")</f>
        <v/>
      </c>
      <c r="M564" s="202" t="str">
        <f ca="1">IF($J564="〇",OFFSET(集計!D$3,合体!$H564,0),"")</f>
        <v/>
      </c>
    </row>
    <row r="565" spans="2:13" x14ac:dyDescent="0.2">
      <c r="B565" s="201">
        <f t="shared" si="8"/>
        <v>561</v>
      </c>
      <c r="C565" s="15" t="str">
        <f>薬品マスタリスト_20260130100542!A563</f>
        <v>トリンテリックス錠１０ｍｇ</v>
      </c>
      <c r="D565" s="15" t="str">
        <f>薬品マスタリスト_20260130100542!B563</f>
        <v>ﾄﾘﾝﾃﾘｯｸｽｼﾞｮｳ10mg</v>
      </c>
      <c r="E565" s="15">
        <f>薬品マスタリスト_20260130100542!C563</f>
        <v>1</v>
      </c>
      <c r="F565" s="206" t="str">
        <f>薬品マスタリスト_20260130100542!D563</f>
        <v>錠剤</v>
      </c>
      <c r="G565" s="208" t="str">
        <f>match_results!C562</f>
        <v>トリンテリックス錠１０ｍｇ</v>
      </c>
      <c r="H565" s="208">
        <f>match_results!D562</f>
        <v>640</v>
      </c>
      <c r="I565" s="218">
        <f>match_results!E562</f>
        <v>100</v>
      </c>
      <c r="J565" s="225" t="s">
        <v>3917</v>
      </c>
      <c r="K565" s="15">
        <f ca="1">IF($J565="〇",OFFSET(集計!B$3,合体!$H565,0),"")</f>
        <v>143.87</v>
      </c>
      <c r="L565" s="15">
        <f ca="1">IF($J565="〇",OFFSET(集計!C$3,合体!$H565,0),"")</f>
        <v>459.25</v>
      </c>
      <c r="M565" s="202">
        <f ca="1">IF($J565="〇",OFFSET(集計!D$3,合体!$H565,0),"")</f>
        <v>66072.297500000001</v>
      </c>
    </row>
    <row r="566" spans="2:13" x14ac:dyDescent="0.2">
      <c r="B566" s="201">
        <f t="shared" si="8"/>
        <v>562</v>
      </c>
      <c r="C566" s="15" t="str">
        <f>薬品マスタリスト_20260130100542!A564</f>
        <v>トルソプト点眼液１％</v>
      </c>
      <c r="D566" s="15" t="str">
        <f>薬品マスタリスト_20260130100542!B564</f>
        <v>ﾄﾙｿﾌﾟﾄﾃﾝｶﾞﾝｴｷ1%</v>
      </c>
      <c r="E566" s="15">
        <f>薬品マスタリスト_20260130100542!C564</f>
        <v>21</v>
      </c>
      <c r="F566" s="206" t="str">
        <f>薬品マスタリスト_20260130100542!D564</f>
        <v>点眼剤</v>
      </c>
      <c r="G566" s="208" t="str">
        <f>match_results!C563</f>
        <v>トルソプト点眼１％</v>
      </c>
      <c r="H566" s="208">
        <f>match_results!D563</f>
        <v>74</v>
      </c>
      <c r="I566" s="218">
        <f>match_results!E563</f>
        <v>94.736842105263094</v>
      </c>
      <c r="J566" s="225"/>
      <c r="K566" s="15" t="str">
        <f ca="1">IF($J566="〇",OFFSET(集計!B$3,合体!$H566,0),"")</f>
        <v/>
      </c>
      <c r="L566" s="15" t="str">
        <f ca="1">IF($J566="〇",OFFSET(集計!C$3,合体!$H566,0),"")</f>
        <v/>
      </c>
      <c r="M566" s="202" t="str">
        <f ca="1">IF($J566="〇",OFFSET(集計!D$3,合体!$H566,0),"")</f>
        <v/>
      </c>
    </row>
    <row r="567" spans="2:13" x14ac:dyDescent="0.2">
      <c r="B567" s="201">
        <f t="shared" si="8"/>
        <v>563</v>
      </c>
      <c r="C567" s="15" t="str">
        <f>薬品マスタリスト_20260130100542!A565</f>
        <v>トルバプタンＯＤ錠７．５ｍｇ「ＴＥ」</v>
      </c>
      <c r="D567" s="15" t="str">
        <f>薬品マスタリスト_20260130100542!B565</f>
        <v>ﾄﾙﾊﾞﾌﾟﾀﾝODｼﾞｮｳ7.5mg｢TE｣</v>
      </c>
      <c r="E567" s="15">
        <f>薬品マスタリスト_20260130100542!C565</f>
        <v>1</v>
      </c>
      <c r="F567" s="206" t="str">
        <f>薬品マスタリスト_20260130100542!D565</f>
        <v>錠剤</v>
      </c>
      <c r="G567" s="208" t="str">
        <f>match_results!C564</f>
        <v>アトルバスタチンＯＤ錠１０ｍｇ</v>
      </c>
      <c r="H567" s="208">
        <f>match_results!D564</f>
        <v>617</v>
      </c>
      <c r="I567" s="218">
        <f>match_results!E564</f>
        <v>60.606060606060602</v>
      </c>
      <c r="J567" s="225"/>
      <c r="K567" s="15" t="str">
        <f ca="1">IF($J567="〇",OFFSET(集計!B$3,合体!$H567,0),"")</f>
        <v/>
      </c>
      <c r="L567" s="15" t="str">
        <f ca="1">IF($J567="〇",OFFSET(集計!C$3,合体!$H567,0),"")</f>
        <v/>
      </c>
      <c r="M567" s="202" t="str">
        <f ca="1">IF($J567="〇",OFFSET(集計!D$3,合体!$H567,0),"")</f>
        <v/>
      </c>
    </row>
    <row r="568" spans="2:13" x14ac:dyDescent="0.2">
      <c r="B568" s="201">
        <f t="shared" si="8"/>
        <v>564</v>
      </c>
      <c r="C568" s="15" t="str">
        <f>薬品マスタリスト_20260130100542!A566</f>
        <v>ドルミカム注射液１０ｍｇ</v>
      </c>
      <c r="D568" s="15" t="str">
        <f>薬品マスタリスト_20260130100542!B566</f>
        <v>ﾄﾞﾙﾐｶﾑﾁｭｳｼｬｴｷ10mg</v>
      </c>
      <c r="E568" s="15">
        <f>薬品マスタリスト_20260130100542!C566</f>
        <v>25</v>
      </c>
      <c r="F568" s="206" t="str">
        <f>薬品マスタリスト_20260130100542!D566</f>
        <v>注射剤</v>
      </c>
      <c r="G568" s="208" t="str">
        <f>match_results!C565</f>
        <v>ドルミカム注１０ｍｇ</v>
      </c>
      <c r="H568" s="208">
        <f>match_results!D565</f>
        <v>45</v>
      </c>
      <c r="I568" s="218">
        <f>match_results!E565</f>
        <v>90.909090909090907</v>
      </c>
      <c r="J568" s="225"/>
      <c r="K568" s="15" t="str">
        <f ca="1">IF($J568="〇",OFFSET(集計!B$3,合体!$H568,0),"")</f>
        <v/>
      </c>
      <c r="L568" s="15" t="str">
        <f ca="1">IF($J568="〇",OFFSET(集計!C$3,合体!$H568,0),"")</f>
        <v/>
      </c>
      <c r="M568" s="202" t="str">
        <f ca="1">IF($J568="〇",OFFSET(集計!D$3,合体!$H568,0),"")</f>
        <v/>
      </c>
    </row>
    <row r="569" spans="2:13" x14ac:dyDescent="0.2">
      <c r="B569" s="201">
        <f t="shared" si="8"/>
        <v>565</v>
      </c>
      <c r="C569" s="15" t="str">
        <f>薬品マスタリスト_20260130100542!A567</f>
        <v>トルリシティ皮下注０．７５ｍｇアテオス</v>
      </c>
      <c r="D569" s="15" t="str">
        <f>薬品マスタリスト_20260130100542!B567</f>
        <v>ﾄﾙﾘｼﾃｨﾋｶﾁｭｳ0.75mgｱﾃｵｽ</v>
      </c>
      <c r="E569" s="15">
        <f>薬品マスタリスト_20260130100542!C567</f>
        <v>25</v>
      </c>
      <c r="F569" s="206" t="str">
        <f>薬品マスタリスト_20260130100542!D567</f>
        <v>注射剤</v>
      </c>
      <c r="G569" s="208" t="str">
        <f>match_results!C566</f>
        <v>トルリシティ皮下注０．７５ｍｇアテオス</v>
      </c>
      <c r="H569" s="208">
        <f>match_results!D566</f>
        <v>171</v>
      </c>
      <c r="I569" s="218">
        <f>match_results!E566</f>
        <v>100</v>
      </c>
      <c r="J569" s="225" t="s">
        <v>3917</v>
      </c>
      <c r="K569" s="15">
        <f ca="1">IF($J569="〇",OFFSET(集計!B$3,合体!$H569,0),"")</f>
        <v>2437</v>
      </c>
      <c r="L569" s="15">
        <f ca="1">IF($J569="〇",OFFSET(集計!C$3,合体!$H569,0),"")</f>
        <v>1</v>
      </c>
      <c r="M569" s="202">
        <f ca="1">IF($J569="〇",OFFSET(集計!D$3,合体!$H569,0),"")</f>
        <v>2437</v>
      </c>
    </row>
    <row r="570" spans="2:13" x14ac:dyDescent="0.2">
      <c r="B570" s="201">
        <f t="shared" si="8"/>
        <v>566</v>
      </c>
      <c r="C570" s="15" t="str">
        <f>薬品マスタリスト_20260130100542!A568</f>
        <v>トレシーバ注 フレックスタッチ</v>
      </c>
      <c r="D570" s="15" t="str">
        <f>薬品マスタリスト_20260130100542!B568</f>
        <v>ﾄﾚｼｰﾊﾞﾁｭｳ ﾌﾚｯｸｽﾀｯﾁ</v>
      </c>
      <c r="E570" s="15">
        <f>薬品マスタリスト_20260130100542!C568</f>
        <v>25</v>
      </c>
      <c r="F570" s="206" t="str">
        <f>薬品マスタリスト_20260130100542!D568</f>
        <v>注射剤</v>
      </c>
      <c r="G570" s="208" t="str">
        <f>match_results!C567</f>
        <v>トレシーバ注フレックスタッチ</v>
      </c>
      <c r="H570" s="208">
        <f>match_results!D567</f>
        <v>127</v>
      </c>
      <c r="I570" s="218">
        <f>match_results!E567</f>
        <v>96.551724137931004</v>
      </c>
      <c r="J570" s="225"/>
      <c r="K570" s="15" t="str">
        <f ca="1">IF($J570="〇",OFFSET(集計!B$3,合体!$H570,0),"")</f>
        <v/>
      </c>
      <c r="L570" s="15" t="str">
        <f ca="1">IF($J570="〇",OFFSET(集計!C$3,合体!$H570,0),"")</f>
        <v/>
      </c>
      <c r="M570" s="202" t="str">
        <f ca="1">IF($J570="〇",OFFSET(集計!D$3,合体!$H570,0),"")</f>
        <v/>
      </c>
    </row>
    <row r="571" spans="2:13" x14ac:dyDescent="0.2">
      <c r="B571" s="201">
        <f t="shared" si="8"/>
        <v>567</v>
      </c>
      <c r="C571" s="15" t="str">
        <f>薬品マスタリスト_20260130100542!A569</f>
        <v>トレドミン錠１５ｍｇ</v>
      </c>
      <c r="D571" s="15" t="str">
        <f>薬品マスタリスト_20260130100542!B569</f>
        <v>ﾄﾚﾄﾞﾐﾝｼﾞｮｳ15mg</v>
      </c>
      <c r="E571" s="15">
        <f>薬品マスタリスト_20260130100542!C569</f>
        <v>1</v>
      </c>
      <c r="F571" s="206" t="str">
        <f>薬品マスタリスト_20260130100542!D569</f>
        <v>錠剤</v>
      </c>
      <c r="G571" s="208" t="str">
        <f>match_results!C568</f>
        <v>トレドミン錠１５ｍｇ</v>
      </c>
      <c r="H571" s="208">
        <f>match_results!D568</f>
        <v>332</v>
      </c>
      <c r="I571" s="218">
        <f>match_results!E568</f>
        <v>100</v>
      </c>
      <c r="J571" s="225" t="s">
        <v>3917</v>
      </c>
      <c r="K571" s="15">
        <f ca="1">IF($J571="〇",OFFSET(集計!B$3,合体!$H571,0),"")</f>
        <v>9.5</v>
      </c>
      <c r="L571" s="15">
        <f ca="1">IF($J571="〇",OFFSET(集計!C$3,合体!$H571,0),"")</f>
        <v>570</v>
      </c>
      <c r="M571" s="202">
        <f ca="1">IF($J571="〇",OFFSET(集計!D$3,合体!$H571,0),"")</f>
        <v>5415</v>
      </c>
    </row>
    <row r="572" spans="2:13" x14ac:dyDescent="0.2">
      <c r="B572" s="201">
        <f t="shared" si="8"/>
        <v>568</v>
      </c>
      <c r="C572" s="15" t="str">
        <f>薬品マスタリスト_20260130100542!A570</f>
        <v>トレドミン錠２５ｍｇ</v>
      </c>
      <c r="D572" s="15" t="str">
        <f>薬品マスタリスト_20260130100542!B570</f>
        <v>ﾄﾚﾄﾞﾐﾝｼﾞｮｳ25mg</v>
      </c>
      <c r="E572" s="15">
        <f>薬品マスタリスト_20260130100542!C570</f>
        <v>1</v>
      </c>
      <c r="F572" s="206" t="str">
        <f>薬品マスタリスト_20260130100542!D570</f>
        <v>錠剤</v>
      </c>
      <c r="G572" s="208" t="str">
        <f>match_results!C569</f>
        <v>トレドミン錠２５ｍｇ</v>
      </c>
      <c r="H572" s="208">
        <f>match_results!D569</f>
        <v>396</v>
      </c>
      <c r="I572" s="218">
        <f>match_results!E569</f>
        <v>100</v>
      </c>
      <c r="J572" s="225" t="s">
        <v>3917</v>
      </c>
      <c r="K572" s="15">
        <f ca="1">IF($J572="〇",OFFSET(集計!B$3,合体!$H572,0),"")</f>
        <v>13.15</v>
      </c>
      <c r="L572" s="15">
        <f ca="1">IF($J572="〇",OFFSET(集計!C$3,合体!$H572,0),"")</f>
        <v>570</v>
      </c>
      <c r="M572" s="202">
        <f ca="1">IF($J572="〇",OFFSET(集計!D$3,合体!$H572,0),"")</f>
        <v>7495.5</v>
      </c>
    </row>
    <row r="573" spans="2:13" x14ac:dyDescent="0.2">
      <c r="B573" s="201">
        <f t="shared" si="8"/>
        <v>569</v>
      </c>
      <c r="C573" s="15" t="str">
        <f>薬品マスタリスト_20260130100542!A571</f>
        <v>トレーランＧ液７５ｇ</v>
      </c>
      <c r="D573" s="15" t="str">
        <f>薬品マスタリスト_20260130100542!B571</f>
        <v>ﾄﾚｰﾗﾝGｴｷ75g</v>
      </c>
      <c r="E573" s="15">
        <f>薬品マスタリスト_20260130100542!C571</f>
        <v>7</v>
      </c>
      <c r="F573" s="206" t="str">
        <f>薬品マスタリスト_20260130100542!D571</f>
        <v>液（内用）</v>
      </c>
      <c r="G573" s="208" t="str">
        <f>match_results!C570</f>
        <v>トラゼンタ錠５ｍｇ</v>
      </c>
      <c r="H573" s="208">
        <f>match_results!D570</f>
        <v>546</v>
      </c>
      <c r="I573" s="218">
        <f>match_results!E570</f>
        <v>52.631578947368403</v>
      </c>
      <c r="J573" s="225"/>
      <c r="K573" s="15" t="str">
        <f ca="1">IF($J573="〇",OFFSET(集計!B$3,合体!$H573,0),"")</f>
        <v/>
      </c>
      <c r="L573" s="15" t="str">
        <f ca="1">IF($J573="〇",OFFSET(集計!C$3,合体!$H573,0),"")</f>
        <v/>
      </c>
      <c r="M573" s="202" t="str">
        <f ca="1">IF($J573="〇",OFFSET(集計!D$3,合体!$H573,0),"")</f>
        <v/>
      </c>
    </row>
    <row r="574" spans="2:13" x14ac:dyDescent="0.2">
      <c r="B574" s="201">
        <f t="shared" si="8"/>
        <v>570</v>
      </c>
      <c r="C574" s="15" t="str">
        <f>薬品マスタリスト_20260130100542!A572</f>
        <v>トレリーフＯＤ錠２５ｍｇ</v>
      </c>
      <c r="D574" s="15" t="str">
        <f>薬品マスタリスト_20260130100542!B572</f>
        <v>ﾄﾚﾘｰﾌODｼﾞｮｳ25mg</v>
      </c>
      <c r="E574" s="15">
        <f>薬品マスタリスト_20260130100542!C572</f>
        <v>1</v>
      </c>
      <c r="F574" s="206" t="str">
        <f>薬品マスタリスト_20260130100542!D572</f>
        <v>錠剤</v>
      </c>
      <c r="G574" s="208" t="str">
        <f>match_results!C571</f>
        <v>トラマールＯＤ錠２５</v>
      </c>
      <c r="H574" s="208">
        <f>match_results!D571</f>
        <v>211</v>
      </c>
      <c r="I574" s="218">
        <f>match_results!E571</f>
        <v>63.636363636363598</v>
      </c>
      <c r="J574" s="225"/>
      <c r="K574" s="15" t="str">
        <f ca="1">IF($J574="〇",OFFSET(集計!B$3,合体!$H574,0),"")</f>
        <v/>
      </c>
      <c r="L574" s="15" t="str">
        <f ca="1">IF($J574="〇",OFFSET(集計!C$3,合体!$H574,0),"")</f>
        <v/>
      </c>
      <c r="M574" s="202" t="str">
        <f ca="1">IF($J574="〇",OFFSET(集計!D$3,合体!$H574,0),"")</f>
        <v/>
      </c>
    </row>
    <row r="575" spans="2:13" x14ac:dyDescent="0.2">
      <c r="B575" s="201">
        <f t="shared" si="8"/>
        <v>571</v>
      </c>
      <c r="C575" s="15" t="str">
        <f>薬品マスタリスト_20260130100542!A573</f>
        <v>ドロキシドパカプセル１００ｍｇ「アメル」</v>
      </c>
      <c r="D575" s="15" t="str">
        <f>薬品マスタリスト_20260130100542!B573</f>
        <v>ﾄﾞﾛｷｼﾄﾞﾊﾟｶﾌﾟｾﾙ100mg｢ｱﾒﾙ｣</v>
      </c>
      <c r="E575" s="15">
        <f>薬品マスタリスト_20260130100542!C573</f>
        <v>2</v>
      </c>
      <c r="F575" s="206" t="str">
        <f>薬品マスタリスト_20260130100542!D573</f>
        <v>カプセル</v>
      </c>
      <c r="G575" s="208" t="str">
        <f>match_results!C572</f>
        <v>カルバマゼピン錠　１００ｍｇ「アメル」</v>
      </c>
      <c r="H575" s="208">
        <f>match_results!D572</f>
        <v>307</v>
      </c>
      <c r="I575" s="218">
        <f>match_results!E572</f>
        <v>61.538461538461497</v>
      </c>
      <c r="J575" s="225"/>
      <c r="K575" s="15" t="str">
        <f ca="1">IF($J575="〇",OFFSET(集計!B$3,合体!$H575,0),"")</f>
        <v/>
      </c>
      <c r="L575" s="15" t="str">
        <f ca="1">IF($J575="〇",OFFSET(集計!C$3,合体!$H575,0),"")</f>
        <v/>
      </c>
      <c r="M575" s="202" t="str">
        <f ca="1">IF($J575="〇",OFFSET(集計!D$3,合体!$H575,0),"")</f>
        <v/>
      </c>
    </row>
    <row r="576" spans="2:13" x14ac:dyDescent="0.2">
      <c r="B576" s="201">
        <f t="shared" si="8"/>
        <v>572</v>
      </c>
      <c r="C576" s="15" t="str">
        <f>薬品マスタリスト_20260130100542!A574</f>
        <v>トロペロン錠１ｍｇ</v>
      </c>
      <c r="D576" s="15" t="str">
        <f>薬品マスタリスト_20260130100542!B574</f>
        <v>ﾄﾛﾍﾟﾛﾝｼﾞｮｳ1mg</v>
      </c>
      <c r="E576" s="15">
        <f>薬品マスタリスト_20260130100542!C574</f>
        <v>1</v>
      </c>
      <c r="F576" s="206" t="str">
        <f>薬品マスタリスト_20260130100542!D574</f>
        <v>錠剤</v>
      </c>
      <c r="G576" s="208" t="str">
        <f>match_results!C573</f>
        <v>トロペロン錠１ｍｇ</v>
      </c>
      <c r="H576" s="208">
        <f>match_results!D573</f>
        <v>359</v>
      </c>
      <c r="I576" s="218">
        <f>match_results!E573</f>
        <v>100</v>
      </c>
      <c r="J576" s="225" t="s">
        <v>3917</v>
      </c>
      <c r="K576" s="15">
        <f ca="1">IF($J576="〇",OFFSET(集計!B$3,合体!$H576,0),"")</f>
        <v>8.9</v>
      </c>
      <c r="L576" s="15">
        <f ca="1">IF($J576="〇",OFFSET(集計!C$3,合体!$H576,0),"")</f>
        <v>723.07692307692309</v>
      </c>
      <c r="M576" s="202">
        <f ca="1">IF($J576="〇",OFFSET(集計!D$3,合体!$H576,0),"")</f>
        <v>6435.3846153846162</v>
      </c>
    </row>
    <row r="577" spans="2:13" x14ac:dyDescent="0.2">
      <c r="B577" s="201">
        <f t="shared" si="8"/>
        <v>573</v>
      </c>
      <c r="C577" s="15" t="str">
        <f>薬品マスタリスト_20260130100542!A575</f>
        <v>トロペロン錠３ｍｇ</v>
      </c>
      <c r="D577" s="15" t="str">
        <f>薬品マスタリスト_20260130100542!B575</f>
        <v>ﾄﾛﾍﾟﾛﾝｼﾞｮｳ3mg</v>
      </c>
      <c r="E577" s="15">
        <f>薬品マスタリスト_20260130100542!C575</f>
        <v>1</v>
      </c>
      <c r="F577" s="206" t="str">
        <f>薬品マスタリスト_20260130100542!D575</f>
        <v>錠剤</v>
      </c>
      <c r="G577" s="208" t="str">
        <f>match_results!C574</f>
        <v>トロペロン錠３ｍｇ</v>
      </c>
      <c r="H577" s="208">
        <f>match_results!D574</f>
        <v>374</v>
      </c>
      <c r="I577" s="218">
        <f>match_results!E574</f>
        <v>100</v>
      </c>
      <c r="J577" s="225" t="s">
        <v>3917</v>
      </c>
      <c r="K577" s="15">
        <f ca="1">IF($J577="〇",OFFSET(集計!B$3,合体!$H577,0),"")</f>
        <v>23.97</v>
      </c>
      <c r="L577" s="15">
        <f ca="1">IF($J577="〇",OFFSET(集計!C$3,合体!$H577,0),"")</f>
        <v>290</v>
      </c>
      <c r="M577" s="202">
        <f ca="1">IF($J577="〇",OFFSET(集計!D$3,合体!$H577,0),"")</f>
        <v>6951.2999999999993</v>
      </c>
    </row>
    <row r="578" spans="2:13" x14ac:dyDescent="0.2">
      <c r="B578" s="201">
        <f t="shared" si="8"/>
        <v>574</v>
      </c>
      <c r="C578" s="15" t="str">
        <f>薬品マスタリスト_20260130100542!A576</f>
        <v>トロペロン細粒１％</v>
      </c>
      <c r="D578" s="15" t="str">
        <f>薬品マスタリスト_20260130100542!B576</f>
        <v>ﾄﾛﾍﾟﾛﾝｻｲﾘｭｳ1%</v>
      </c>
      <c r="E578" s="15">
        <f>薬品マスタリスト_20260130100542!C576</f>
        <v>3</v>
      </c>
      <c r="F578" s="206" t="str">
        <f>薬品マスタリスト_20260130100542!D576</f>
        <v>散</v>
      </c>
      <c r="G578" s="208" t="str">
        <f>match_results!C575</f>
        <v>トロペロン細粒１％</v>
      </c>
      <c r="H578" s="208">
        <f>match_results!D575</f>
        <v>459</v>
      </c>
      <c r="I578" s="218">
        <f>match_results!E575</f>
        <v>100</v>
      </c>
      <c r="J578" s="225" t="s">
        <v>3917</v>
      </c>
      <c r="K578" s="15">
        <f ca="1">IF($J578="〇",OFFSET(集計!B$3,合体!$H578,0),"")</f>
        <v>68.239999999999995</v>
      </c>
      <c r="L578" s="15">
        <f ca="1">IF($J578="〇",OFFSET(集計!C$3,合体!$H578,0),"")</f>
        <v>153</v>
      </c>
      <c r="M578" s="202">
        <f ca="1">IF($J578="〇",OFFSET(集計!D$3,合体!$H578,0),"")</f>
        <v>10440.719999999999</v>
      </c>
    </row>
    <row r="579" spans="2:13" x14ac:dyDescent="0.2">
      <c r="B579" s="201">
        <f t="shared" si="8"/>
        <v>575</v>
      </c>
      <c r="C579" s="15" t="str">
        <f>薬品マスタリスト_20260130100542!A577</f>
        <v>トロペロン注４ｍｇ</v>
      </c>
      <c r="D579" s="15" t="str">
        <f>薬品マスタリスト_20260130100542!B577</f>
        <v>ﾄﾛﾍﾟﾛﾝﾁｭｳ4mg</v>
      </c>
      <c r="E579" s="15">
        <f>薬品マスタリスト_20260130100542!C577</f>
        <v>25</v>
      </c>
      <c r="F579" s="206" t="str">
        <f>薬品マスタリスト_20260130100542!D577</f>
        <v>注射剤</v>
      </c>
      <c r="G579" s="208" t="str">
        <f>match_results!C576</f>
        <v>トロペロン注４ｍｇ</v>
      </c>
      <c r="H579" s="208">
        <f>match_results!D576</f>
        <v>121</v>
      </c>
      <c r="I579" s="218">
        <f>match_results!E576</f>
        <v>100</v>
      </c>
      <c r="J579" s="225" t="s">
        <v>3917</v>
      </c>
      <c r="K579" s="15">
        <f ca="1">IF($J579="〇",OFFSET(集計!B$3,合体!$H579,0),"")</f>
        <v>171.1</v>
      </c>
      <c r="L579" s="15">
        <f ca="1">IF($J579="〇",OFFSET(集計!C$3,合体!$H579,0),"")</f>
        <v>10</v>
      </c>
      <c r="M579" s="202">
        <f ca="1">IF($J579="〇",OFFSET(集計!D$3,合体!$H579,0),"")</f>
        <v>1711</v>
      </c>
    </row>
    <row r="580" spans="2:13" x14ac:dyDescent="0.2">
      <c r="B580" s="201">
        <f t="shared" si="8"/>
        <v>576</v>
      </c>
      <c r="C580" s="15" t="str">
        <f>薬品マスタリスト_20260130100542!A578</f>
        <v>トロンビン液モチダ ソフトボトル１万</v>
      </c>
      <c r="D580" s="15" t="str">
        <f>薬品マスタリスト_20260130100542!B578</f>
        <v>ﾄﾛﾝﾋﾞﾝｴｷﾓﾁﾀﾞ ｿﾌﾄﾎﾞﾄﾙ1ﾏﾝ</v>
      </c>
      <c r="E580" s="15">
        <f>薬品マスタリスト_20260130100542!C578</f>
        <v>17</v>
      </c>
      <c r="F580" s="206" t="str">
        <f>薬品マスタリスト_20260130100542!D578</f>
        <v>外用液剤</v>
      </c>
      <c r="G580" s="208" t="str">
        <f>match_results!C577</f>
        <v>トロンビン液モチダソフトボトル　１万　５本</v>
      </c>
      <c r="H580" s="208">
        <f>match_results!D577</f>
        <v>348</v>
      </c>
      <c r="I580" s="218">
        <f>match_results!E577</f>
        <v>46.153846153846096</v>
      </c>
      <c r="J580" s="225"/>
      <c r="K580" s="15" t="str">
        <f ca="1">IF($J580="〇",OFFSET(集計!B$3,合体!$H580,0),"")</f>
        <v/>
      </c>
      <c r="L580" s="15" t="str">
        <f ca="1">IF($J580="〇",OFFSET(集計!C$3,合体!$H580,0),"")</f>
        <v/>
      </c>
      <c r="M580" s="202" t="str">
        <f ca="1">IF($J580="〇",OFFSET(集計!D$3,合体!$H580,0),"")</f>
        <v/>
      </c>
    </row>
    <row r="581" spans="2:13" x14ac:dyDescent="0.2">
      <c r="B581" s="201">
        <f t="shared" si="8"/>
        <v>577</v>
      </c>
      <c r="C581" s="15" t="str">
        <f>薬品マスタリスト_20260130100542!A579</f>
        <v>トーワチーム配合顆粒</v>
      </c>
      <c r="D581" s="15" t="str">
        <f>薬品マスタリスト_20260130100542!B579</f>
        <v>ﾄｰﾜﾁｰﾑﾊｲｺﾞｳｶﾘｭｳ</v>
      </c>
      <c r="E581" s="15">
        <f>薬品マスタリスト_20260130100542!C579</f>
        <v>3</v>
      </c>
      <c r="F581" s="206" t="str">
        <f>薬品マスタリスト_20260130100542!D579</f>
        <v>散</v>
      </c>
      <c r="G581" s="208" t="str">
        <f>match_results!C578</f>
        <v>トーワチーム配合顆粒（分包品１ｇ）</v>
      </c>
      <c r="H581" s="208">
        <f>match_results!D578</f>
        <v>257</v>
      </c>
      <c r="I581" s="218">
        <f>match_results!E578</f>
        <v>74.074074074074005</v>
      </c>
      <c r="J581" s="225"/>
      <c r="K581" s="15" t="str">
        <f ca="1">IF($J581="〇",OFFSET(集計!B$3,合体!$H581,0),"")</f>
        <v/>
      </c>
      <c r="L581" s="15" t="str">
        <f ca="1">IF($J581="〇",OFFSET(集計!C$3,合体!$H581,0),"")</f>
        <v/>
      </c>
      <c r="M581" s="202" t="str">
        <f ca="1">IF($J581="〇",OFFSET(集計!D$3,合体!$H581,0),"")</f>
        <v/>
      </c>
    </row>
    <row r="582" spans="2:13" x14ac:dyDescent="0.2">
      <c r="B582" s="201">
        <f t="shared" si="8"/>
        <v>578</v>
      </c>
      <c r="C582" s="15" t="str">
        <f>薬品マスタリスト_20260130100542!A580</f>
        <v>ドンペリドン錠１０ｍｇ「トーワ」</v>
      </c>
      <c r="D582" s="15" t="str">
        <f>薬品マスタリスト_20260130100542!B580</f>
        <v>ﾄﾞﾝﾍﾟﾘﾄﾞﾝｼﾞｮｳ10mg｢ﾄｰﾜ｣</v>
      </c>
      <c r="E582" s="15">
        <f>薬品マスタリスト_20260130100542!C580</f>
        <v>1</v>
      </c>
      <c r="F582" s="206" t="str">
        <f>薬品マスタリスト_20260130100542!D580</f>
        <v>錠剤</v>
      </c>
      <c r="G582" s="208" t="str">
        <f>match_results!C579</f>
        <v>ドンペリドン錠１０ｍｇ「トーワ」</v>
      </c>
      <c r="H582" s="208">
        <f>match_results!D579</f>
        <v>392</v>
      </c>
      <c r="I582" s="218">
        <f>match_results!E579</f>
        <v>100</v>
      </c>
      <c r="J582" s="225" t="s">
        <v>3917</v>
      </c>
      <c r="K582" s="15">
        <f ca="1">IF($J582="〇",OFFSET(集計!B$3,合体!$H582,0),"")</f>
        <v>5.26</v>
      </c>
      <c r="L582" s="15">
        <f ca="1">IF($J582="〇",OFFSET(集計!C$3,合体!$H582,0),"")</f>
        <v>1411</v>
      </c>
      <c r="M582" s="202">
        <f ca="1">IF($J582="〇",OFFSET(集計!D$3,合体!$H582,0),"")</f>
        <v>7421.86</v>
      </c>
    </row>
    <row r="583" spans="2:13" x14ac:dyDescent="0.2">
      <c r="B583" s="201">
        <f t="shared" ref="B583:B646" si="9">B582+1</f>
        <v>579</v>
      </c>
      <c r="C583" s="15" t="str">
        <f>薬品マスタリスト_20260130100542!A581</f>
        <v>ドンペリドン錠１０ｍｇ「ＪＧ」</v>
      </c>
      <c r="D583" s="15" t="str">
        <f>薬品マスタリスト_20260130100542!B581</f>
        <v>ﾄﾞﾝﾍﾟﾘﾄﾞﾝｼﾞﾖｳ10MGJG</v>
      </c>
      <c r="E583" s="15">
        <f>薬品マスタリスト_20260130100542!C581</f>
        <v>1</v>
      </c>
      <c r="F583" s="206" t="str">
        <f>薬品マスタリスト_20260130100542!D581</f>
        <v>錠剤</v>
      </c>
      <c r="G583" s="208" t="str">
        <f>match_results!C580</f>
        <v>ドンペリドン錠１０ｍｇ「トーワ」</v>
      </c>
      <c r="H583" s="208">
        <f>match_results!D580</f>
        <v>392</v>
      </c>
      <c r="I583" s="218">
        <f>match_results!E580</f>
        <v>83.870967741935402</v>
      </c>
      <c r="J583" s="225"/>
      <c r="K583" s="15" t="str">
        <f ca="1">IF($J583="〇",OFFSET(集計!B$3,合体!$H583,0),"")</f>
        <v/>
      </c>
      <c r="L583" s="15" t="str">
        <f ca="1">IF($J583="〇",OFFSET(集計!C$3,合体!$H583,0),"")</f>
        <v/>
      </c>
      <c r="M583" s="202" t="str">
        <f ca="1">IF($J583="〇",OFFSET(集計!D$3,合体!$H583,0),"")</f>
        <v/>
      </c>
    </row>
    <row r="584" spans="2:13" x14ac:dyDescent="0.2">
      <c r="B584" s="201">
        <f t="shared" si="9"/>
        <v>580</v>
      </c>
      <c r="C584" s="15" t="str">
        <f>薬品マスタリスト_20260130100542!A582</f>
        <v>ナイロジン注</v>
      </c>
      <c r="D584" s="15" t="str">
        <f>薬品マスタリスト_20260130100542!B582</f>
        <v>ﾅｲﾛｼﾞﾝﾁｭｳ</v>
      </c>
      <c r="E584" s="15">
        <f>薬品マスタリスト_20260130100542!C582</f>
        <v>25</v>
      </c>
      <c r="F584" s="206" t="str">
        <f>薬品マスタリスト_20260130100542!D582</f>
        <v>注射剤</v>
      </c>
      <c r="G584" s="208" t="str">
        <f>match_results!C581</f>
        <v>メイロン静注７％</v>
      </c>
      <c r="H584" s="208">
        <f>match_results!D581</f>
        <v>73</v>
      </c>
      <c r="I584" s="218">
        <f>match_results!E581</f>
        <v>57.142857142857103</v>
      </c>
      <c r="J584" s="225"/>
      <c r="K584" s="15" t="str">
        <f ca="1">IF($J584="〇",OFFSET(集計!B$3,合体!$H584,0),"")</f>
        <v/>
      </c>
      <c r="L584" s="15" t="str">
        <f ca="1">IF($J584="〇",OFFSET(集計!C$3,合体!$H584,0),"")</f>
        <v/>
      </c>
      <c r="M584" s="202" t="str">
        <f ca="1">IF($J584="〇",OFFSET(集計!D$3,合体!$H584,0),"")</f>
        <v/>
      </c>
    </row>
    <row r="585" spans="2:13" x14ac:dyDescent="0.2">
      <c r="B585" s="201">
        <f t="shared" si="9"/>
        <v>581</v>
      </c>
      <c r="C585" s="15" t="str">
        <f>薬品マスタリスト_20260130100542!A583</f>
        <v>ナウゼリン坐剤６０</v>
      </c>
      <c r="D585" s="15" t="str">
        <f>薬品マスタリスト_20260130100542!B583</f>
        <v>ﾅｳｾﾞﾘﾝｻﾞｻﾞｲ60</v>
      </c>
      <c r="E585" s="15">
        <f>薬品マスタリスト_20260130100542!C583</f>
        <v>12</v>
      </c>
      <c r="F585" s="206" t="str">
        <f>薬品マスタリスト_20260130100542!D583</f>
        <v>坐剤</v>
      </c>
      <c r="G585" s="208" t="str">
        <f>match_results!C582</f>
        <v>カロナール坐剤２００</v>
      </c>
      <c r="H585" s="208">
        <f>match_results!D582</f>
        <v>237</v>
      </c>
      <c r="I585" s="218">
        <f>match_results!E582</f>
        <v>42.105263157894697</v>
      </c>
      <c r="J585" s="225"/>
      <c r="K585" s="15" t="str">
        <f ca="1">IF($J585="〇",OFFSET(集計!B$3,合体!$H585,0),"")</f>
        <v/>
      </c>
      <c r="L585" s="15" t="str">
        <f ca="1">IF($J585="〇",OFFSET(集計!C$3,合体!$H585,0),"")</f>
        <v/>
      </c>
      <c r="M585" s="202" t="str">
        <f ca="1">IF($J585="〇",OFFSET(集計!D$3,合体!$H585,0),"")</f>
        <v/>
      </c>
    </row>
    <row r="586" spans="2:13" x14ac:dyDescent="0.2">
      <c r="B586" s="201">
        <f t="shared" si="9"/>
        <v>582</v>
      </c>
      <c r="C586" s="15" t="str">
        <f>薬品マスタリスト_20260130100542!A584</f>
        <v>ナトリックス錠１</v>
      </c>
      <c r="D586" s="15" t="str">
        <f>薬品マスタリスト_20260130100542!B584</f>
        <v>ﾅﾄﾘｯｸｽｼﾞｮｳ1</v>
      </c>
      <c r="E586" s="15">
        <f>薬品マスタリスト_20260130100542!C584</f>
        <v>1</v>
      </c>
      <c r="F586" s="206" t="str">
        <f>薬品マスタリスト_20260130100542!D584</f>
        <v>錠剤</v>
      </c>
      <c r="G586" s="208" t="str">
        <f>match_results!C583</f>
        <v>ナトリックス錠１</v>
      </c>
      <c r="H586" s="208">
        <f>match_results!D583</f>
        <v>134</v>
      </c>
      <c r="I586" s="218">
        <f>match_results!E583</f>
        <v>100</v>
      </c>
      <c r="J586" s="225" t="s">
        <v>3917</v>
      </c>
      <c r="K586" s="15">
        <f ca="1">IF($J586="〇",OFFSET(集計!B$3,合体!$H586,0),"")</f>
        <v>8.83</v>
      </c>
      <c r="L586" s="15">
        <f ca="1">IF($J586="〇",OFFSET(集計!C$3,合体!$H586,0),"")</f>
        <v>211</v>
      </c>
      <c r="M586" s="202">
        <f ca="1">IF($J586="〇",OFFSET(集計!D$3,合体!$H586,0),"")</f>
        <v>1863.13</v>
      </c>
    </row>
    <row r="587" spans="2:13" x14ac:dyDescent="0.2">
      <c r="B587" s="201">
        <f t="shared" si="9"/>
        <v>583</v>
      </c>
      <c r="C587" s="15" t="str">
        <f>薬品マスタリスト_20260130100542!A585</f>
        <v>ナファモスタットメシル酸塩５０ｍｇ注射用</v>
      </c>
      <c r="D587" s="15" t="str">
        <f>薬品マスタリスト_20260130100542!B585</f>
        <v>ﾅﾌｧﾓｽﾀｯﾄﾒｼﾙｻﾝｴﾝ50mgﾁｭｳｼｬﾖｳ</v>
      </c>
      <c r="E587" s="15">
        <f>薬品マスタリスト_20260130100542!C585</f>
        <v>25</v>
      </c>
      <c r="F587" s="206" t="str">
        <f>薬品マスタリスト_20260130100542!D585</f>
        <v>注射剤</v>
      </c>
      <c r="G587" s="208" t="str">
        <f>match_results!C584</f>
        <v>カモスタットメシル酸塩錠１００ｍｇ</v>
      </c>
      <c r="H587" s="208">
        <f>match_results!D584</f>
        <v>352</v>
      </c>
      <c r="I587" s="218">
        <f>match_results!E584</f>
        <v>70.270270270270203</v>
      </c>
      <c r="J587" s="225"/>
      <c r="K587" s="15" t="str">
        <f ca="1">IF($J587="〇",OFFSET(集計!B$3,合体!$H587,0),"")</f>
        <v/>
      </c>
      <c r="L587" s="15" t="str">
        <f ca="1">IF($J587="〇",OFFSET(集計!C$3,合体!$H587,0),"")</f>
        <v/>
      </c>
      <c r="M587" s="202" t="str">
        <f ca="1">IF($J587="〇",OFFSET(集計!D$3,合体!$H587,0),"")</f>
        <v/>
      </c>
    </row>
    <row r="588" spans="2:13" x14ac:dyDescent="0.2">
      <c r="B588" s="201">
        <f t="shared" si="9"/>
        <v>584</v>
      </c>
      <c r="C588" s="15" t="str">
        <f>薬品マスタリスト_20260130100542!A586</f>
        <v>ニコチン酸アミド散１０％「ゾンネ」</v>
      </c>
      <c r="D588" s="15" t="str">
        <f>薬品マスタリスト_20260130100542!B586</f>
        <v>ﾆｺﾁﾝｻﾝｱﾐﾄﾞｻﾝ10%｢ｿﾞﾝﾈ｣</v>
      </c>
      <c r="E588" s="15">
        <f>薬品マスタリスト_20260130100542!C586</f>
        <v>3</v>
      </c>
      <c r="F588" s="206" t="str">
        <f>薬品マスタリスト_20260130100542!D586</f>
        <v>散</v>
      </c>
      <c r="G588" s="208" t="str">
        <f>match_results!C585</f>
        <v>ニコチン酸アミド散１０％「ゾンネ」</v>
      </c>
      <c r="H588" s="208">
        <f>match_results!D585</f>
        <v>298</v>
      </c>
      <c r="I588" s="218">
        <f>match_results!E585</f>
        <v>100</v>
      </c>
      <c r="J588" s="225" t="s">
        <v>3917</v>
      </c>
      <c r="K588" s="15">
        <f ca="1">IF($J588="〇",OFFSET(集計!B$3,合体!$H588,0),"")</f>
        <v>10.7</v>
      </c>
      <c r="L588" s="15">
        <f ca="1">IF($J588="〇",OFFSET(集計!C$3,合体!$H588,0),"")</f>
        <v>426</v>
      </c>
      <c r="M588" s="202">
        <f ca="1">IF($J588="〇",OFFSET(集計!D$3,合体!$H588,0),"")</f>
        <v>4558.2</v>
      </c>
    </row>
    <row r="589" spans="2:13" x14ac:dyDescent="0.2">
      <c r="B589" s="201">
        <f t="shared" si="9"/>
        <v>585</v>
      </c>
      <c r="C589" s="15" t="str">
        <f>薬品マスタリスト_20260130100542!A587</f>
        <v>ニコランジル錠５ｍｇ「トーワ」</v>
      </c>
      <c r="D589" s="15" t="str">
        <f>薬品マスタリスト_20260130100542!B587</f>
        <v>ﾆｺﾗﾝｼﾞﾙｼﾞｮｳ5mg｢ﾄｰﾜ｣</v>
      </c>
      <c r="E589" s="15">
        <f>薬品マスタリスト_20260130100542!C587</f>
        <v>1</v>
      </c>
      <c r="F589" s="206" t="str">
        <f>薬品マスタリスト_20260130100542!D587</f>
        <v>錠剤</v>
      </c>
      <c r="G589" s="208" t="str">
        <f>match_results!C586</f>
        <v>ニコランジル錠　５ｍｇ</v>
      </c>
      <c r="H589" s="208">
        <f>match_results!D586</f>
        <v>378</v>
      </c>
      <c r="I589" s="218">
        <f>match_results!E586</f>
        <v>76.923076923076906</v>
      </c>
      <c r="J589" s="225"/>
      <c r="K589" s="15" t="str">
        <f ca="1">IF($J589="〇",OFFSET(集計!B$3,合体!$H589,0),"")</f>
        <v/>
      </c>
      <c r="L589" s="15" t="str">
        <f ca="1">IF($J589="〇",OFFSET(集計!C$3,合体!$H589,0),"")</f>
        <v/>
      </c>
      <c r="M589" s="202" t="str">
        <f ca="1">IF($J589="〇",OFFSET(集計!D$3,合体!$H589,0),"")</f>
        <v/>
      </c>
    </row>
    <row r="590" spans="2:13" x14ac:dyDescent="0.2">
      <c r="B590" s="201">
        <f t="shared" si="9"/>
        <v>586</v>
      </c>
      <c r="C590" s="15" t="str">
        <f>薬品マスタリスト_20260130100542!A588</f>
        <v>ニコランジル錠５ｍｇ「サワイ」</v>
      </c>
      <c r="D590" s="15" t="str">
        <f>薬品マスタリスト_20260130100542!B588</f>
        <v>ﾆｺﾗﾝｼﾞﾙｼﾞﾖｳ5MGｻﾜｲ</v>
      </c>
      <c r="E590" s="15">
        <f>薬品マスタリスト_20260130100542!C588</f>
        <v>1</v>
      </c>
      <c r="F590" s="206" t="str">
        <f>薬品マスタリスト_20260130100542!D588</f>
        <v>錠剤</v>
      </c>
      <c r="G590" s="208" t="str">
        <f>match_results!C587</f>
        <v>ニコランジル錠　５ｍｇ</v>
      </c>
      <c r="H590" s="208">
        <f>match_results!D587</f>
        <v>378</v>
      </c>
      <c r="I590" s="218">
        <f>match_results!E587</f>
        <v>76.923076923076906</v>
      </c>
      <c r="J590" s="225"/>
      <c r="K590" s="15" t="str">
        <f ca="1">IF($J590="〇",OFFSET(集計!B$3,合体!$H590,0),"")</f>
        <v/>
      </c>
      <c r="L590" s="15" t="str">
        <f ca="1">IF($J590="〇",OFFSET(集計!C$3,合体!$H590,0),"")</f>
        <v/>
      </c>
      <c r="M590" s="202" t="str">
        <f ca="1">IF($J590="〇",OFFSET(集計!D$3,合体!$H590,0),"")</f>
        <v/>
      </c>
    </row>
    <row r="591" spans="2:13" x14ac:dyDescent="0.2">
      <c r="B591" s="201">
        <f t="shared" si="9"/>
        <v>587</v>
      </c>
      <c r="C591" s="15" t="str">
        <f>薬品マスタリスト_20260130100542!A589</f>
        <v>ニセルゴリン錠５ｍｇ「トーワ」</v>
      </c>
      <c r="D591" s="15" t="str">
        <f>薬品マスタリスト_20260130100542!B589</f>
        <v>ﾆｾﾙｺﾞﾘﾝｼﾞｮｳ5mg｢ﾄｰﾜ｣</v>
      </c>
      <c r="E591" s="15">
        <f>薬品マスタリスト_20260130100542!C589</f>
        <v>1</v>
      </c>
      <c r="F591" s="206" t="str">
        <f>薬品マスタリスト_20260130100542!D589</f>
        <v>錠剤</v>
      </c>
      <c r="G591" s="208" t="str">
        <f>match_results!C588</f>
        <v>ニセルゴリン錠５ｍｇ　</v>
      </c>
      <c r="H591" s="208">
        <f>match_results!D588</f>
        <v>471</v>
      </c>
      <c r="I591" s="218">
        <f>match_results!E588</f>
        <v>80</v>
      </c>
      <c r="J591" s="225"/>
      <c r="K591" s="15" t="str">
        <f ca="1">IF($J591="〇",OFFSET(集計!B$3,合体!$H591,0),"")</f>
        <v/>
      </c>
      <c r="L591" s="15" t="str">
        <f ca="1">IF($J591="〇",OFFSET(集計!C$3,合体!$H591,0),"")</f>
        <v/>
      </c>
      <c r="M591" s="202" t="str">
        <f ca="1">IF($J591="〇",OFFSET(集計!D$3,合体!$H591,0),"")</f>
        <v/>
      </c>
    </row>
    <row r="592" spans="2:13" x14ac:dyDescent="0.2">
      <c r="B592" s="201">
        <f t="shared" si="9"/>
        <v>588</v>
      </c>
      <c r="C592" s="15" t="str">
        <f>薬品マスタリスト_20260130100542!A590</f>
        <v>ニゾラールクリーム２％</v>
      </c>
      <c r="D592" s="15" t="str">
        <f>薬品マスタリスト_20260130100542!B590</f>
        <v>ﾆｿﾞﾗｰﾙｸﾘｰﾑ2%</v>
      </c>
      <c r="E592" s="15">
        <f>薬品マスタリスト_20260130100542!C590</f>
        <v>15</v>
      </c>
      <c r="F592" s="206" t="str">
        <f>薬品マスタリスト_20260130100542!D590</f>
        <v>クリーム</v>
      </c>
      <c r="G592" s="208" t="str">
        <f>match_results!C589</f>
        <v>ニゾラールクリーム２％　１０ｇ／本</v>
      </c>
      <c r="H592" s="208">
        <f>match_results!D589</f>
        <v>306</v>
      </c>
      <c r="I592" s="218">
        <f>match_results!E589</f>
        <v>78.571428571428498</v>
      </c>
      <c r="J592" s="225"/>
      <c r="K592" s="15" t="str">
        <f ca="1">IF($J592="〇",OFFSET(集計!B$3,合体!$H592,0),"")</f>
        <v/>
      </c>
      <c r="L592" s="15" t="str">
        <f ca="1">IF($J592="〇",OFFSET(集計!C$3,合体!$H592,0),"")</f>
        <v/>
      </c>
      <c r="M592" s="202" t="str">
        <f ca="1">IF($J592="〇",OFFSET(集計!D$3,合体!$H592,0),"")</f>
        <v/>
      </c>
    </row>
    <row r="593" spans="2:13" x14ac:dyDescent="0.2">
      <c r="B593" s="201">
        <f t="shared" si="9"/>
        <v>589</v>
      </c>
      <c r="C593" s="15" t="str">
        <f>薬品マスタリスト_20260130100542!A591</f>
        <v>ニゾラールローション２％</v>
      </c>
      <c r="D593" s="15" t="str">
        <f>薬品マスタリスト_20260130100542!B591</f>
        <v>ﾆｿﾞﾗｰﾙﾛｰｼｮﾝ2%</v>
      </c>
      <c r="E593" s="15">
        <f>薬品マスタリスト_20260130100542!C591</f>
        <v>17</v>
      </c>
      <c r="F593" s="206" t="str">
        <f>薬品マスタリスト_20260130100542!D591</f>
        <v>外用液剤</v>
      </c>
      <c r="G593" s="208" t="str">
        <f>match_results!C590</f>
        <v>ニゾラールローション２％　１０ｇ／本</v>
      </c>
      <c r="H593" s="208">
        <f>match_results!D590</f>
        <v>50</v>
      </c>
      <c r="I593" s="218">
        <f>match_results!E590</f>
        <v>80</v>
      </c>
      <c r="J593" s="225"/>
      <c r="K593" s="15" t="str">
        <f ca="1">IF($J593="〇",OFFSET(集計!B$3,合体!$H593,0),"")</f>
        <v/>
      </c>
      <c r="L593" s="15" t="str">
        <f ca="1">IF($J593="〇",OFFSET(集計!C$3,合体!$H593,0),"")</f>
        <v/>
      </c>
      <c r="M593" s="202" t="str">
        <f ca="1">IF($J593="〇",OFFSET(集計!D$3,合体!$H593,0),"")</f>
        <v/>
      </c>
    </row>
    <row r="594" spans="2:13" x14ac:dyDescent="0.2">
      <c r="B594" s="201">
        <f t="shared" si="9"/>
        <v>590</v>
      </c>
      <c r="C594" s="15" t="str">
        <f>薬品マスタリスト_20260130100542!A592</f>
        <v>ニトラゼパム細粒１％「ＴＣＫ」</v>
      </c>
      <c r="D594" s="15" t="str">
        <f>薬品マスタリスト_20260130100542!B592</f>
        <v>ﾆﾄﾗｾﾞﾊﾟﾑｻｲﾘｭｳ1%｢TCK｣</v>
      </c>
      <c r="E594" s="15">
        <f>薬品マスタリスト_20260130100542!C592</f>
        <v>3</v>
      </c>
      <c r="F594" s="206" t="str">
        <f>薬品マスタリスト_20260130100542!D592</f>
        <v>散</v>
      </c>
      <c r="G594" s="208" t="str">
        <f>match_results!C591</f>
        <v>フルニトラゼパム錠１ｍｇ「アメル」</v>
      </c>
      <c r="H594" s="208">
        <f>match_results!D591</f>
        <v>421</v>
      </c>
      <c r="I594" s="218">
        <f>match_results!E591</f>
        <v>56.25</v>
      </c>
      <c r="J594" s="225"/>
      <c r="K594" s="15" t="str">
        <f ca="1">IF($J594="〇",OFFSET(集計!B$3,合体!$H594,0),"")</f>
        <v/>
      </c>
      <c r="L594" s="15" t="str">
        <f ca="1">IF($J594="〇",OFFSET(集計!C$3,合体!$H594,0),"")</f>
        <v/>
      </c>
      <c r="M594" s="202" t="str">
        <f ca="1">IF($J594="〇",OFFSET(集計!D$3,合体!$H594,0),"")</f>
        <v/>
      </c>
    </row>
    <row r="595" spans="2:13" x14ac:dyDescent="0.2">
      <c r="B595" s="201">
        <f t="shared" si="9"/>
        <v>591</v>
      </c>
      <c r="C595" s="15" t="str">
        <f>薬品マスタリスト_20260130100542!A593</f>
        <v>ニトロペン舌下錠０．３ｍｇ</v>
      </c>
      <c r="D595" s="15" t="str">
        <f>薬品マスタリスト_20260130100542!B593</f>
        <v>ﾆﾄﾛﾍﾟﾝｾﾞｯｶｼﾞｮｳ0.3mg</v>
      </c>
      <c r="E595" s="15">
        <f>薬品マスタリスト_20260130100542!C593</f>
        <v>1</v>
      </c>
      <c r="F595" s="206" t="str">
        <f>薬品マスタリスト_20260130100542!D593</f>
        <v>錠剤</v>
      </c>
      <c r="G595" s="208" t="str">
        <f>match_results!C592</f>
        <v>ニトロペン舌下錠０．３ｍｇ</v>
      </c>
      <c r="H595" s="208">
        <f>match_results!D592</f>
        <v>126</v>
      </c>
      <c r="I595" s="218">
        <f>match_results!E592</f>
        <v>100</v>
      </c>
      <c r="J595" s="225" t="s">
        <v>3917</v>
      </c>
      <c r="K595" s="15">
        <f ca="1">IF($J595="〇",OFFSET(集計!B$3,合体!$H595,0),"")</f>
        <v>9.5399999999999991</v>
      </c>
      <c r="L595" s="15">
        <f ca="1">IF($J595="〇",OFFSET(集計!C$3,合体!$H595,0),"")</f>
        <v>184</v>
      </c>
      <c r="M595" s="202">
        <f ca="1">IF($J595="〇",OFFSET(集計!D$3,合体!$H595,0),"")</f>
        <v>1755</v>
      </c>
    </row>
    <row r="596" spans="2:13" x14ac:dyDescent="0.2">
      <c r="B596" s="201">
        <f t="shared" si="9"/>
        <v>592</v>
      </c>
      <c r="C596" s="15" t="str">
        <f>薬品マスタリスト_20260130100542!A594</f>
        <v>ニフェジピンカプセル１０ｍｇ「サワイ」</v>
      </c>
      <c r="D596" s="15" t="str">
        <f>薬品マスタリスト_20260130100542!B594</f>
        <v>ﾆﾌｪｼﾞﾋﾟﾝｶﾌﾟｾﾙ10mg｢ｻﾜｲ｣</v>
      </c>
      <c r="E596" s="15">
        <f>薬品マスタリスト_20260130100542!C594</f>
        <v>2</v>
      </c>
      <c r="F596" s="206" t="str">
        <f>薬品マスタリスト_20260130100542!D594</f>
        <v>カプセル</v>
      </c>
      <c r="G596" s="208" t="str">
        <f>match_results!C593</f>
        <v>ニフェジピンカプセル１０ｍｇ</v>
      </c>
      <c r="H596" s="208">
        <f>match_results!D593</f>
        <v>66</v>
      </c>
      <c r="I596" s="218">
        <f>match_results!E593</f>
        <v>84.848484848484802</v>
      </c>
      <c r="J596" s="225"/>
      <c r="K596" s="15" t="str">
        <f ca="1">IF($J596="〇",OFFSET(集計!B$3,合体!$H596,0),"")</f>
        <v/>
      </c>
      <c r="L596" s="15" t="str">
        <f ca="1">IF($J596="〇",OFFSET(集計!C$3,合体!$H596,0),"")</f>
        <v/>
      </c>
      <c r="M596" s="202" t="str">
        <f ca="1">IF($J596="〇",OFFSET(集計!D$3,合体!$H596,0),"")</f>
        <v/>
      </c>
    </row>
    <row r="597" spans="2:13" x14ac:dyDescent="0.2">
      <c r="B597" s="201">
        <f t="shared" si="9"/>
        <v>593</v>
      </c>
      <c r="C597" s="15" t="str">
        <f>薬品マスタリスト_20260130100542!A595</f>
        <v>ニプラジロールＰＦ点眼液０．２５％「日点」</v>
      </c>
      <c r="D597" s="15" t="str">
        <f>薬品マスタリスト_20260130100542!B595</f>
        <v>ﾆﾌﾟﾗｼﾞﾛｰﾙPFﾃﾝｶﾞﾝｴｷ0.25%｢ﾆｯﾃﾝ｣</v>
      </c>
      <c r="E597" s="15">
        <f>薬品マスタリスト_20260130100542!C595</f>
        <v>21</v>
      </c>
      <c r="F597" s="206" t="str">
        <f>薬品マスタリスト_20260130100542!D595</f>
        <v>点眼剤</v>
      </c>
      <c r="G597" s="208" t="str">
        <f>match_results!C594</f>
        <v>ハイパジール点眼０．２５％</v>
      </c>
      <c r="H597" s="208">
        <f>match_results!D594</f>
        <v>118</v>
      </c>
      <c r="I597" s="218">
        <f>match_results!E594</f>
        <v>58.823529411764703</v>
      </c>
      <c r="J597" s="225"/>
      <c r="K597" s="15" t="str">
        <f ca="1">IF($J597="〇",OFFSET(集計!B$3,合体!$H597,0),"")</f>
        <v/>
      </c>
      <c r="L597" s="15" t="str">
        <f ca="1">IF($J597="〇",OFFSET(集計!C$3,合体!$H597,0),"")</f>
        <v/>
      </c>
      <c r="M597" s="202" t="str">
        <f ca="1">IF($J597="〇",OFFSET(集計!D$3,合体!$H597,0),"")</f>
        <v/>
      </c>
    </row>
    <row r="598" spans="2:13" x14ac:dyDescent="0.2">
      <c r="B598" s="201">
        <f t="shared" si="9"/>
        <v>594</v>
      </c>
      <c r="C598" s="15" t="str">
        <f>薬品マスタリスト_20260130100542!A596</f>
        <v>乳糖水和物</v>
      </c>
      <c r="D598" s="15" t="str">
        <f>薬品マスタリスト_20260130100542!B596</f>
        <v>ﾆｭｳﾄｳｽｲﾜﾌﾞﾂ</v>
      </c>
      <c r="E598" s="15">
        <f>薬品マスタリスト_20260130100542!C596</f>
        <v>3</v>
      </c>
      <c r="F598" s="206" t="str">
        <f>薬品マスタリスト_20260130100542!D596</f>
        <v>散</v>
      </c>
      <c r="G598" s="208" t="str">
        <f>match_results!C595</f>
        <v>乳糖水和物「ヨシダ」</v>
      </c>
      <c r="H598" s="208">
        <f>match_results!D595</f>
        <v>40</v>
      </c>
      <c r="I598" s="218">
        <f>match_results!E595</f>
        <v>66.6666666666666</v>
      </c>
      <c r="J598" s="225"/>
      <c r="K598" s="15" t="str">
        <f ca="1">IF($J598="〇",OFFSET(集計!B$3,合体!$H598,0),"")</f>
        <v/>
      </c>
      <c r="L598" s="15" t="str">
        <f ca="1">IF($J598="〇",OFFSET(集計!C$3,合体!$H598,0),"")</f>
        <v/>
      </c>
      <c r="M598" s="202" t="str">
        <f ca="1">IF($J598="〇",OFFSET(集計!D$3,合体!$H598,0),"")</f>
        <v/>
      </c>
    </row>
    <row r="599" spans="2:13" x14ac:dyDescent="0.2">
      <c r="B599" s="201">
        <f t="shared" si="9"/>
        <v>595</v>
      </c>
      <c r="C599" s="15" t="str">
        <f>薬品マスタリスト_20260130100542!A597</f>
        <v>ニュープロパッチ９ｍｇ</v>
      </c>
      <c r="D599" s="15" t="str">
        <f>薬品マスタリスト_20260130100542!B597</f>
        <v>ﾆｭｰﾌﾟﾛﾊﾟｯﾁ9mg</v>
      </c>
      <c r="E599" s="15">
        <f>薬品マスタリスト_20260130100542!C597</f>
        <v>19</v>
      </c>
      <c r="F599" s="206" t="str">
        <f>薬品マスタリスト_20260130100542!D597</f>
        <v>貼付剤</v>
      </c>
      <c r="G599" s="208" t="str">
        <f>match_results!C596</f>
        <v>ニュープロパッチ（４．５）</v>
      </c>
      <c r="H599" s="208">
        <f>match_results!D596</f>
        <v>122</v>
      </c>
      <c r="I599" s="218">
        <f>match_results!E596</f>
        <v>66.6666666666666</v>
      </c>
      <c r="J599" s="225"/>
      <c r="K599" s="15" t="str">
        <f ca="1">IF($J599="〇",OFFSET(集計!B$3,合体!$H599,0),"")</f>
        <v/>
      </c>
      <c r="L599" s="15" t="str">
        <f ca="1">IF($J599="〇",OFFSET(集計!C$3,合体!$H599,0),"")</f>
        <v/>
      </c>
      <c r="M599" s="202" t="str">
        <f ca="1">IF($J599="〇",OFFSET(集計!D$3,合体!$H599,0),"")</f>
        <v/>
      </c>
    </row>
    <row r="600" spans="2:13" x14ac:dyDescent="0.2">
      <c r="B600" s="201">
        <f t="shared" si="9"/>
        <v>596</v>
      </c>
      <c r="C600" s="15" t="str">
        <f>薬品マスタリスト_20260130100542!A598</f>
        <v>ニュープロパッチ４．５ｍｇ</v>
      </c>
      <c r="D600" s="15" t="str">
        <f>薬品マスタリスト_20260130100542!B598</f>
        <v>ﾆﾕ-ﾌﾟﾛﾊﾟﾂﾁ4.5MG</v>
      </c>
      <c r="E600" s="15">
        <f>薬品マスタリスト_20260130100542!C598</f>
        <v>19</v>
      </c>
      <c r="F600" s="206" t="str">
        <f>薬品マスタリスト_20260130100542!D598</f>
        <v>貼付剤</v>
      </c>
      <c r="G600" s="208" t="str">
        <f>match_results!C597</f>
        <v>ニュープロパッチ（４．５）</v>
      </c>
      <c r="H600" s="208">
        <f>match_results!D597</f>
        <v>122</v>
      </c>
      <c r="I600" s="218">
        <f>match_results!E597</f>
        <v>84.615384615384599</v>
      </c>
      <c r="J600" s="225"/>
      <c r="K600" s="15" t="str">
        <f ca="1">IF($J600="〇",OFFSET(集計!B$3,合体!$H600,0),"")</f>
        <v/>
      </c>
      <c r="L600" s="15" t="str">
        <f ca="1">IF($J600="〇",OFFSET(集計!C$3,合体!$H600,0),"")</f>
        <v/>
      </c>
      <c r="M600" s="202" t="str">
        <f ca="1">IF($J600="〇",OFFSET(集計!D$3,合体!$H600,0),"")</f>
        <v/>
      </c>
    </row>
    <row r="601" spans="2:13" x14ac:dyDescent="0.2">
      <c r="B601" s="201">
        <f t="shared" si="9"/>
        <v>597</v>
      </c>
      <c r="C601" s="15" t="str">
        <f>薬品マスタリスト_20260130100542!A599</f>
        <v>ニューモバックスＮＰシリンジ（用時購入）</v>
      </c>
      <c r="D601" s="15" t="str">
        <f>薬品マスタリスト_20260130100542!B599</f>
        <v>ﾆｭｰﾓﾊﾞｯｸｽNPｼﾘﾝｼﾞ</v>
      </c>
      <c r="E601" s="15">
        <f>薬品マスタリスト_20260130100542!C599</f>
        <v>25</v>
      </c>
      <c r="F601" s="206" t="str">
        <f>薬品マスタリスト_20260130100542!D599</f>
        <v>注射剤</v>
      </c>
      <c r="G601" s="208" t="str">
        <f>match_results!C598</f>
        <v>ニュープロパッチ（４．５）</v>
      </c>
      <c r="H601" s="208">
        <f>match_results!D598</f>
        <v>122</v>
      </c>
      <c r="I601" s="218">
        <f>match_results!E598</f>
        <v>36.363636363636303</v>
      </c>
      <c r="J601" s="225"/>
      <c r="K601" s="15" t="str">
        <f ca="1">IF($J601="〇",OFFSET(集計!B$3,合体!$H601,0),"")</f>
        <v/>
      </c>
      <c r="L601" s="15" t="str">
        <f ca="1">IF($J601="〇",OFFSET(集計!C$3,合体!$H601,0),"")</f>
        <v/>
      </c>
      <c r="M601" s="202" t="str">
        <f ca="1">IF($J601="〇",OFFSET(集計!D$3,合体!$H601,0),"")</f>
        <v/>
      </c>
    </row>
    <row r="602" spans="2:13" x14ac:dyDescent="0.2">
      <c r="B602" s="201">
        <f t="shared" si="9"/>
        <v>598</v>
      </c>
      <c r="C602" s="15" t="str">
        <f>薬品マスタリスト_20260130100542!A600</f>
        <v>ニューレプチル錠５ｍｇ</v>
      </c>
      <c r="D602" s="15" t="str">
        <f>薬品マスタリスト_20260130100542!B600</f>
        <v>ﾆｭｰﾚﾌﾟﾁﾙｼﾞｮｳ5mg</v>
      </c>
      <c r="E602" s="15">
        <f>薬品マスタリスト_20260130100542!C600</f>
        <v>1</v>
      </c>
      <c r="F602" s="206" t="str">
        <f>薬品マスタリスト_20260130100542!D600</f>
        <v>錠剤</v>
      </c>
      <c r="G602" s="208" t="str">
        <f>match_results!C599</f>
        <v>ニュ－レプチル錠５ｍｇ</v>
      </c>
      <c r="H602" s="208">
        <f>match_results!D599</f>
        <v>142</v>
      </c>
      <c r="I602" s="218">
        <f>match_results!E599</f>
        <v>90.909090909090907</v>
      </c>
      <c r="J602" s="225"/>
      <c r="K602" s="15" t="str">
        <f ca="1">IF($J602="〇",OFFSET(集計!B$3,合体!$H602,0),"")</f>
        <v/>
      </c>
      <c r="L602" s="15" t="str">
        <f ca="1">IF($J602="〇",OFFSET(集計!C$3,合体!$H602,0),"")</f>
        <v/>
      </c>
      <c r="M602" s="202" t="str">
        <f ca="1">IF($J602="〇",OFFSET(集計!D$3,合体!$H602,0),"")</f>
        <v/>
      </c>
    </row>
    <row r="603" spans="2:13" x14ac:dyDescent="0.2">
      <c r="B603" s="201">
        <f t="shared" si="9"/>
        <v>599</v>
      </c>
      <c r="C603" s="15" t="str">
        <f>薬品マスタリスト_20260130100542!A601</f>
        <v>ニューレプチル錠１０ｍｇ</v>
      </c>
      <c r="D603" s="15" t="str">
        <f>薬品マスタリスト_20260130100542!B601</f>
        <v>ﾆｭｰﾚﾌﾟﾁﾙｼﾞｮｳ10mg</v>
      </c>
      <c r="E603" s="15">
        <f>薬品マスタリスト_20260130100542!C601</f>
        <v>1</v>
      </c>
      <c r="F603" s="206" t="str">
        <f>薬品マスタリスト_20260130100542!D601</f>
        <v>錠剤</v>
      </c>
      <c r="G603" s="208" t="str">
        <f>match_results!C600</f>
        <v>ニュ－レプチル錠１０ｍｇ</v>
      </c>
      <c r="H603" s="208">
        <f>match_results!D600</f>
        <v>35</v>
      </c>
      <c r="I603" s="218">
        <f>match_results!E600</f>
        <v>91.6666666666666</v>
      </c>
      <c r="J603" s="225"/>
      <c r="K603" s="15" t="str">
        <f ca="1">IF($J603="〇",OFFSET(集計!B$3,合体!$H603,0),"")</f>
        <v/>
      </c>
      <c r="L603" s="15" t="str">
        <f ca="1">IF($J603="〇",OFFSET(集計!C$3,合体!$H603,0),"")</f>
        <v/>
      </c>
      <c r="M603" s="202" t="str">
        <f ca="1">IF($J603="〇",OFFSET(集計!D$3,合体!$H603,0),"")</f>
        <v/>
      </c>
    </row>
    <row r="604" spans="2:13" x14ac:dyDescent="0.2">
      <c r="B604" s="201">
        <f t="shared" si="9"/>
        <v>600</v>
      </c>
      <c r="C604" s="15" t="str">
        <f>薬品マスタリスト_20260130100542!A602</f>
        <v>尿素クリーム１０％「日医工」</v>
      </c>
      <c r="D604" s="15" t="str">
        <f>薬品マスタリスト_20260130100542!B602</f>
        <v>ﾆｮｳｿｸﾘｰﾑ10%｢ﾆﾁｲｺｳ｣</v>
      </c>
      <c r="E604" s="15">
        <f>薬品マスタリスト_20260130100542!C602</f>
        <v>15</v>
      </c>
      <c r="F604" s="206" t="str">
        <f>薬品マスタリスト_20260130100542!D602</f>
        <v>クリーム</v>
      </c>
      <c r="G604" s="208" t="str">
        <f>match_results!C601</f>
        <v>尿素クリーム</v>
      </c>
      <c r="H604" s="208">
        <f>match_results!D601</f>
        <v>48</v>
      </c>
      <c r="I604" s="218">
        <f>match_results!E601</f>
        <v>60</v>
      </c>
      <c r="J604" s="225"/>
      <c r="K604" s="15" t="str">
        <f ca="1">IF($J604="〇",OFFSET(集計!B$3,合体!$H604,0),"")</f>
        <v/>
      </c>
      <c r="L604" s="15" t="str">
        <f ca="1">IF($J604="〇",OFFSET(集計!C$3,合体!$H604,0),"")</f>
        <v/>
      </c>
      <c r="M604" s="202" t="str">
        <f ca="1">IF($J604="〇",OFFSET(集計!D$3,合体!$H604,0),"")</f>
        <v/>
      </c>
    </row>
    <row r="605" spans="2:13" x14ac:dyDescent="0.2">
      <c r="B605" s="201">
        <f t="shared" si="9"/>
        <v>601</v>
      </c>
      <c r="C605" s="15" t="str">
        <f>薬品マスタリスト_20260130100542!A603</f>
        <v>ニルバジピン錠２ｍｇ「サワイ」</v>
      </c>
      <c r="D605" s="15" t="str">
        <f>薬品マスタリスト_20260130100542!B603</f>
        <v>ﾆﾙﾊﾞｼﾞﾋﾟﾝｼﾞｮｳ2mg｢ｻﾜｲ｣</v>
      </c>
      <c r="E605" s="15">
        <f>薬品マスタリスト_20260130100542!C603</f>
        <v>1</v>
      </c>
      <c r="F605" s="206" t="str">
        <f>薬品マスタリスト_20260130100542!D603</f>
        <v>錠剤</v>
      </c>
      <c r="G605" s="208" t="str">
        <f>match_results!C602</f>
        <v>ニルバジピン錠２ｍｇ</v>
      </c>
      <c r="H605" s="208">
        <f>match_results!D602</f>
        <v>310</v>
      </c>
      <c r="I605" s="218">
        <f>match_results!E602</f>
        <v>80</v>
      </c>
      <c r="J605" s="225"/>
      <c r="K605" s="15" t="str">
        <f ca="1">IF($J605="〇",OFFSET(集計!B$3,合体!$H605,0),"")</f>
        <v/>
      </c>
      <c r="L605" s="15" t="str">
        <f ca="1">IF($J605="〇",OFFSET(集計!C$3,合体!$H605,0),"")</f>
        <v/>
      </c>
      <c r="M605" s="202" t="str">
        <f ca="1">IF($J605="〇",OFFSET(集計!D$3,合体!$H605,0),"")</f>
        <v/>
      </c>
    </row>
    <row r="606" spans="2:13" x14ac:dyDescent="0.2">
      <c r="B606" s="201">
        <f t="shared" si="9"/>
        <v>602</v>
      </c>
      <c r="C606" s="15" t="str">
        <f>薬品マスタリスト_20260130100542!A604</f>
        <v>ニルバジピン４ｍｇ錠</v>
      </c>
      <c r="D606" s="15" t="str">
        <f>薬品マスタリスト_20260130100542!B604</f>
        <v>ﾆﾙﾊﾞｼﾞﾋﾟﾝ4MGｼﾞﾖｳ</v>
      </c>
      <c r="E606" s="15">
        <f>薬品マスタリスト_20260130100542!C604</f>
        <v>1</v>
      </c>
      <c r="F606" s="206" t="str">
        <f>薬品マスタリスト_20260130100542!D604</f>
        <v>錠剤</v>
      </c>
      <c r="G606" s="208" t="str">
        <f>match_results!C603</f>
        <v>ニルバジピン錠２ｍｇ</v>
      </c>
      <c r="H606" s="208">
        <f>match_results!D603</f>
        <v>310</v>
      </c>
      <c r="I606" s="218">
        <f>match_results!E603</f>
        <v>80</v>
      </c>
      <c r="J606" s="225"/>
      <c r="K606" s="15" t="str">
        <f ca="1">IF($J606="〇",OFFSET(集計!B$3,合体!$H606,0),"")</f>
        <v/>
      </c>
      <c r="L606" s="15" t="str">
        <f ca="1">IF($J606="〇",OFFSET(集計!C$3,合体!$H606,0),"")</f>
        <v/>
      </c>
      <c r="M606" s="202" t="str">
        <f ca="1">IF($J606="〇",OFFSET(集計!D$3,合体!$H606,0),"")</f>
        <v/>
      </c>
    </row>
    <row r="607" spans="2:13" x14ac:dyDescent="0.2">
      <c r="B607" s="201">
        <f t="shared" si="9"/>
        <v>603</v>
      </c>
      <c r="C607" s="15" t="str">
        <f>薬品マスタリスト_20260130100542!A605</f>
        <v>ネイリンカプセル１００ｍｇ（用時購入）</v>
      </c>
      <c r="D607" s="15" t="str">
        <f>薬品マスタリスト_20260130100542!B605</f>
        <v>ﾈｲﾘﾝｶﾌﾟｾﾙ100mg</v>
      </c>
      <c r="E607" s="15">
        <f>薬品マスタリスト_20260130100542!C605</f>
        <v>2</v>
      </c>
      <c r="F607" s="206" t="str">
        <f>薬品マスタリスト_20260130100542!D605</f>
        <v>カプセル</v>
      </c>
      <c r="G607" s="208" t="str">
        <f>match_results!C604</f>
        <v>ニフェジピンカプセル１０ｍｇ</v>
      </c>
      <c r="H607" s="208">
        <f>match_results!D604</f>
        <v>66</v>
      </c>
      <c r="I607" s="218">
        <f>match_results!E604</f>
        <v>54.545454545454497</v>
      </c>
      <c r="J607" s="225"/>
      <c r="K607" s="15" t="str">
        <f ca="1">IF($J607="〇",OFFSET(集計!B$3,合体!$H607,0),"")</f>
        <v/>
      </c>
      <c r="L607" s="15" t="str">
        <f ca="1">IF($J607="〇",OFFSET(集計!C$3,合体!$H607,0),"")</f>
        <v/>
      </c>
      <c r="M607" s="202" t="str">
        <f ca="1">IF($J607="〇",OFFSET(集計!D$3,合体!$H607,0),"")</f>
        <v/>
      </c>
    </row>
    <row r="608" spans="2:13" x14ac:dyDescent="0.2">
      <c r="B608" s="201">
        <f t="shared" si="9"/>
        <v>604</v>
      </c>
      <c r="C608" s="15" t="str">
        <f>薬品マスタリスト_20260130100542!A606</f>
        <v>ネオドパストン配合錠Ｌ１００</v>
      </c>
      <c r="D608" s="15" t="str">
        <f>薬品マスタリスト_20260130100542!B606</f>
        <v>ﾈｵﾄﾞﾊﾟｽﾄﾝﾊｲｺﾞｳｼﾞｮｳL100</v>
      </c>
      <c r="E608" s="15">
        <f>薬品マスタリスト_20260130100542!C606</f>
        <v>1</v>
      </c>
      <c r="F608" s="206" t="str">
        <f>薬品マスタリスト_20260130100542!D606</f>
        <v>錠剤</v>
      </c>
      <c r="G608" s="208" t="str">
        <f>match_results!C605</f>
        <v>ネオドパストン配合錠Ｌ</v>
      </c>
      <c r="H608" s="208">
        <f>match_results!D605</f>
        <v>495</v>
      </c>
      <c r="I608" s="218">
        <f>match_results!E605</f>
        <v>88</v>
      </c>
      <c r="J608" s="225"/>
      <c r="K608" s="15" t="str">
        <f ca="1">IF($J608="〇",OFFSET(集計!B$3,合体!$H608,0),"")</f>
        <v/>
      </c>
      <c r="L608" s="15" t="str">
        <f ca="1">IF($J608="〇",OFFSET(集計!C$3,合体!$H608,0),"")</f>
        <v/>
      </c>
      <c r="M608" s="202" t="str">
        <f ca="1">IF($J608="〇",OFFSET(集計!D$3,合体!$H608,0),"")</f>
        <v/>
      </c>
    </row>
    <row r="609" spans="2:13" x14ac:dyDescent="0.2">
      <c r="B609" s="201">
        <f t="shared" si="9"/>
        <v>605</v>
      </c>
      <c r="C609" s="15" t="str">
        <f>薬品マスタリスト_20260130100542!A607</f>
        <v>ネオフィリン注２５０ｍｇ</v>
      </c>
      <c r="D609" s="15" t="str">
        <f>薬品マスタリスト_20260130100542!B607</f>
        <v>ﾈｵﾌｨﾘﾝﾁｭｳ250mg</v>
      </c>
      <c r="E609" s="15">
        <f>薬品マスタリスト_20260130100542!C607</f>
        <v>25</v>
      </c>
      <c r="F609" s="206" t="str">
        <f>薬品マスタリスト_20260130100542!D607</f>
        <v>注射剤</v>
      </c>
      <c r="G609" s="208" t="str">
        <f>match_results!C606</f>
        <v>テオフィリン徐放Ｕ錠２００ｍｇ</v>
      </c>
      <c r="H609" s="208">
        <f>match_results!D606</f>
        <v>145</v>
      </c>
      <c r="I609" s="218">
        <f>match_results!E606</f>
        <v>66.6666666666666</v>
      </c>
      <c r="J609" s="225"/>
      <c r="K609" s="15" t="str">
        <f ca="1">IF($J609="〇",OFFSET(集計!B$3,合体!$H609,0),"")</f>
        <v/>
      </c>
      <c r="L609" s="15" t="str">
        <f ca="1">IF($J609="〇",OFFSET(集計!C$3,合体!$H609,0),"")</f>
        <v/>
      </c>
      <c r="M609" s="202" t="str">
        <f ca="1">IF($J609="〇",OFFSET(集計!D$3,合体!$H609,0),"")</f>
        <v/>
      </c>
    </row>
    <row r="610" spans="2:13" x14ac:dyDescent="0.2">
      <c r="B610" s="201">
        <f t="shared" si="9"/>
        <v>606</v>
      </c>
      <c r="C610" s="15" t="str">
        <f>薬品マスタリスト_20260130100542!A608</f>
        <v>ネオファーゲン静注２０ｍＬ</v>
      </c>
      <c r="D610" s="15" t="str">
        <f>薬品マスタリスト_20260130100542!B608</f>
        <v>ﾈｵﾌｧｰｹﾞﾝｼﾞｮｳﾁｭｳ20mL</v>
      </c>
      <c r="E610" s="15">
        <f>薬品マスタリスト_20260130100542!C608</f>
        <v>25</v>
      </c>
      <c r="F610" s="206" t="str">
        <f>薬品マスタリスト_20260130100542!D608</f>
        <v>注射剤</v>
      </c>
      <c r="G610" s="208" t="str">
        <f>match_results!C607</f>
        <v>ネオファーゲン</v>
      </c>
      <c r="H610" s="208">
        <f>match_results!D607</f>
        <v>56</v>
      </c>
      <c r="I610" s="218">
        <f>match_results!E607</f>
        <v>70</v>
      </c>
      <c r="J610" s="225"/>
      <c r="K610" s="15" t="str">
        <f ca="1">IF($J610="〇",OFFSET(集計!B$3,合体!$H610,0),"")</f>
        <v/>
      </c>
      <c r="L610" s="15" t="str">
        <f ca="1">IF($J610="〇",OFFSET(集計!C$3,合体!$H610,0),"")</f>
        <v/>
      </c>
      <c r="M610" s="202" t="str">
        <f ca="1">IF($J610="〇",OFFSET(集計!D$3,合体!$H610,0),"")</f>
        <v/>
      </c>
    </row>
    <row r="611" spans="2:13" x14ac:dyDescent="0.2">
      <c r="B611" s="201">
        <f t="shared" si="9"/>
        <v>607</v>
      </c>
      <c r="C611" s="15" t="str">
        <f>薬品マスタリスト_20260130100542!A609</f>
        <v>ネオメドロールＥＥ軟膏</v>
      </c>
      <c r="D611" s="15" t="str">
        <f>薬品マスタリスト_20260130100542!B609</f>
        <v>ﾈｵﾒﾄﾞﾛ-ﾙEEﾅﾝｺｳ</v>
      </c>
      <c r="E611" s="15">
        <f>薬品マスタリスト_20260130100542!C609</f>
        <v>14</v>
      </c>
      <c r="F611" s="206" t="str">
        <f>薬品マスタリスト_20260130100542!D609</f>
        <v>軟膏</v>
      </c>
      <c r="G611" s="208" t="str">
        <f>match_results!C608</f>
        <v>ネオメドロールＥＥ軟膏</v>
      </c>
      <c r="H611" s="208">
        <f>match_results!D608</f>
        <v>83</v>
      </c>
      <c r="I611" s="218">
        <f>match_results!E608</f>
        <v>100</v>
      </c>
      <c r="J611" s="225" t="s">
        <v>3917</v>
      </c>
      <c r="K611" s="15">
        <f ca="1">IF($J611="〇",OFFSET(集計!B$3,合体!$H611,0),"")</f>
        <v>121.6</v>
      </c>
      <c r="L611" s="15">
        <f ca="1">IF($J611="〇",OFFSET(集計!C$3,合体!$H611,0),"")</f>
        <v>9</v>
      </c>
      <c r="M611" s="202">
        <f ca="1">IF($J611="〇",OFFSET(集計!D$3,合体!$H611,0),"")</f>
        <v>1094.3999999999999</v>
      </c>
    </row>
    <row r="612" spans="2:13" x14ac:dyDescent="0.2">
      <c r="B612" s="201">
        <f t="shared" si="9"/>
        <v>608</v>
      </c>
      <c r="C612" s="15" t="str">
        <f>薬品マスタリスト_20260130100542!A610</f>
        <v>ネオーラル５０ｍｇカプセル</v>
      </c>
      <c r="D612" s="15" t="str">
        <f>薬品マスタリスト_20260130100542!B610</f>
        <v>ﾈｵｰﾗﾙ50mgｶﾌﾟｾﾙ</v>
      </c>
      <c r="E612" s="15">
        <f>薬品マスタリスト_20260130100542!C610</f>
        <v>2</v>
      </c>
      <c r="F612" s="206" t="str">
        <f>薬品マスタリスト_20260130100542!D610</f>
        <v>カプセル</v>
      </c>
      <c r="G612" s="208" t="str">
        <f>match_results!C609</f>
        <v>リルゾール錠５０ｍｇ</v>
      </c>
      <c r="H612" s="208">
        <f>match_results!D609</f>
        <v>415</v>
      </c>
      <c r="I612" s="218">
        <f>match_results!E609</f>
        <v>52.173913043478201</v>
      </c>
      <c r="J612" s="225"/>
      <c r="K612" s="15" t="str">
        <f ca="1">IF($J612="〇",OFFSET(集計!B$3,合体!$H612,0),"")</f>
        <v/>
      </c>
      <c r="L612" s="15" t="str">
        <f ca="1">IF($J612="〇",OFFSET(集計!C$3,合体!$H612,0),"")</f>
        <v/>
      </c>
      <c r="M612" s="202" t="str">
        <f ca="1">IF($J612="〇",OFFSET(集計!D$3,合体!$H612,0),"")</f>
        <v/>
      </c>
    </row>
    <row r="613" spans="2:13" x14ac:dyDescent="0.2">
      <c r="B613" s="201">
        <f t="shared" si="9"/>
        <v>609</v>
      </c>
      <c r="C613" s="15" t="str">
        <f>薬品マスタリスト_20260130100542!A611</f>
        <v>ネスプ注射液４０μｇプラシリンジ</v>
      </c>
      <c r="D613" s="15" t="str">
        <f>薬品マスタリスト_20260130100542!B611</f>
        <v>ﾈｽﾌﾟﾁｭｳｼｬｴｷ40μgﾌﾟﾗｼﾘﾝｼﾞ</v>
      </c>
      <c r="E613" s="15">
        <f>薬品マスタリスト_20260130100542!C611</f>
        <v>25</v>
      </c>
      <c r="F613" s="206" t="str">
        <f>薬品マスタリスト_20260130100542!D611</f>
        <v>注射剤</v>
      </c>
      <c r="G613" s="208" t="str">
        <f>match_results!C610</f>
        <v>プラリア皮下注６０ｍｇシリンジ</v>
      </c>
      <c r="H613" s="208">
        <f>match_results!D610</f>
        <v>15</v>
      </c>
      <c r="I613" s="218">
        <f>match_results!E610</f>
        <v>51.612903225806399</v>
      </c>
      <c r="J613" s="225"/>
      <c r="K613" s="15" t="str">
        <f ca="1">IF($J613="〇",OFFSET(集計!B$3,合体!$H613,0),"")</f>
        <v/>
      </c>
      <c r="L613" s="15" t="str">
        <f ca="1">IF($J613="〇",OFFSET(集計!C$3,合体!$H613,0),"")</f>
        <v/>
      </c>
      <c r="M613" s="202" t="str">
        <f ca="1">IF($J613="〇",OFFSET(集計!D$3,合体!$H613,0),"")</f>
        <v/>
      </c>
    </row>
    <row r="614" spans="2:13" x14ac:dyDescent="0.2">
      <c r="B614" s="201">
        <f t="shared" si="9"/>
        <v>610</v>
      </c>
      <c r="C614" s="15" t="str">
        <f>薬品マスタリスト_20260130100542!A612</f>
        <v>ネスプ注射液１２０μｇプラシリンジ</v>
      </c>
      <c r="D614" s="15" t="str">
        <f>薬品マスタリスト_20260130100542!B612</f>
        <v>ﾈｽﾌﾟﾁｭｳｼｬｴｷ120μgﾌﾟﾗｼﾘﾝｼﾞ</v>
      </c>
      <c r="E614" s="15">
        <f>薬品マスタリスト_20260130100542!C612</f>
        <v>25</v>
      </c>
      <c r="F614" s="206" t="str">
        <f>薬品マスタリスト_20260130100542!D612</f>
        <v>注射剤</v>
      </c>
      <c r="G614" s="208" t="str">
        <f>match_results!C611</f>
        <v>プラリア皮下注６０ｍｇシリンジ</v>
      </c>
      <c r="H614" s="208">
        <f>match_results!D611</f>
        <v>15</v>
      </c>
      <c r="I614" s="218">
        <f>match_results!E611</f>
        <v>50</v>
      </c>
      <c r="J614" s="225"/>
      <c r="K614" s="15" t="str">
        <f ca="1">IF($J614="〇",OFFSET(集計!B$3,合体!$H614,0),"")</f>
        <v/>
      </c>
      <c r="L614" s="15" t="str">
        <f ca="1">IF($J614="〇",OFFSET(集計!C$3,合体!$H614,0),"")</f>
        <v/>
      </c>
      <c r="M614" s="202" t="str">
        <f ca="1">IF($J614="〇",OFFSET(集計!D$3,合体!$H614,0),"")</f>
        <v/>
      </c>
    </row>
    <row r="615" spans="2:13" x14ac:dyDescent="0.2">
      <c r="B615" s="201">
        <f t="shared" si="9"/>
        <v>611</v>
      </c>
      <c r="C615" s="15" t="str">
        <f>薬品マスタリスト_20260130100542!A613</f>
        <v>ネリゾナユニバーサルクリーム０．１％</v>
      </c>
      <c r="D615" s="15" t="str">
        <f>薬品マスタリスト_20260130100542!B613</f>
        <v>ﾈﾘｿﾞﾅﾕﾆﾊﾞｰｻﾙｸﾘｰﾑ0.1%</v>
      </c>
      <c r="E615" s="15">
        <f>薬品マスタリスト_20260130100542!C613</f>
        <v>15</v>
      </c>
      <c r="F615" s="206" t="str">
        <f>薬品マスタリスト_20260130100542!D613</f>
        <v>クリーム</v>
      </c>
      <c r="G615" s="208" t="str">
        <f>match_results!C612</f>
        <v>テクスメテンユニバーサルクリーム０．１％</v>
      </c>
      <c r="H615" s="208">
        <f>match_results!D612</f>
        <v>86</v>
      </c>
      <c r="I615" s="218">
        <f>match_results!E612</f>
        <v>73.684210526315795</v>
      </c>
      <c r="J615" s="225"/>
      <c r="K615" s="15" t="str">
        <f ca="1">IF($J615="〇",OFFSET(集計!B$3,合体!$H615,0),"")</f>
        <v/>
      </c>
      <c r="L615" s="15" t="str">
        <f ca="1">IF($J615="〇",OFFSET(集計!C$3,合体!$H615,0),"")</f>
        <v/>
      </c>
      <c r="M615" s="202" t="str">
        <f ca="1">IF($J615="〇",OFFSET(集計!D$3,合体!$H615,0),"")</f>
        <v/>
      </c>
    </row>
    <row r="616" spans="2:13" x14ac:dyDescent="0.2">
      <c r="B616" s="201">
        <f t="shared" si="9"/>
        <v>612</v>
      </c>
      <c r="C616" s="15" t="str">
        <f>薬品マスタリスト_20260130100542!A614</f>
        <v>ノイロトロピン錠４単位</v>
      </c>
      <c r="D616" s="15" t="str">
        <f>薬品マスタリスト_20260130100542!B614</f>
        <v>ﾉｲﾛﾄﾛﾋﾟﾝｼﾞｮｳ4ﾀﾝｲ</v>
      </c>
      <c r="E616" s="15">
        <f>薬品マスタリスト_20260130100542!C614</f>
        <v>1</v>
      </c>
      <c r="F616" s="206" t="str">
        <f>薬品マスタリスト_20260130100542!D614</f>
        <v>錠剤</v>
      </c>
      <c r="G616" s="208" t="str">
        <f>match_results!C613</f>
        <v>ノイロトロピン錠４単位</v>
      </c>
      <c r="H616" s="208">
        <f>match_results!D613</f>
        <v>571</v>
      </c>
      <c r="I616" s="218">
        <f>match_results!E613</f>
        <v>100</v>
      </c>
      <c r="J616" s="225" t="s">
        <v>3917</v>
      </c>
      <c r="K616" s="15">
        <f ca="1">IF($J616="〇",OFFSET(集計!B$3,合体!$H616,0),"")</f>
        <v>25.39</v>
      </c>
      <c r="L616" s="15">
        <f ca="1">IF($J616="〇",OFFSET(集計!C$3,合体!$H616,0),"")</f>
        <v>1006.25</v>
      </c>
      <c r="M616" s="202">
        <f ca="1">IF($J616="〇",OFFSET(集計!D$3,合体!$H616,0),"")</f>
        <v>25548.6875</v>
      </c>
    </row>
    <row r="617" spans="2:13" x14ac:dyDescent="0.2">
      <c r="B617" s="201">
        <f t="shared" si="9"/>
        <v>613</v>
      </c>
      <c r="C617" s="15" t="str">
        <f>薬品マスタリスト_20260130100542!A615</f>
        <v>ノイロビタン配合錠</v>
      </c>
      <c r="D617" s="15" t="str">
        <f>薬品マスタリスト_20260130100542!B615</f>
        <v>ﾉｲﾛﾋﾞﾀﾝﾊｲｺﾞｳｼﾞﾖｳ</v>
      </c>
      <c r="E617" s="15">
        <f>薬品マスタリスト_20260130100542!C615</f>
        <v>1</v>
      </c>
      <c r="F617" s="206" t="str">
        <f>薬品マスタリスト_20260130100542!D615</f>
        <v>錠剤</v>
      </c>
      <c r="G617" s="208" t="str">
        <f>match_results!C614</f>
        <v>ノイロビタン配合錠</v>
      </c>
      <c r="H617" s="208">
        <f>match_results!D614</f>
        <v>512</v>
      </c>
      <c r="I617" s="218">
        <f>match_results!E614</f>
        <v>100</v>
      </c>
      <c r="J617" s="225" t="s">
        <v>3917</v>
      </c>
      <c r="K617" s="15">
        <f ca="1">IF($J617="〇",OFFSET(集計!B$3,合体!$H617,0),"")</f>
        <v>5.08</v>
      </c>
      <c r="L617" s="15">
        <f ca="1">IF($J617="〇",OFFSET(集計!C$3,合体!$H617,0),"")</f>
        <v>2935.4285714285716</v>
      </c>
      <c r="M617" s="202">
        <f ca="1">IF($J617="〇",OFFSET(集計!D$3,合体!$H617,0),"")</f>
        <v>14911.977142857144</v>
      </c>
    </row>
    <row r="618" spans="2:13" x14ac:dyDescent="0.2">
      <c r="B618" s="201">
        <f t="shared" si="9"/>
        <v>614</v>
      </c>
      <c r="C618" s="15" t="str">
        <f>薬品マスタリスト_20260130100542!A616</f>
        <v>ノウリアスト錠２０ｍｇ</v>
      </c>
      <c r="D618" s="15" t="str">
        <f>薬品マスタリスト_20260130100542!B616</f>
        <v>ﾉｳﾘｱｽﾄｼﾞﾖｳ20MG</v>
      </c>
      <c r="E618" s="15">
        <f>薬品マスタリスト_20260130100542!C616</f>
        <v>1</v>
      </c>
      <c r="F618" s="206" t="str">
        <f>薬品マスタリスト_20260130100542!D616</f>
        <v>錠剤</v>
      </c>
      <c r="G618" s="208" t="str">
        <f>match_results!C615</f>
        <v>ノウリアスト錠２０ｍｇ</v>
      </c>
      <c r="H618" s="208">
        <f>match_results!D615</f>
        <v>621</v>
      </c>
      <c r="I618" s="218">
        <f>match_results!E615</f>
        <v>100</v>
      </c>
      <c r="J618" s="225" t="s">
        <v>3917</v>
      </c>
      <c r="K618" s="15">
        <f ca="1">IF($J618="〇",OFFSET(集計!B$3,合体!$H618,0),"")</f>
        <v>703.65</v>
      </c>
      <c r="L618" s="15">
        <f ca="1">IF($J618="〇",OFFSET(集計!C$3,合体!$H618,0),"")</f>
        <v>63</v>
      </c>
      <c r="M618" s="202">
        <f ca="1">IF($J618="〇",OFFSET(集計!D$3,合体!$H618,0),"")</f>
        <v>44329.95</v>
      </c>
    </row>
    <row r="619" spans="2:13" x14ac:dyDescent="0.2">
      <c r="B619" s="201">
        <f t="shared" si="9"/>
        <v>615</v>
      </c>
      <c r="C619" s="15" t="str">
        <f>薬品マスタリスト_20260130100542!A617</f>
        <v>ノベルジン錠２５ｍｇ</v>
      </c>
      <c r="D619" s="15" t="str">
        <f>薬品マスタリスト_20260130100542!B617</f>
        <v>ﾉﾍﾞﾙｼﾞﾝｼﾞｮｳ25mg</v>
      </c>
      <c r="E619" s="15">
        <f>薬品マスタリスト_20260130100542!C617</f>
        <v>1</v>
      </c>
      <c r="F619" s="206" t="str">
        <f>薬品マスタリスト_20260130100542!D617</f>
        <v>錠剤</v>
      </c>
      <c r="G619" s="208" t="str">
        <f>match_results!C616</f>
        <v>ノベルジン錠２５ｍｇ</v>
      </c>
      <c r="H619" s="208">
        <f>match_results!D616</f>
        <v>564</v>
      </c>
      <c r="I619" s="218">
        <f>match_results!E616</f>
        <v>100</v>
      </c>
      <c r="J619" s="225" t="s">
        <v>3917</v>
      </c>
      <c r="K619" s="15">
        <f ca="1">IF($J619="〇",OFFSET(集計!B$3,合体!$H619,0),"")</f>
        <v>182.79</v>
      </c>
      <c r="L619" s="15">
        <f ca="1">IF($J619="〇",OFFSET(集計!C$3,合体!$H619,0),"")</f>
        <v>133</v>
      </c>
      <c r="M619" s="202">
        <f ca="1">IF($J619="〇",OFFSET(集計!D$3,合体!$H619,0),"")</f>
        <v>24311.07</v>
      </c>
    </row>
    <row r="620" spans="2:13" x14ac:dyDescent="0.2">
      <c r="B620" s="201">
        <f t="shared" si="9"/>
        <v>616</v>
      </c>
      <c r="C620" s="15" t="str">
        <f>薬品マスタリスト_20260130100542!A618</f>
        <v>ノボラピッド注 フレックスペン</v>
      </c>
      <c r="D620" s="15" t="str">
        <f>薬品マスタリスト_20260130100542!B618</f>
        <v>ﾉﾎﾞﾗﾋﾟｯﾄﾞﾁｭｳ ﾌﾚｯｸｽﾍﾟﾝ</v>
      </c>
      <c r="E620" s="15">
        <f>薬品マスタリスト_20260130100542!C618</f>
        <v>25</v>
      </c>
      <c r="F620" s="206" t="str">
        <f>薬品マスタリスト_20260130100542!D618</f>
        <v>注射剤</v>
      </c>
      <c r="G620" s="208" t="str">
        <f>match_results!C617</f>
        <v>トレシーバ注フレックスタッチ</v>
      </c>
      <c r="H620" s="208">
        <f>match_results!D617</f>
        <v>127</v>
      </c>
      <c r="I620" s="218">
        <f>match_results!E617</f>
        <v>41.379310344827502</v>
      </c>
      <c r="J620" s="225"/>
      <c r="K620" s="15" t="str">
        <f ca="1">IF($J620="〇",OFFSET(集計!B$3,合体!$H620,0),"")</f>
        <v/>
      </c>
      <c r="L620" s="15" t="str">
        <f ca="1">IF($J620="〇",OFFSET(集計!C$3,合体!$H620,0),"")</f>
        <v/>
      </c>
      <c r="M620" s="202" t="str">
        <f ca="1">IF($J620="〇",OFFSET(集計!D$3,合体!$H620,0),"")</f>
        <v/>
      </c>
    </row>
    <row r="621" spans="2:13" x14ac:dyDescent="0.2">
      <c r="B621" s="201">
        <f t="shared" si="9"/>
        <v>617</v>
      </c>
      <c r="C621" s="15" t="str">
        <f>薬品マスタリスト_20260130100542!A619</f>
        <v>ノボリンＮ注フレックスペン</v>
      </c>
      <c r="D621" s="15" t="str">
        <f>薬品マスタリスト_20260130100542!B619</f>
        <v>ﾉﾎﾞﾘﾝNﾁｭｳﾌﾚｯｸｽﾍﾟﾝ</v>
      </c>
      <c r="E621" s="15">
        <f>薬品マスタリスト_20260130100542!C619</f>
        <v>25</v>
      </c>
      <c r="F621" s="206" t="str">
        <f>薬品マスタリスト_20260130100542!D619</f>
        <v>注射剤</v>
      </c>
      <c r="G621" s="208" t="str">
        <f>match_results!C618</f>
        <v>トレシーバ注フレックスタッチ</v>
      </c>
      <c r="H621" s="208">
        <f>match_results!D618</f>
        <v>127</v>
      </c>
      <c r="I621" s="218">
        <f>match_results!E618</f>
        <v>44.4444444444444</v>
      </c>
      <c r="J621" s="225"/>
      <c r="K621" s="15" t="str">
        <f ca="1">IF($J621="〇",OFFSET(集計!B$3,合体!$H621,0),"")</f>
        <v/>
      </c>
      <c r="L621" s="15" t="str">
        <f ca="1">IF($J621="〇",OFFSET(集計!C$3,合体!$H621,0),"")</f>
        <v/>
      </c>
      <c r="M621" s="202" t="str">
        <f ca="1">IF($J621="〇",OFFSET(集計!D$3,合体!$H621,0),"")</f>
        <v/>
      </c>
    </row>
    <row r="622" spans="2:13" x14ac:dyDescent="0.2">
      <c r="B622" s="201">
        <f t="shared" si="9"/>
        <v>618</v>
      </c>
      <c r="C622" s="15" t="str">
        <f>薬品マスタリスト_20260130100542!A620</f>
        <v>ノルアドレナリン注射液</v>
      </c>
      <c r="D622" s="15" t="str">
        <f>薬品マスタリスト_20260130100542!B620</f>
        <v>ﾉﾙｱﾄﾞﾚﾅﾘﾝﾁｭｳｼｬｴｷ</v>
      </c>
      <c r="E622" s="15">
        <f>薬品マスタリスト_20260130100542!C620</f>
        <v>25</v>
      </c>
      <c r="F622" s="206" t="str">
        <f>薬品マスタリスト_20260130100542!D620</f>
        <v>注射剤</v>
      </c>
      <c r="G622" s="208" t="str">
        <f>match_results!C619</f>
        <v>ノルアドレナリン注１ｍｇ</v>
      </c>
      <c r="H622" s="208">
        <f>match_results!D619</f>
        <v>55</v>
      </c>
      <c r="I622" s="218">
        <f>match_results!E619</f>
        <v>78.260869565217305</v>
      </c>
      <c r="J622" s="225"/>
      <c r="K622" s="15" t="str">
        <f ca="1">IF($J622="〇",OFFSET(集計!B$3,合体!$H622,0),"")</f>
        <v/>
      </c>
      <c r="L622" s="15" t="str">
        <f ca="1">IF($J622="〇",OFFSET(集計!C$3,合体!$H622,0),"")</f>
        <v/>
      </c>
      <c r="M622" s="202" t="str">
        <f ca="1">IF($J622="〇",OFFSET(集計!D$3,合体!$H622,0),"")</f>
        <v/>
      </c>
    </row>
    <row r="623" spans="2:13" x14ac:dyDescent="0.2">
      <c r="B623" s="201">
        <f t="shared" si="9"/>
        <v>619</v>
      </c>
      <c r="C623" s="15" t="str">
        <f>薬品マスタリスト_20260130100542!A621</f>
        <v>ハイパジールコーワ点眼液０．２５％</v>
      </c>
      <c r="D623" s="15" t="str">
        <f>薬品マスタリスト_20260130100542!B621</f>
        <v>ﾊｲﾊﾟｼﾞｰﾙｺｰﾜﾃﾝｶﾞﾝｴｷ0.25%</v>
      </c>
      <c r="E623" s="15">
        <f>薬品マスタリスト_20260130100542!C621</f>
        <v>21</v>
      </c>
      <c r="F623" s="206" t="str">
        <f>薬品マスタリスト_20260130100542!D621</f>
        <v>点眼剤</v>
      </c>
      <c r="G623" s="208" t="str">
        <f>match_results!C620</f>
        <v>ハイパジール点眼０．２５％</v>
      </c>
      <c r="H623" s="208">
        <f>match_results!D620</f>
        <v>118</v>
      </c>
      <c r="I623" s="218">
        <f>match_results!E620</f>
        <v>86.6666666666666</v>
      </c>
      <c r="J623" s="225"/>
      <c r="K623" s="15" t="str">
        <f ca="1">IF($J623="〇",OFFSET(集計!B$3,合体!$H623,0),"")</f>
        <v/>
      </c>
      <c r="L623" s="15" t="str">
        <f ca="1">IF($J623="〇",OFFSET(集計!C$3,合体!$H623,0),"")</f>
        <v/>
      </c>
      <c r="M623" s="202" t="str">
        <f ca="1">IF($J623="〇",OFFSET(集計!D$3,合体!$H623,0),"")</f>
        <v/>
      </c>
    </row>
    <row r="624" spans="2:13" x14ac:dyDescent="0.2">
      <c r="B624" s="201">
        <f t="shared" si="9"/>
        <v>620</v>
      </c>
      <c r="C624" s="15" t="str">
        <f>薬品マスタリスト_20260130100542!A622</f>
        <v>ハイペン錠２００ｍｇ</v>
      </c>
      <c r="D624" s="15" t="str">
        <f>薬品マスタリスト_20260130100542!B622</f>
        <v>ﾊｲﾍﾟﾝｼﾞﾖｳ200MG</v>
      </c>
      <c r="E624" s="15">
        <f>薬品マスタリスト_20260130100542!C622</f>
        <v>1</v>
      </c>
      <c r="F624" s="206" t="str">
        <f>薬品マスタリスト_20260130100542!D622</f>
        <v>錠剤</v>
      </c>
      <c r="G624" s="208" t="str">
        <f>match_results!C621</f>
        <v>ハイペン錠２００ｍｇ</v>
      </c>
      <c r="H624" s="208">
        <f>match_results!D621</f>
        <v>43</v>
      </c>
      <c r="I624" s="218">
        <f>match_results!E621</f>
        <v>100</v>
      </c>
      <c r="J624" s="225" t="s">
        <v>3917</v>
      </c>
      <c r="K624" s="15">
        <f ca="1">IF($J624="〇",OFFSET(集計!B$3,合体!$H624,0),"")</f>
        <v>12.02</v>
      </c>
      <c r="L624" s="15">
        <f ca="1">IF($J624="〇",OFFSET(集計!C$3,合体!$H624,0),"")</f>
        <v>40</v>
      </c>
      <c r="M624" s="202">
        <f ca="1">IF($J624="〇",OFFSET(集計!D$3,合体!$H624,0),"")</f>
        <v>480.79999999999995</v>
      </c>
    </row>
    <row r="625" spans="2:13" x14ac:dyDescent="0.2">
      <c r="B625" s="201">
        <f t="shared" si="9"/>
        <v>621</v>
      </c>
      <c r="C625" s="15" t="str">
        <f>薬品マスタリスト_20260130100542!A623</f>
        <v>パキシル錠１０ｍｇ</v>
      </c>
      <c r="D625" s="15" t="str">
        <f>薬品マスタリスト_20260130100542!B623</f>
        <v>ﾊﾟｷｼﾙｼﾞｮｳ10mg</v>
      </c>
      <c r="E625" s="15">
        <f>薬品マスタリスト_20260130100542!C623</f>
        <v>1</v>
      </c>
      <c r="F625" s="206" t="str">
        <f>薬品マスタリスト_20260130100542!D623</f>
        <v>錠剤</v>
      </c>
      <c r="G625" s="208" t="str">
        <f>match_results!C622</f>
        <v>パキシルＣＲ錠１２．５ｍｇ</v>
      </c>
      <c r="H625" s="208">
        <f>match_results!D622</f>
        <v>551</v>
      </c>
      <c r="I625" s="218">
        <f>match_results!E622</f>
        <v>72.727272727272705</v>
      </c>
      <c r="J625" s="225"/>
      <c r="K625" s="15" t="str">
        <f ca="1">IF($J625="〇",OFFSET(集計!B$3,合体!$H625,0),"")</f>
        <v/>
      </c>
      <c r="L625" s="15" t="str">
        <f ca="1">IF($J625="〇",OFFSET(集計!C$3,合体!$H625,0),"")</f>
        <v/>
      </c>
      <c r="M625" s="202" t="str">
        <f ca="1">IF($J625="〇",OFFSET(集計!D$3,合体!$H625,0),"")</f>
        <v/>
      </c>
    </row>
    <row r="626" spans="2:13" x14ac:dyDescent="0.2">
      <c r="B626" s="201">
        <f t="shared" si="9"/>
        <v>622</v>
      </c>
      <c r="C626" s="15" t="str">
        <f>薬品マスタリスト_20260130100542!A624</f>
        <v>パキシルＣＲ錠１２．５ｍｇ</v>
      </c>
      <c r="D626" s="15" t="str">
        <f>薬品マスタリスト_20260130100542!B624</f>
        <v>ﾊﾟｷｼﾙCRｼﾞｮｳ12.5mg</v>
      </c>
      <c r="E626" s="15">
        <f>薬品マスタリスト_20260130100542!C624</f>
        <v>1</v>
      </c>
      <c r="F626" s="206" t="str">
        <f>薬品マスタリスト_20260130100542!D624</f>
        <v>錠剤</v>
      </c>
      <c r="G626" s="208" t="str">
        <f>match_results!C623</f>
        <v>パキシルＣＲ錠１２．５ｍｇ</v>
      </c>
      <c r="H626" s="208">
        <f>match_results!D623</f>
        <v>551</v>
      </c>
      <c r="I626" s="218">
        <f>match_results!E623</f>
        <v>100</v>
      </c>
      <c r="J626" s="225" t="s">
        <v>3917</v>
      </c>
      <c r="K626" s="15">
        <f ca="1">IF($J626="〇",OFFSET(集計!B$3,合体!$H626,0),"")</f>
        <v>33.04</v>
      </c>
      <c r="L626" s="15">
        <f ca="1">IF($J626="〇",OFFSET(集計!C$3,合体!$H626,0),"")</f>
        <v>655.72727272727275</v>
      </c>
      <c r="M626" s="202">
        <f ca="1">IF($J626="〇",OFFSET(集計!D$3,合体!$H626,0),"")</f>
        <v>21665.229090909092</v>
      </c>
    </row>
    <row r="627" spans="2:13" x14ac:dyDescent="0.2">
      <c r="B627" s="201">
        <f t="shared" si="9"/>
        <v>623</v>
      </c>
      <c r="C627" s="15" t="str">
        <f>薬品マスタリスト_20260130100542!A625</f>
        <v>パキロビッドパック３００</v>
      </c>
      <c r="D627" s="15" t="str">
        <f>薬品マスタリスト_20260130100542!B625</f>
        <v>ﾊﾟｷﾛﾋﾞﾂﾄﾞﾊﾟﾂｸ300</v>
      </c>
      <c r="E627" s="15">
        <f>薬品マスタリスト_20260130100542!C625</f>
        <v>24</v>
      </c>
      <c r="F627" s="206" t="str">
        <f>薬品マスタリスト_20260130100542!D625</f>
        <v>その他</v>
      </c>
      <c r="G627" s="208" t="str">
        <f>match_results!C624</f>
        <v>パキロビットパック３００</v>
      </c>
      <c r="H627" s="208">
        <f>match_results!D624</f>
        <v>633</v>
      </c>
      <c r="I627" s="218">
        <f>match_results!E624</f>
        <v>91.6666666666666</v>
      </c>
      <c r="J627" s="225"/>
      <c r="K627" s="15" t="str">
        <f ca="1">IF($J627="〇",OFFSET(集計!B$3,合体!$H627,0),"")</f>
        <v/>
      </c>
      <c r="L627" s="15" t="str">
        <f ca="1">IF($J627="〇",OFFSET(集計!C$3,合体!$H627,0),"")</f>
        <v/>
      </c>
      <c r="M627" s="202" t="str">
        <f ca="1">IF($J627="〇",OFFSET(集計!D$3,合体!$H627,0),"")</f>
        <v/>
      </c>
    </row>
    <row r="628" spans="2:13" x14ac:dyDescent="0.2">
      <c r="B628" s="201">
        <f t="shared" si="9"/>
        <v>624</v>
      </c>
      <c r="C628" s="15" t="str">
        <f>薬品マスタリスト_20260130100542!A626</f>
        <v>パキロビッドパック６００</v>
      </c>
      <c r="D628" s="15" t="str">
        <f>薬品マスタリスト_20260130100542!B626</f>
        <v>ﾊﾟｷﾛﾋﾞﾂﾄﾞﾊﾟﾂｸ600</v>
      </c>
      <c r="E628" s="15">
        <f>薬品マスタリスト_20260130100542!C626</f>
        <v>24</v>
      </c>
      <c r="F628" s="206" t="str">
        <f>薬品マスタリスト_20260130100542!D626</f>
        <v>その他</v>
      </c>
      <c r="G628" s="208" t="str">
        <f>match_results!C625</f>
        <v>パキロビットパック６００</v>
      </c>
      <c r="H628" s="208">
        <f>match_results!D625</f>
        <v>656</v>
      </c>
      <c r="I628" s="218">
        <f>match_results!E625</f>
        <v>91.6666666666666</v>
      </c>
      <c r="J628" s="225"/>
      <c r="K628" s="15" t="str">
        <f ca="1">IF($J628="〇",OFFSET(集計!B$3,合体!$H628,0),"")</f>
        <v/>
      </c>
      <c r="L628" s="15" t="str">
        <f ca="1">IF($J628="〇",OFFSET(集計!C$3,合体!$H628,0),"")</f>
        <v/>
      </c>
      <c r="M628" s="202" t="str">
        <f ca="1">IF($J628="〇",OFFSET(集計!D$3,合体!$H628,0),"")</f>
        <v/>
      </c>
    </row>
    <row r="629" spans="2:13" x14ac:dyDescent="0.2">
      <c r="B629" s="201">
        <f t="shared" si="9"/>
        <v>625</v>
      </c>
      <c r="C629" s="15" t="str">
        <f>薬品マスタリスト_20260130100542!A627</f>
        <v>白色ワセリン</v>
      </c>
      <c r="D629" s="15" t="str">
        <f>薬品マスタリスト_20260130100542!B627</f>
        <v>ﾊｸｼｮｸﾜｾﾘﾝ</v>
      </c>
      <c r="E629" s="15">
        <f>薬品マスタリスト_20260130100542!C627</f>
        <v>24</v>
      </c>
      <c r="F629" s="206" t="str">
        <f>薬品マスタリスト_20260130100542!D627</f>
        <v>その他</v>
      </c>
      <c r="G629" s="208" t="str">
        <f>match_results!C626</f>
        <v>白色ワセリン</v>
      </c>
      <c r="H629" s="208">
        <f>match_results!D626</f>
        <v>191</v>
      </c>
      <c r="I629" s="218">
        <f>match_results!E626</f>
        <v>100</v>
      </c>
      <c r="J629" s="225" t="s">
        <v>3917</v>
      </c>
      <c r="K629" s="15">
        <f ca="1">IF($J629="〇",OFFSET(集計!B$3,合体!$H629,0),"")</f>
        <v>2.1800000000000002</v>
      </c>
      <c r="L629" s="15">
        <f ca="1">IF($J629="〇",OFFSET(集計!C$3,合体!$H629,0),"")</f>
        <v>1210</v>
      </c>
      <c r="M629" s="202">
        <f ca="1">IF($J629="〇",OFFSET(集計!D$3,合体!$H629,0),"")</f>
        <v>2637.8</v>
      </c>
    </row>
    <row r="630" spans="2:13" x14ac:dyDescent="0.2">
      <c r="B630" s="201">
        <f t="shared" si="9"/>
        <v>626</v>
      </c>
      <c r="C630" s="15" t="str">
        <f>薬品マスタリスト_20260130100542!A628</f>
        <v>バッサミン配合錠Ａ８１</v>
      </c>
      <c r="D630" s="15" t="str">
        <f>薬品マスタリスト_20260130100542!B628</f>
        <v>ﾊﾞｯｻﾐﾝﾊｲｺﾞｳｼﾞｮｳA81</v>
      </c>
      <c r="E630" s="15">
        <f>薬品マスタリスト_20260130100542!C628</f>
        <v>1</v>
      </c>
      <c r="F630" s="206" t="str">
        <f>薬品マスタリスト_20260130100542!D628</f>
        <v>錠剤</v>
      </c>
      <c r="G630" s="208" t="str">
        <f>match_results!C627</f>
        <v>バッサミン配合錠Ａ８１</v>
      </c>
      <c r="H630" s="208">
        <f>match_results!D627</f>
        <v>428</v>
      </c>
      <c r="I630" s="218">
        <f>match_results!E627</f>
        <v>100</v>
      </c>
      <c r="J630" s="225" t="s">
        <v>3917</v>
      </c>
      <c r="K630" s="15">
        <f ca="1">IF($J630="〇",OFFSET(集計!B$3,合体!$H630,0),"")</f>
        <v>5.18</v>
      </c>
      <c r="L630" s="15">
        <f ca="1">IF($J630="〇",OFFSET(集計!C$3,合体!$H630,0),"")</f>
        <v>1731.578947368421</v>
      </c>
      <c r="M630" s="202">
        <f ca="1">IF($J630="〇",OFFSET(集計!D$3,合体!$H630,0),"")</f>
        <v>8969.5789473684199</v>
      </c>
    </row>
    <row r="631" spans="2:13" x14ac:dyDescent="0.2">
      <c r="B631" s="201">
        <f t="shared" si="9"/>
        <v>627</v>
      </c>
      <c r="C631" s="15" t="str">
        <f>薬品マスタリスト_20260130100542!A629</f>
        <v>バナン錠１００ｍｇ</v>
      </c>
      <c r="D631" s="15" t="str">
        <f>薬品マスタリスト_20260130100542!B629</f>
        <v>ﾊﾞﾅﾝｼﾞｮｳ100mg</v>
      </c>
      <c r="E631" s="15">
        <f>薬品マスタリスト_20260130100542!C629</f>
        <v>1</v>
      </c>
      <c r="F631" s="206" t="str">
        <f>薬品マスタリスト_20260130100542!D629</f>
        <v>錠剤</v>
      </c>
      <c r="G631" s="208" t="str">
        <f>match_results!C628</f>
        <v>バナン錠１００ｍｇ　</v>
      </c>
      <c r="H631" s="208">
        <f>match_results!D628</f>
        <v>395</v>
      </c>
      <c r="I631" s="218">
        <f>match_results!E628</f>
        <v>100</v>
      </c>
      <c r="J631" s="225" t="s">
        <v>3917</v>
      </c>
      <c r="K631" s="15">
        <f ca="1">IF($J631="〇",OFFSET(集計!B$3,合体!$H631,0),"")</f>
        <v>42.05</v>
      </c>
      <c r="L631" s="15">
        <f ca="1">IF($J631="〇",OFFSET(集計!C$3,合体!$H631,0),"")</f>
        <v>177</v>
      </c>
      <c r="M631" s="202">
        <f ca="1">IF($J631="〇",OFFSET(集計!D$3,合体!$H631,0),"")</f>
        <v>7442.8499999999995</v>
      </c>
    </row>
    <row r="632" spans="2:13" x14ac:dyDescent="0.2">
      <c r="B632" s="201">
        <f t="shared" si="9"/>
        <v>628</v>
      </c>
      <c r="C632" s="15" t="str">
        <f>薬品マスタリスト_20260130100542!A630</f>
        <v>ハーフジゴキシンＫＹ錠０．１２５</v>
      </c>
      <c r="D632" s="15" t="str">
        <f>薬品マスタリスト_20260130100542!B630</f>
        <v>ﾊｰﾌｼﾞｺﾞｷｼﾝKYｼﾞｮｳ0.125</v>
      </c>
      <c r="E632" s="15">
        <f>薬品マスタリスト_20260130100542!C630</f>
        <v>1</v>
      </c>
      <c r="F632" s="206" t="str">
        <f>薬品マスタリスト_20260130100542!D630</f>
        <v>錠剤</v>
      </c>
      <c r="G632" s="208" t="str">
        <f>match_results!C629</f>
        <v>ハーフジゴキシンＫＹ（０．１２５）</v>
      </c>
      <c r="H632" s="208">
        <f>match_results!D629</f>
        <v>116</v>
      </c>
      <c r="I632" s="218">
        <f>match_results!E629</f>
        <v>90.909090909090907</v>
      </c>
      <c r="J632" s="225"/>
      <c r="K632" s="15" t="str">
        <f ca="1">IF($J632="〇",OFFSET(集計!B$3,合体!$H632,0),"")</f>
        <v/>
      </c>
      <c r="L632" s="15" t="str">
        <f ca="1">IF($J632="〇",OFFSET(集計!C$3,合体!$H632,0),"")</f>
        <v/>
      </c>
      <c r="M632" s="202" t="str">
        <f ca="1">IF($J632="〇",OFFSET(集計!D$3,合体!$H632,0),"")</f>
        <v/>
      </c>
    </row>
    <row r="633" spans="2:13" x14ac:dyDescent="0.2">
      <c r="B633" s="201">
        <f t="shared" si="9"/>
        <v>629</v>
      </c>
      <c r="C633" s="15" t="str">
        <f>薬品マスタリスト_20260130100542!A631</f>
        <v>ハベカシン注射液７５ｍｇ</v>
      </c>
      <c r="D633" s="15" t="str">
        <f>薬品マスタリスト_20260130100542!B631</f>
        <v>ﾊﾍﾞｶｼﾝﾁｭｳｼｬｴｷ75mg</v>
      </c>
      <c r="E633" s="15">
        <f>薬品マスタリスト_20260130100542!C631</f>
        <v>25</v>
      </c>
      <c r="F633" s="206" t="str">
        <f>薬品マスタリスト_20260130100542!D631</f>
        <v>注射剤</v>
      </c>
      <c r="G633" s="208" t="str">
        <f>match_results!C630</f>
        <v>ハベカシン注射液７５ＭＧ</v>
      </c>
      <c r="H633" s="208">
        <f>match_results!D630</f>
        <v>651</v>
      </c>
      <c r="I633" s="218">
        <f>match_results!E630</f>
        <v>83.3333333333333</v>
      </c>
      <c r="J633" s="225"/>
      <c r="K633" s="15" t="str">
        <f ca="1">IF($J633="〇",OFFSET(集計!B$3,合体!$H633,0),"")</f>
        <v/>
      </c>
      <c r="L633" s="15" t="str">
        <f ca="1">IF($J633="〇",OFFSET(集計!C$3,合体!$H633,0),"")</f>
        <v/>
      </c>
      <c r="M633" s="202" t="str">
        <f ca="1">IF($J633="〇",OFFSET(集計!D$3,合体!$H633,0),"")</f>
        <v/>
      </c>
    </row>
    <row r="634" spans="2:13" x14ac:dyDescent="0.2">
      <c r="B634" s="201">
        <f t="shared" si="9"/>
        <v>630</v>
      </c>
      <c r="C634" s="15" t="str">
        <f>薬品マスタリスト_20260130100542!A632</f>
        <v>バラクルード錠０．５ｍｇ</v>
      </c>
      <c r="D634" s="15" t="str">
        <f>薬品マスタリスト_20260130100542!B632</f>
        <v>ﾊﾞﾗｸﾙｰﾄﾞｼﾞｮｳ0.5mg</v>
      </c>
      <c r="E634" s="15">
        <f>薬品マスタリスト_20260130100542!C632</f>
        <v>1</v>
      </c>
      <c r="F634" s="206" t="str">
        <f>薬品マスタリスト_20260130100542!D632</f>
        <v>錠剤</v>
      </c>
      <c r="G634" s="208" t="str">
        <f>match_results!C631</f>
        <v>バラシクロビル錠５００ｍｇ</v>
      </c>
      <c r="H634" s="208">
        <f>match_results!D631</f>
        <v>407</v>
      </c>
      <c r="I634" s="218">
        <f>match_results!E631</f>
        <v>64</v>
      </c>
      <c r="J634" s="225"/>
      <c r="K634" s="15" t="str">
        <f ca="1">IF($J634="〇",OFFSET(集計!B$3,合体!$H634,0),"")</f>
        <v/>
      </c>
      <c r="L634" s="15" t="str">
        <f ca="1">IF($J634="〇",OFFSET(集計!C$3,合体!$H634,0),"")</f>
        <v/>
      </c>
      <c r="M634" s="202" t="str">
        <f ca="1">IF($J634="〇",OFFSET(集計!D$3,合体!$H634,0),"")</f>
        <v/>
      </c>
    </row>
    <row r="635" spans="2:13" x14ac:dyDescent="0.2">
      <c r="B635" s="201">
        <f t="shared" si="9"/>
        <v>631</v>
      </c>
      <c r="C635" s="15" t="str">
        <f>薬品マスタリスト_20260130100542!A633</f>
        <v>バラシクロビル錠５００ｍｇ「ＮＰ」</v>
      </c>
      <c r="D635" s="15" t="str">
        <f>薬品マスタリスト_20260130100542!B633</f>
        <v>ﾊﾞﾗｼｸﾛﾋﾞﾙｼﾞｮｳ500mg｢NP｣</v>
      </c>
      <c r="E635" s="15">
        <f>薬品マスタリスト_20260130100542!C633</f>
        <v>1</v>
      </c>
      <c r="F635" s="206" t="str">
        <f>薬品マスタリスト_20260130100542!D633</f>
        <v>錠剤</v>
      </c>
      <c r="G635" s="208" t="str">
        <f>match_results!C632</f>
        <v>バラシクロビル錠５００ｍｇ</v>
      </c>
      <c r="H635" s="208">
        <f>match_results!D632</f>
        <v>407</v>
      </c>
      <c r="I635" s="218">
        <f>match_results!E632</f>
        <v>86.6666666666666</v>
      </c>
      <c r="J635" s="225"/>
      <c r="K635" s="15" t="str">
        <f ca="1">IF($J635="〇",OFFSET(集計!B$3,合体!$H635,0),"")</f>
        <v/>
      </c>
      <c r="L635" s="15" t="str">
        <f ca="1">IF($J635="〇",OFFSET(集計!C$3,合体!$H635,0),"")</f>
        <v/>
      </c>
      <c r="M635" s="202" t="str">
        <f ca="1">IF($J635="〇",OFFSET(集計!D$3,合体!$H635,0),"")</f>
        <v/>
      </c>
    </row>
    <row r="636" spans="2:13" x14ac:dyDescent="0.2">
      <c r="B636" s="201">
        <f t="shared" si="9"/>
        <v>632</v>
      </c>
      <c r="C636" s="15" t="str">
        <f>薬品マスタリスト_20260130100542!A634</f>
        <v>バラシクロビル錠５００ｍｇ「ＳＰＫＫ」</v>
      </c>
      <c r="D636" s="15" t="str">
        <f>薬品マスタリスト_20260130100542!B634</f>
        <v>ﾊﾞﾗｼｸﾛﾋﾞﾙｼﾞﾖｳ500MGSPKK</v>
      </c>
      <c r="E636" s="15">
        <f>薬品マスタリスト_20260130100542!C634</f>
        <v>1</v>
      </c>
      <c r="F636" s="206" t="str">
        <f>薬品マスタリスト_20260130100542!D634</f>
        <v>錠剤</v>
      </c>
      <c r="G636" s="208" t="str">
        <f>match_results!C633</f>
        <v>バラシクロビル錠５００ｍｇ</v>
      </c>
      <c r="H636" s="208">
        <f>match_results!D633</f>
        <v>407</v>
      </c>
      <c r="I636" s="218">
        <f>match_results!E633</f>
        <v>81.25</v>
      </c>
      <c r="J636" s="225"/>
      <c r="K636" s="15" t="str">
        <f ca="1">IF($J636="〇",OFFSET(集計!B$3,合体!$H636,0),"")</f>
        <v/>
      </c>
      <c r="L636" s="15" t="str">
        <f ca="1">IF($J636="〇",OFFSET(集計!C$3,合体!$H636,0),"")</f>
        <v/>
      </c>
      <c r="M636" s="202" t="str">
        <f ca="1">IF($J636="〇",OFFSET(集計!D$3,合体!$H636,0),"")</f>
        <v/>
      </c>
    </row>
    <row r="637" spans="2:13" x14ac:dyDescent="0.2">
      <c r="B637" s="201">
        <f t="shared" si="9"/>
        <v>633</v>
      </c>
      <c r="C637" s="15" t="str">
        <f>薬品マスタリスト_20260130100542!A635</f>
        <v>バルプロ酸ナトリウム錠２００ｍｇ「ＤＳＰ」</v>
      </c>
      <c r="D637" s="15" t="str">
        <f>薬品マスタリスト_20260130100542!B635</f>
        <v>ﾊﾞﾙﾌﾟﾛｻﾝﾅﾄﾘｳﾑｼﾞｮｳ200mg｢DSP｣</v>
      </c>
      <c r="E637" s="15">
        <f>薬品マスタリスト_20260130100542!C635</f>
        <v>1</v>
      </c>
      <c r="F637" s="206" t="str">
        <f>薬品マスタリスト_20260130100542!D635</f>
        <v>錠剤</v>
      </c>
      <c r="G637" s="208" t="str">
        <f>match_results!C634</f>
        <v>バルプロ酸ナトリウム錠２００ｍｇ　</v>
      </c>
      <c r="H637" s="208">
        <f>match_results!D634</f>
        <v>64</v>
      </c>
      <c r="I637" s="218">
        <f>match_results!E634</f>
        <v>86.486486486486399</v>
      </c>
      <c r="J637" s="225"/>
      <c r="K637" s="15" t="str">
        <f ca="1">IF($J637="〇",OFFSET(集計!B$3,合体!$H637,0),"")</f>
        <v/>
      </c>
      <c r="L637" s="15" t="str">
        <f ca="1">IF($J637="〇",OFFSET(集計!C$3,合体!$H637,0),"")</f>
        <v/>
      </c>
      <c r="M637" s="202" t="str">
        <f ca="1">IF($J637="〇",OFFSET(集計!D$3,合体!$H637,0),"")</f>
        <v/>
      </c>
    </row>
    <row r="638" spans="2:13" x14ac:dyDescent="0.2">
      <c r="B638" s="201">
        <f t="shared" si="9"/>
        <v>634</v>
      </c>
      <c r="C638" s="15" t="str">
        <f>薬品マスタリスト_20260130100542!A636</f>
        <v>バルプロ酸Ｎａ徐放顆粒４０％「フジナガ」</v>
      </c>
      <c r="D638" s="15" t="str">
        <f>薬品マスタリスト_20260130100542!B636</f>
        <v>ﾊﾞﾙﾌﾟﾛｻﾝNaｼﾞｮﾎｳｶﾘｭｳ40%｢ﾌｼﾞﾅｶﾞ｣</v>
      </c>
      <c r="E638" s="15">
        <f>薬品マスタリスト_20260130100542!C636</f>
        <v>3</v>
      </c>
      <c r="F638" s="206" t="str">
        <f>薬品マスタリスト_20260130100542!D636</f>
        <v>散</v>
      </c>
      <c r="G638" s="208" t="str">
        <f>match_results!C635</f>
        <v>バルプロ酸Ｎａ徐放顆粒４０％</v>
      </c>
      <c r="H638" s="208">
        <f>match_results!D635</f>
        <v>603</v>
      </c>
      <c r="I638" s="218">
        <f>match_results!E635</f>
        <v>82.352941176470495</v>
      </c>
      <c r="J638" s="225"/>
      <c r="K638" s="15" t="str">
        <f ca="1">IF($J638="〇",OFFSET(集計!B$3,合体!$H638,0),"")</f>
        <v/>
      </c>
      <c r="L638" s="15" t="str">
        <f ca="1">IF($J638="〇",OFFSET(集計!C$3,合体!$H638,0),"")</f>
        <v/>
      </c>
      <c r="M638" s="202" t="str">
        <f ca="1">IF($J638="〇",OFFSET(集計!D$3,合体!$H638,0),"")</f>
        <v/>
      </c>
    </row>
    <row r="639" spans="2:13" x14ac:dyDescent="0.2">
      <c r="B639" s="201">
        <f t="shared" si="9"/>
        <v>635</v>
      </c>
      <c r="C639" s="15" t="str">
        <f>薬品マスタリスト_20260130100542!A637</f>
        <v>バルプロ酸ナトリウムシロップ５％「ＤＳＰ」</v>
      </c>
      <c r="D639" s="15" t="str">
        <f>薬品マスタリスト_20260130100542!B637</f>
        <v>ﾊﾞﾙﾌﾟﾛｻﾝﾅﾄﾘｳﾑｼﾛﾂﾌﾟ5%DSP</v>
      </c>
      <c r="E639" s="15">
        <f>薬品マスタリスト_20260130100542!C637</f>
        <v>6</v>
      </c>
      <c r="F639" s="206" t="str">
        <f>薬品マスタリスト_20260130100542!D637</f>
        <v>シロップ</v>
      </c>
      <c r="G639" s="208" t="str">
        <f>match_results!C636</f>
        <v>バルプロ酸ナトリウムシロップ５％　１２０ｍＬ</v>
      </c>
      <c r="H639" s="208">
        <f>match_results!D636</f>
        <v>13</v>
      </c>
      <c r="I639" s="218">
        <f>match_results!E636</f>
        <v>74.418604651162795</v>
      </c>
      <c r="J639" s="225"/>
      <c r="K639" s="15" t="str">
        <f ca="1">IF($J639="〇",OFFSET(集計!B$3,合体!$H639,0),"")</f>
        <v/>
      </c>
      <c r="L639" s="15" t="str">
        <f ca="1">IF($J639="〇",OFFSET(集計!C$3,合体!$H639,0),"")</f>
        <v/>
      </c>
      <c r="M639" s="202" t="str">
        <f ca="1">IF($J639="〇",OFFSET(集計!D$3,合体!$H639,0),"")</f>
        <v/>
      </c>
    </row>
    <row r="640" spans="2:13" x14ac:dyDescent="0.2">
      <c r="B640" s="201">
        <f t="shared" si="9"/>
        <v>636</v>
      </c>
      <c r="C640" s="15" t="str">
        <f>薬品マスタリスト_20260130100542!A638</f>
        <v>パルモディアＸＲ錠０．２ｍｇ</v>
      </c>
      <c r="D640" s="15" t="str">
        <f>薬品マスタリスト_20260130100542!B638</f>
        <v>ﾊﾟﾙﾓﾃﾞｲｱXRｼﾞﾖｳ0.2MG</v>
      </c>
      <c r="E640" s="15">
        <f>薬品マスタリスト_20260130100542!C638</f>
        <v>1</v>
      </c>
      <c r="F640" s="206" t="str">
        <f>薬品マスタリスト_20260130100542!D638</f>
        <v>錠剤</v>
      </c>
      <c r="G640" s="208" t="str">
        <f>match_results!C637</f>
        <v>トリアゾラム錠０．２５ｍｇ</v>
      </c>
      <c r="H640" s="208">
        <f>match_results!D637</f>
        <v>448</v>
      </c>
      <c r="I640" s="218">
        <f>match_results!E637</f>
        <v>51.851851851851798</v>
      </c>
      <c r="J640" s="225"/>
      <c r="K640" s="15" t="str">
        <f ca="1">IF($J640="〇",OFFSET(集計!B$3,合体!$H640,0),"")</f>
        <v/>
      </c>
      <c r="L640" s="15" t="str">
        <f ca="1">IF($J640="〇",OFFSET(集計!C$3,合体!$H640,0),"")</f>
        <v/>
      </c>
      <c r="M640" s="202" t="str">
        <f ca="1">IF($J640="〇",OFFSET(集計!D$3,合体!$H640,0),"")</f>
        <v/>
      </c>
    </row>
    <row r="641" spans="2:13" x14ac:dyDescent="0.2">
      <c r="B641" s="201">
        <f t="shared" si="9"/>
        <v>637</v>
      </c>
      <c r="C641" s="15" t="str">
        <f>薬品マスタリスト_20260130100542!A639</f>
        <v>パレプラス輸液</v>
      </c>
      <c r="D641" s="15" t="str">
        <f>薬品マスタリスト_20260130100542!B639</f>
        <v>ﾊﾟﾚﾌﾟﾗｽﾕｴｷ</v>
      </c>
      <c r="E641" s="15">
        <f>薬品マスタリスト_20260130100542!C639</f>
        <v>25</v>
      </c>
      <c r="F641" s="206" t="str">
        <f>薬品マスタリスト_20260130100542!D639</f>
        <v>注射剤</v>
      </c>
      <c r="G641" s="208" t="str">
        <f>match_results!C638</f>
        <v>パレプラス輸液</v>
      </c>
      <c r="H641" s="208">
        <f>match_results!D638</f>
        <v>447</v>
      </c>
      <c r="I641" s="218">
        <f>match_results!E638</f>
        <v>100</v>
      </c>
      <c r="J641" s="225" t="s">
        <v>3917</v>
      </c>
      <c r="K641" s="15">
        <f ca="1">IF($J641="〇",OFFSET(集計!B$3,合体!$H641,0),"")</f>
        <v>493.55</v>
      </c>
      <c r="L641" s="15">
        <f ca="1">IF($J641="〇",OFFSET(集計!C$3,合体!$H641,0),"")</f>
        <v>20</v>
      </c>
      <c r="M641" s="202">
        <f ca="1">IF($J641="〇",OFFSET(集計!D$3,合体!$H641,0),"")</f>
        <v>9871</v>
      </c>
    </row>
    <row r="642" spans="2:13" x14ac:dyDescent="0.2">
      <c r="B642" s="201">
        <f t="shared" si="9"/>
        <v>638</v>
      </c>
      <c r="C642" s="15" t="str">
        <f>薬品マスタリスト_20260130100542!A640</f>
        <v>パロキセチンＯＤ錠１０ｍｇ「トーワ」</v>
      </c>
      <c r="D642" s="15" t="str">
        <f>薬品マスタリスト_20260130100542!B640</f>
        <v>ﾊﾟﾛｷｾﾁﾝODｼﾞﾖｳ10MGﾄ-ﾜ</v>
      </c>
      <c r="E642" s="15">
        <f>薬品マスタリスト_20260130100542!C640</f>
        <v>1</v>
      </c>
      <c r="F642" s="206" t="str">
        <f>薬品マスタリスト_20260130100542!D640</f>
        <v>錠剤</v>
      </c>
      <c r="G642" s="208" t="str">
        <f>match_results!C639</f>
        <v>パロキセチンＯＤ錠１０ｍｇ</v>
      </c>
      <c r="H642" s="208">
        <f>match_results!D639</f>
        <v>576</v>
      </c>
      <c r="I642" s="218">
        <f>match_results!E639</f>
        <v>83.870967741935402</v>
      </c>
      <c r="J642" s="225"/>
      <c r="K642" s="15" t="str">
        <f ca="1">IF($J642="〇",OFFSET(集計!B$3,合体!$H642,0),"")</f>
        <v/>
      </c>
      <c r="L642" s="15" t="str">
        <f ca="1">IF($J642="〇",OFFSET(集計!C$3,合体!$H642,0),"")</f>
        <v/>
      </c>
      <c r="M642" s="202" t="str">
        <f ca="1">IF($J642="〇",OFFSET(集計!D$3,合体!$H642,0),"")</f>
        <v/>
      </c>
    </row>
    <row r="643" spans="2:13" x14ac:dyDescent="0.2">
      <c r="B643" s="201">
        <f t="shared" si="9"/>
        <v>639</v>
      </c>
      <c r="C643" s="15" t="str">
        <f>薬品マスタリスト_20260130100542!A641</f>
        <v>ハロペリドール錠０．７５ｍｇ「アメル」</v>
      </c>
      <c r="D643" s="15" t="str">
        <f>薬品マスタリスト_20260130100542!B641</f>
        <v>ﾊﾛﾍﾟﾘﾄﾞｰﾙｼﾞｮｳ0.75mg｢ｱﾒﾙ｣</v>
      </c>
      <c r="E643" s="15">
        <f>薬品マスタリスト_20260130100542!C641</f>
        <v>1</v>
      </c>
      <c r="F643" s="206" t="str">
        <f>薬品マスタリスト_20260130100542!D641</f>
        <v>錠剤</v>
      </c>
      <c r="G643" s="208" t="str">
        <f>match_results!C640</f>
        <v>ハロペリドール錠　０．７５ｍｇ</v>
      </c>
      <c r="H643" s="208">
        <f>match_results!D640</f>
        <v>437</v>
      </c>
      <c r="I643" s="218">
        <f>match_results!E640</f>
        <v>82.352941176470495</v>
      </c>
      <c r="J643" s="225"/>
      <c r="K643" s="15" t="str">
        <f ca="1">IF($J643="〇",OFFSET(集計!B$3,合体!$H643,0),"")</f>
        <v/>
      </c>
      <c r="L643" s="15" t="str">
        <f ca="1">IF($J643="〇",OFFSET(集計!C$3,合体!$H643,0),"")</f>
        <v/>
      </c>
      <c r="M643" s="202" t="str">
        <f ca="1">IF($J643="〇",OFFSET(集計!D$3,合体!$H643,0),"")</f>
        <v/>
      </c>
    </row>
    <row r="644" spans="2:13" x14ac:dyDescent="0.2">
      <c r="B644" s="201">
        <f t="shared" si="9"/>
        <v>640</v>
      </c>
      <c r="C644" s="15" t="str">
        <f>薬品マスタリスト_20260130100542!A642</f>
        <v>ハロペリドール錠１ｍｇ「アメル」</v>
      </c>
      <c r="D644" s="15" t="str">
        <f>薬品マスタリスト_20260130100542!B642</f>
        <v>ﾊﾛﾍﾟﾘﾄﾞｰﾙｼﾞｮｳ1mg｢ｱﾒﾙ｣</v>
      </c>
      <c r="E644" s="15">
        <f>薬品マスタリスト_20260130100542!C642</f>
        <v>1</v>
      </c>
      <c r="F644" s="206" t="str">
        <f>薬品マスタリスト_20260130100542!D642</f>
        <v>錠剤</v>
      </c>
      <c r="G644" s="208" t="str">
        <f>match_results!C641</f>
        <v>ハロペリドール錠　１ｍｇ　</v>
      </c>
      <c r="H644" s="208">
        <f>match_results!D641</f>
        <v>342</v>
      </c>
      <c r="I644" s="218">
        <f>match_results!E641</f>
        <v>78.571428571428498</v>
      </c>
      <c r="J644" s="225"/>
      <c r="K644" s="15" t="str">
        <f ca="1">IF($J644="〇",OFFSET(集計!B$3,合体!$H644,0),"")</f>
        <v/>
      </c>
      <c r="L644" s="15" t="str">
        <f ca="1">IF($J644="〇",OFFSET(集計!C$3,合体!$H644,0),"")</f>
        <v/>
      </c>
      <c r="M644" s="202" t="str">
        <f ca="1">IF($J644="〇",OFFSET(集計!D$3,合体!$H644,0),"")</f>
        <v/>
      </c>
    </row>
    <row r="645" spans="2:13" x14ac:dyDescent="0.2">
      <c r="B645" s="201">
        <f t="shared" si="9"/>
        <v>641</v>
      </c>
      <c r="C645" s="15" t="str">
        <f>薬品マスタリスト_20260130100542!A643</f>
        <v>ハロペリドール錠１ｍｇ「タカタ」</v>
      </c>
      <c r="D645" s="15" t="str">
        <f>薬品マスタリスト_20260130100542!B643</f>
        <v>ﾊﾛﾍﾟﾘﾄﾞｰﾙｼﾞｮｳ1mg｢ﾀｶﾀ｣</v>
      </c>
      <c r="E645" s="15">
        <f>薬品マスタリスト_20260130100542!C643</f>
        <v>1</v>
      </c>
      <c r="F645" s="206" t="str">
        <f>薬品マスタリスト_20260130100542!D643</f>
        <v>錠剤</v>
      </c>
      <c r="G645" s="208" t="str">
        <f>match_results!C642</f>
        <v>ハロペリドール錠　１ｍｇ　</v>
      </c>
      <c r="H645" s="208">
        <f>match_results!D642</f>
        <v>342</v>
      </c>
      <c r="I645" s="218">
        <f>match_results!E642</f>
        <v>78.571428571428498</v>
      </c>
      <c r="J645" s="225"/>
      <c r="K645" s="15" t="str">
        <f ca="1">IF($J645="〇",OFFSET(集計!B$3,合体!$H645,0),"")</f>
        <v/>
      </c>
      <c r="L645" s="15" t="str">
        <f ca="1">IF($J645="〇",OFFSET(集計!C$3,合体!$H645,0),"")</f>
        <v/>
      </c>
      <c r="M645" s="202" t="str">
        <f ca="1">IF($J645="〇",OFFSET(集計!D$3,合体!$H645,0),"")</f>
        <v/>
      </c>
    </row>
    <row r="646" spans="2:13" x14ac:dyDescent="0.2">
      <c r="B646" s="201">
        <f t="shared" si="9"/>
        <v>642</v>
      </c>
      <c r="C646" s="15" t="str">
        <f>薬品マスタリスト_20260130100542!A644</f>
        <v>ハロペリドール錠１．５ｍｇ「アメル」</v>
      </c>
      <c r="D646" s="15" t="str">
        <f>薬品マスタリスト_20260130100542!B644</f>
        <v>ﾊﾛﾍﾟﾘﾄﾞｰﾙｼﾞｮｳ1.5mg｢ｱﾒﾙ｣</v>
      </c>
      <c r="E646" s="15">
        <f>薬品マスタリスト_20260130100542!C644</f>
        <v>1</v>
      </c>
      <c r="F646" s="206" t="str">
        <f>薬品マスタリスト_20260130100542!D644</f>
        <v>錠剤</v>
      </c>
      <c r="G646" s="208" t="str">
        <f>match_results!C643</f>
        <v>ハロペリドール錠　１．５ｍｇ</v>
      </c>
      <c r="H646" s="208">
        <f>match_results!D643</f>
        <v>304</v>
      </c>
      <c r="I646" s="218">
        <f>match_results!E643</f>
        <v>81.25</v>
      </c>
      <c r="J646" s="225"/>
      <c r="K646" s="15" t="str">
        <f ca="1">IF($J646="〇",OFFSET(集計!B$3,合体!$H646,0),"")</f>
        <v/>
      </c>
      <c r="L646" s="15" t="str">
        <f ca="1">IF($J646="〇",OFFSET(集計!C$3,合体!$H646,0),"")</f>
        <v/>
      </c>
      <c r="M646" s="202" t="str">
        <f ca="1">IF($J646="〇",OFFSET(集計!D$3,合体!$H646,0),"")</f>
        <v/>
      </c>
    </row>
    <row r="647" spans="2:13" x14ac:dyDescent="0.2">
      <c r="B647" s="201">
        <f t="shared" ref="B647:B710" si="10">B646+1</f>
        <v>643</v>
      </c>
      <c r="C647" s="15" t="str">
        <f>薬品マスタリスト_20260130100542!A645</f>
        <v>ハロペリドール錠３ｍｇ「アメル」</v>
      </c>
      <c r="D647" s="15" t="str">
        <f>薬品マスタリスト_20260130100542!B645</f>
        <v>ﾊﾛﾍﾟﾘﾄﾞｰﾙｼﾞｮｳ3mg｢ｱﾒﾙ｣</v>
      </c>
      <c r="E647" s="15">
        <f>薬品マスタリスト_20260130100542!C645</f>
        <v>1</v>
      </c>
      <c r="F647" s="206" t="str">
        <f>薬品マスタリスト_20260130100542!D645</f>
        <v>錠剤</v>
      </c>
      <c r="G647" s="208" t="str">
        <f>match_results!C644</f>
        <v>ハロペリドール錠　３ｍｇ</v>
      </c>
      <c r="H647" s="208">
        <f>match_results!D644</f>
        <v>287</v>
      </c>
      <c r="I647" s="218">
        <f>match_results!E644</f>
        <v>78.571428571428498</v>
      </c>
      <c r="J647" s="225"/>
      <c r="K647" s="15" t="str">
        <f ca="1">IF($J647="〇",OFFSET(集計!B$3,合体!$H647,0),"")</f>
        <v/>
      </c>
      <c r="L647" s="15" t="str">
        <f ca="1">IF($J647="〇",OFFSET(集計!C$3,合体!$H647,0),"")</f>
        <v/>
      </c>
      <c r="M647" s="202" t="str">
        <f ca="1">IF($J647="〇",OFFSET(集計!D$3,合体!$H647,0),"")</f>
        <v/>
      </c>
    </row>
    <row r="648" spans="2:13" x14ac:dyDescent="0.2">
      <c r="B648" s="201">
        <f t="shared" si="10"/>
        <v>644</v>
      </c>
      <c r="C648" s="15" t="str">
        <f>薬品マスタリスト_20260130100542!A646</f>
        <v>ハロペリドール細粒１％「アメル」</v>
      </c>
      <c r="D648" s="15" t="str">
        <f>薬品マスタリスト_20260130100542!B646</f>
        <v>ﾊﾛﾍﾟﾘﾄﾞｰﾙｻｲﾘｭｳ1%｢ｱﾒﾙ｣</v>
      </c>
      <c r="E648" s="15">
        <f>薬品マスタリスト_20260130100542!C646</f>
        <v>3</v>
      </c>
      <c r="F648" s="206" t="str">
        <f>薬品マスタリスト_20260130100542!D646</f>
        <v>散</v>
      </c>
      <c r="G648" s="208" t="str">
        <f>match_results!C645</f>
        <v>ブロムペリドール細粒１％</v>
      </c>
      <c r="H648" s="208">
        <f>match_results!D645</f>
        <v>174</v>
      </c>
      <c r="I648" s="218">
        <f>match_results!E645</f>
        <v>71.428571428571402</v>
      </c>
      <c r="J648" s="225"/>
      <c r="K648" s="15" t="str">
        <f ca="1">IF($J648="〇",OFFSET(集計!B$3,合体!$H648,0),"")</f>
        <v/>
      </c>
      <c r="L648" s="15" t="str">
        <f ca="1">IF($J648="〇",OFFSET(集計!C$3,合体!$H648,0),"")</f>
        <v/>
      </c>
      <c r="M648" s="202" t="str">
        <f ca="1">IF($J648="〇",OFFSET(集計!D$3,合体!$H648,0),"")</f>
        <v/>
      </c>
    </row>
    <row r="649" spans="2:13" x14ac:dyDescent="0.2">
      <c r="B649" s="201">
        <f t="shared" si="10"/>
        <v>645</v>
      </c>
      <c r="C649" s="15" t="str">
        <f>薬品マスタリスト_20260130100542!A647</f>
        <v>ハロペリドール細粒１％「ヨシトミ」</v>
      </c>
      <c r="D649" s="15" t="str">
        <f>薬品マスタリスト_20260130100542!B647</f>
        <v>ﾊﾛﾍﾟﾘﾄﾞｰﾙｻｲﾘｭｳ1%｢ﾖｼﾄﾐ｣</v>
      </c>
      <c r="E649" s="15">
        <f>薬品マスタリスト_20260130100542!C647</f>
        <v>3</v>
      </c>
      <c r="F649" s="206" t="str">
        <f>薬品マスタリスト_20260130100542!D647</f>
        <v>散</v>
      </c>
      <c r="G649" s="208" t="str">
        <f>match_results!C646</f>
        <v>ブロムペリドール細粒１％</v>
      </c>
      <c r="H649" s="208">
        <f>match_results!D646</f>
        <v>174</v>
      </c>
      <c r="I649" s="218">
        <f>match_results!E646</f>
        <v>68.965517241379303</v>
      </c>
      <c r="J649" s="225"/>
      <c r="K649" s="15" t="str">
        <f ca="1">IF($J649="〇",OFFSET(集計!B$3,合体!$H649,0),"")</f>
        <v/>
      </c>
      <c r="L649" s="15" t="str">
        <f ca="1">IF($J649="〇",OFFSET(集計!C$3,合体!$H649,0),"")</f>
        <v/>
      </c>
      <c r="M649" s="202" t="str">
        <f ca="1">IF($J649="〇",OFFSET(集計!D$3,合体!$H649,0),"")</f>
        <v/>
      </c>
    </row>
    <row r="650" spans="2:13" x14ac:dyDescent="0.2">
      <c r="B650" s="201">
        <f t="shared" si="10"/>
        <v>646</v>
      </c>
      <c r="C650" s="15" t="str">
        <f>薬品マスタリスト_20260130100542!A648</f>
        <v>ハロマンス注５０ｍｇ</v>
      </c>
      <c r="D650" s="15" t="str">
        <f>薬品マスタリスト_20260130100542!B648</f>
        <v>ﾊﾛﾏﾝｽﾁｭｳ50mg</v>
      </c>
      <c r="E650" s="15">
        <f>薬品マスタリスト_20260130100542!C648</f>
        <v>25</v>
      </c>
      <c r="F650" s="206" t="str">
        <f>薬品マスタリスト_20260130100542!D648</f>
        <v>注射剤</v>
      </c>
      <c r="G650" s="208" t="str">
        <f>match_results!C647</f>
        <v>ハロマンス注５０</v>
      </c>
      <c r="H650" s="208">
        <f>match_results!D647</f>
        <v>533</v>
      </c>
      <c r="I650" s="218">
        <f>match_results!E647</f>
        <v>88.8888888888888</v>
      </c>
      <c r="J650" s="225"/>
      <c r="K650" s="15" t="str">
        <f ca="1">IF($J650="〇",OFFSET(集計!B$3,合体!$H650,0),"")</f>
        <v/>
      </c>
      <c r="L650" s="15" t="str">
        <f ca="1">IF($J650="〇",OFFSET(集計!C$3,合体!$H650,0),"")</f>
        <v/>
      </c>
      <c r="M650" s="202" t="str">
        <f ca="1">IF($J650="〇",OFFSET(集計!D$3,合体!$H650,0),"")</f>
        <v/>
      </c>
    </row>
    <row r="651" spans="2:13" x14ac:dyDescent="0.2">
      <c r="B651" s="201">
        <f t="shared" si="10"/>
        <v>647</v>
      </c>
      <c r="C651" s="15" t="str">
        <f>薬品マスタリスト_20260130100542!A649</f>
        <v>ハロマンス注１００ｍｇ</v>
      </c>
      <c r="D651" s="15" t="str">
        <f>薬品マスタリスト_20260130100542!B649</f>
        <v>ﾊﾛﾏﾝｽﾁｭｳ100mg</v>
      </c>
      <c r="E651" s="15">
        <f>薬品マスタリスト_20260130100542!C649</f>
        <v>25</v>
      </c>
      <c r="F651" s="206" t="str">
        <f>薬品マスタリスト_20260130100542!D649</f>
        <v>注射剤</v>
      </c>
      <c r="G651" s="208" t="str">
        <f>match_results!C648</f>
        <v>ハロマンス注１００</v>
      </c>
      <c r="H651" s="208">
        <f>match_results!D648</f>
        <v>404</v>
      </c>
      <c r="I651" s="218">
        <f>match_results!E648</f>
        <v>90</v>
      </c>
      <c r="J651" s="225"/>
      <c r="K651" s="15" t="str">
        <f ca="1">IF($J651="〇",OFFSET(集計!B$3,合体!$H651,0),"")</f>
        <v/>
      </c>
      <c r="L651" s="15" t="str">
        <f ca="1">IF($J651="〇",OFFSET(集計!C$3,合体!$H651,0),"")</f>
        <v/>
      </c>
      <c r="M651" s="202" t="str">
        <f ca="1">IF($J651="〇",OFFSET(集計!D$3,合体!$H651,0),"")</f>
        <v/>
      </c>
    </row>
    <row r="652" spans="2:13" x14ac:dyDescent="0.2">
      <c r="B652" s="201">
        <f t="shared" si="10"/>
        <v>648</v>
      </c>
      <c r="C652" s="15" t="str">
        <f>薬品マスタリスト_20260130100542!A650</f>
        <v>バンコマイシン塩酸塩点滴静注用０．５ｇ「ＶＴＲＳ」</v>
      </c>
      <c r="D652" s="15" t="str">
        <f>薬品マスタリスト_20260130100542!B650</f>
        <v>ﾊﾞﾝｺﾏｲｼﾝｴﾝｻﾝｴﾝﾃﾝﾃｷｼﾞｮｳﾁｭｳﾖｳ0.5g｢VTRS｣</v>
      </c>
      <c r="E652" s="15">
        <f>薬品マスタリスト_20260130100542!C650</f>
        <v>25</v>
      </c>
      <c r="F652" s="206" t="str">
        <f>薬品マスタリスト_20260130100542!D650</f>
        <v>注射剤</v>
      </c>
      <c r="G652" s="208" t="str">
        <f>match_results!C649</f>
        <v>バンコマイシン塩酸塩点滴静注０．５ｇ</v>
      </c>
      <c r="H652" s="208">
        <f>match_results!D649</f>
        <v>561</v>
      </c>
      <c r="I652" s="218">
        <f>match_results!E649</f>
        <v>83.720930232558104</v>
      </c>
      <c r="J652" s="225"/>
      <c r="K652" s="15" t="str">
        <f ca="1">IF($J652="〇",OFFSET(集計!B$3,合体!$H652,0),"")</f>
        <v/>
      </c>
      <c r="L652" s="15" t="str">
        <f ca="1">IF($J652="〇",OFFSET(集計!C$3,合体!$H652,0),"")</f>
        <v/>
      </c>
      <c r="M652" s="202" t="str">
        <f ca="1">IF($J652="〇",OFFSET(集計!D$3,合体!$H652,0),"")</f>
        <v/>
      </c>
    </row>
    <row r="653" spans="2:13" x14ac:dyDescent="0.2">
      <c r="B653" s="201">
        <f t="shared" si="10"/>
        <v>649</v>
      </c>
      <c r="C653" s="15" t="str">
        <f>薬品マスタリスト_20260130100542!A651</f>
        <v>パントシン散２０％</v>
      </c>
      <c r="D653" s="15" t="str">
        <f>薬品マスタリスト_20260130100542!B651</f>
        <v>ﾊﾟﾝﾄｼﾝｻﾝ20%</v>
      </c>
      <c r="E653" s="15">
        <f>薬品マスタリスト_20260130100542!C651</f>
        <v>3</v>
      </c>
      <c r="F653" s="206" t="str">
        <f>薬品マスタリスト_20260130100542!D651</f>
        <v>散</v>
      </c>
      <c r="G653" s="208" t="str">
        <f>match_results!C650</f>
        <v>パントシン散（２０％）　</v>
      </c>
      <c r="H653" s="208">
        <f>match_results!D650</f>
        <v>485</v>
      </c>
      <c r="I653" s="218">
        <f>match_results!E650</f>
        <v>90</v>
      </c>
      <c r="J653" s="225"/>
      <c r="K653" s="15" t="str">
        <f ca="1">IF($J653="〇",OFFSET(集計!B$3,合体!$H653,0),"")</f>
        <v/>
      </c>
      <c r="L653" s="15" t="str">
        <f ca="1">IF($J653="〇",OFFSET(集計!C$3,合体!$H653,0),"")</f>
        <v/>
      </c>
      <c r="M653" s="202" t="str">
        <f ca="1">IF($J653="〇",OFFSET(集計!D$3,合体!$H653,0),"")</f>
        <v/>
      </c>
    </row>
    <row r="654" spans="2:13" x14ac:dyDescent="0.2">
      <c r="B654" s="201">
        <f t="shared" si="10"/>
        <v>650</v>
      </c>
      <c r="C654" s="15" t="str">
        <f>薬品マスタリスト_20260130100542!A652</f>
        <v>パントシン錠２００</v>
      </c>
      <c r="D654" s="15" t="str">
        <f>薬品マスタリスト_20260130100542!B652</f>
        <v>ﾊﾟﾝﾄｼﾝｼﾞｮｳ200</v>
      </c>
      <c r="E654" s="15">
        <f>薬品マスタリスト_20260130100542!C652</f>
        <v>1</v>
      </c>
      <c r="F654" s="206" t="str">
        <f>薬品マスタリスト_20260130100542!D652</f>
        <v>錠剤</v>
      </c>
      <c r="G654" s="208" t="str">
        <f>match_results!C651</f>
        <v>パントシン錠２００ｍｇ</v>
      </c>
      <c r="H654" s="208">
        <f>match_results!D651</f>
        <v>529</v>
      </c>
      <c r="I654" s="218">
        <f>match_results!E651</f>
        <v>90</v>
      </c>
      <c r="J654" s="225"/>
      <c r="K654" s="15" t="str">
        <f ca="1">IF($J654="〇",OFFSET(集計!B$3,合体!$H654,0),"")</f>
        <v/>
      </c>
      <c r="L654" s="15" t="str">
        <f ca="1">IF($J654="〇",OFFSET(集計!C$3,合体!$H654,0),"")</f>
        <v/>
      </c>
      <c r="M654" s="202" t="str">
        <f ca="1">IF($J654="〇",OFFSET(集計!D$3,合体!$H654,0),"")</f>
        <v/>
      </c>
    </row>
    <row r="655" spans="2:13" x14ac:dyDescent="0.2">
      <c r="B655" s="201">
        <f t="shared" si="10"/>
        <v>651</v>
      </c>
      <c r="C655" s="15" t="str">
        <f>薬品マスタリスト_20260130100542!A653</f>
        <v>パントール注射液５００ｍｇ</v>
      </c>
      <c r="D655" s="15" t="str">
        <f>薬品マスタリスト_20260130100542!B653</f>
        <v>ﾊﾟﾝﾄｰﾙﾁｭｳｼｬｴｷ500mg</v>
      </c>
      <c r="E655" s="15">
        <f>薬品マスタリスト_20260130100542!C653</f>
        <v>25</v>
      </c>
      <c r="F655" s="206" t="str">
        <f>薬品マスタリスト_20260130100542!D653</f>
        <v>注射剤</v>
      </c>
      <c r="G655" s="208" t="str">
        <f>match_results!C652</f>
        <v>パント－ル注射液５００ＭＧ</v>
      </c>
      <c r="H655" s="208">
        <f>match_results!D652</f>
        <v>291</v>
      </c>
      <c r="I655" s="218">
        <f>match_results!E652</f>
        <v>76.923076923076906</v>
      </c>
      <c r="J655" s="225"/>
      <c r="K655" s="15" t="str">
        <f ca="1">IF($J655="〇",OFFSET(集計!B$3,合体!$H655,0),"")</f>
        <v/>
      </c>
      <c r="L655" s="15" t="str">
        <f ca="1">IF($J655="〇",OFFSET(集計!C$3,合体!$H655,0),"")</f>
        <v/>
      </c>
      <c r="M655" s="202" t="str">
        <f ca="1">IF($J655="〇",OFFSET(集計!D$3,合体!$H655,0),"")</f>
        <v/>
      </c>
    </row>
    <row r="656" spans="2:13" x14ac:dyDescent="0.2">
      <c r="B656" s="201">
        <f t="shared" si="10"/>
        <v>652</v>
      </c>
      <c r="C656" s="15" t="str">
        <f>薬品マスタリスト_20260130100542!A654</f>
        <v>ヒアルロン酸Ｎａ点眼液０．１％「ニットー」</v>
      </c>
      <c r="D656" s="15" t="str">
        <f>薬品マスタリスト_20260130100542!B654</f>
        <v>ﾋｱﾙﾛﾝｻﾝNaﾃﾝｶﾞﾝｴｷ0.1%｢ﾆｯﾄｰ｣</v>
      </c>
      <c r="E656" s="15">
        <f>薬品マスタリスト_20260130100542!C654</f>
        <v>21</v>
      </c>
      <c r="F656" s="206" t="str">
        <f>薬品マスタリスト_20260130100542!D654</f>
        <v>点眼剤</v>
      </c>
      <c r="G656" s="208" t="str">
        <f>match_results!C653</f>
        <v>ヒアルロン酸Ｎａ点眼液０．１％　５ｍｌ／本</v>
      </c>
      <c r="H656" s="208">
        <f>match_results!D653</f>
        <v>75</v>
      </c>
      <c r="I656" s="218">
        <f>match_results!E653</f>
        <v>71.428571428571402</v>
      </c>
      <c r="J656" s="225"/>
      <c r="K656" s="15" t="str">
        <f ca="1">IF($J656="〇",OFFSET(集計!B$3,合体!$H656,0),"")</f>
        <v/>
      </c>
      <c r="L656" s="15" t="str">
        <f ca="1">IF($J656="〇",OFFSET(集計!C$3,合体!$H656,0),"")</f>
        <v/>
      </c>
      <c r="M656" s="202" t="str">
        <f ca="1">IF($J656="〇",OFFSET(集計!D$3,合体!$H656,0),"")</f>
        <v/>
      </c>
    </row>
    <row r="657" spans="2:13" x14ac:dyDescent="0.2">
      <c r="B657" s="201">
        <f t="shared" si="10"/>
        <v>653</v>
      </c>
      <c r="C657" s="15" t="str">
        <f>薬品マスタリスト_20260130100542!A655</f>
        <v>ピオグリタゾンＯＤ錠１５ｍｇ「トーワ」</v>
      </c>
      <c r="D657" s="15" t="str">
        <f>薬品マスタリスト_20260130100542!B655</f>
        <v>ﾋﾟｵｸﾞﾘﾀｿﾞﾝODｼﾞﾖｳ15MGﾄ-ﾜ</v>
      </c>
      <c r="E657" s="15">
        <f>薬品マスタリスト_20260130100542!C655</f>
        <v>1</v>
      </c>
      <c r="F657" s="206" t="str">
        <f>薬品マスタリスト_20260130100542!D655</f>
        <v>錠剤</v>
      </c>
      <c r="G657" s="208" t="str">
        <f>match_results!C654</f>
        <v>ピオグリタゾンＯＤ錠１５ｍｇ</v>
      </c>
      <c r="H657" s="208">
        <f>match_results!D654</f>
        <v>76</v>
      </c>
      <c r="I657" s="218">
        <f>match_results!E654</f>
        <v>84.848484848484802</v>
      </c>
      <c r="J657" s="225"/>
      <c r="K657" s="15" t="str">
        <f ca="1">IF($J657="〇",OFFSET(集計!B$3,合体!$H657,0),"")</f>
        <v/>
      </c>
      <c r="L657" s="15" t="str">
        <f ca="1">IF($J657="〇",OFFSET(集計!C$3,合体!$H657,0),"")</f>
        <v/>
      </c>
      <c r="M657" s="202" t="str">
        <f ca="1">IF($J657="〇",OFFSET(集計!D$3,合体!$H657,0),"")</f>
        <v/>
      </c>
    </row>
    <row r="658" spans="2:13" x14ac:dyDescent="0.2">
      <c r="B658" s="201">
        <f t="shared" si="10"/>
        <v>654</v>
      </c>
      <c r="C658" s="15" t="str">
        <f>薬品マスタリスト_20260130100542!A656</f>
        <v>ビオフェルミン配合散</v>
      </c>
      <c r="D658" s="15" t="str">
        <f>薬品マスタリスト_20260130100542!B656</f>
        <v>ﾋﾞｵﾌｪﾙﾐﾝﾊｲｺﾞｳｻﾝ</v>
      </c>
      <c r="E658" s="15">
        <f>薬品マスタリスト_20260130100542!C656</f>
        <v>3</v>
      </c>
      <c r="F658" s="206" t="str">
        <f>薬品マスタリスト_20260130100542!D656</f>
        <v>散</v>
      </c>
      <c r="G658" s="208" t="str">
        <f>match_results!C655</f>
        <v>ビオフェルミン配合散</v>
      </c>
      <c r="H658" s="208">
        <f>match_results!D655</f>
        <v>367</v>
      </c>
      <c r="I658" s="218">
        <f>match_results!E655</f>
        <v>100</v>
      </c>
      <c r="J658" s="225" t="s">
        <v>3917</v>
      </c>
      <c r="K658" s="15">
        <f ca="1">IF($J658="〇",OFFSET(集計!B$3,合体!$H658,0),"")</f>
        <v>5.26</v>
      </c>
      <c r="L658" s="15">
        <f ca="1">IF($J658="〇",OFFSET(集計!C$3,合体!$H658,0),"")</f>
        <v>1286</v>
      </c>
      <c r="M658" s="202">
        <f ca="1">IF($J658="〇",OFFSET(集計!D$3,合体!$H658,0),"")</f>
        <v>6764.36</v>
      </c>
    </row>
    <row r="659" spans="2:13" x14ac:dyDescent="0.2">
      <c r="B659" s="201">
        <f t="shared" si="10"/>
        <v>655</v>
      </c>
      <c r="C659" s="15" t="str">
        <f>薬品マスタリスト_20260130100542!A657</f>
        <v>ビオフェルミン錠剤</v>
      </c>
      <c r="D659" s="15" t="str">
        <f>薬品マスタリスト_20260130100542!B657</f>
        <v>ﾋﾞｵﾌｪﾙﾐﾝｼﾞｮｳｻﾞｲ</v>
      </c>
      <c r="E659" s="15">
        <f>薬品マスタリスト_20260130100542!C657</f>
        <v>1</v>
      </c>
      <c r="F659" s="206" t="str">
        <f>薬品マスタリスト_20260130100542!D657</f>
        <v>錠剤</v>
      </c>
      <c r="G659" s="208" t="str">
        <f>match_results!C656</f>
        <v>ビオフェルミン錠剤</v>
      </c>
      <c r="H659" s="208">
        <f>match_results!D656</f>
        <v>297</v>
      </c>
      <c r="I659" s="218">
        <f>match_results!E656</f>
        <v>100</v>
      </c>
      <c r="J659" s="225" t="s">
        <v>3917</v>
      </c>
      <c r="K659" s="15">
        <f ca="1">IF($J659="〇",OFFSET(集計!B$3,合体!$H659,0),"")</f>
        <v>4.79</v>
      </c>
      <c r="L659" s="15">
        <f ca="1">IF($J659="〇",OFFSET(集計!C$3,合体!$H659,0),"")</f>
        <v>947.75862068965523</v>
      </c>
      <c r="M659" s="202">
        <f ca="1">IF($J659="〇",OFFSET(集計!D$3,合体!$H659,0),"")</f>
        <v>4539.7637931034487</v>
      </c>
    </row>
    <row r="660" spans="2:13" x14ac:dyDescent="0.2">
      <c r="B660" s="201">
        <f t="shared" si="10"/>
        <v>656</v>
      </c>
      <c r="C660" s="15" t="str">
        <f>薬品マスタリスト_20260130100542!A658</f>
        <v>ビカルタミド錠８０ｍｇ「ＶＴＲＳ」</v>
      </c>
      <c r="D660" s="15" t="str">
        <f>薬品マスタリスト_20260130100542!B658</f>
        <v>ﾋﾞｶﾙﾀﾐﾄﾞｼﾞｮｳ80mg｢VTRS｣</v>
      </c>
      <c r="E660" s="15">
        <f>薬品マスタリスト_20260130100542!C658</f>
        <v>1</v>
      </c>
      <c r="F660" s="206" t="str">
        <f>薬品マスタリスト_20260130100542!D658</f>
        <v>錠剤</v>
      </c>
      <c r="G660" s="208" t="str">
        <f>match_results!C657</f>
        <v>ビカルタミド</v>
      </c>
      <c r="H660" s="208">
        <f>match_results!D657</f>
        <v>408</v>
      </c>
      <c r="I660" s="218">
        <f>match_results!E657</f>
        <v>52.173913043478201</v>
      </c>
      <c r="J660" s="225"/>
      <c r="K660" s="15" t="str">
        <f ca="1">IF($J660="〇",OFFSET(集計!B$3,合体!$H660,0),"")</f>
        <v/>
      </c>
      <c r="L660" s="15" t="str">
        <f ca="1">IF($J660="〇",OFFSET(集計!C$3,合体!$H660,0),"")</f>
        <v/>
      </c>
      <c r="M660" s="202" t="str">
        <f ca="1">IF($J660="〇",OFFSET(集計!D$3,合体!$H660,0),"")</f>
        <v/>
      </c>
    </row>
    <row r="661" spans="2:13" x14ac:dyDescent="0.2">
      <c r="B661" s="201">
        <f t="shared" si="10"/>
        <v>657</v>
      </c>
      <c r="C661" s="15" t="str">
        <f>薬品マスタリスト_20260130100542!A659</f>
        <v>ビカルタミド錠８０ｍｇ「オーハラ」</v>
      </c>
      <c r="D661" s="15" t="str">
        <f>薬品マスタリスト_20260130100542!B659</f>
        <v>ﾋﾞｶﾙﾀﾐﾄﾞｼﾞﾖｳ80MGｵ-ﾊﾗ</v>
      </c>
      <c r="E661" s="15">
        <f>薬品マスタリスト_20260130100542!C659</f>
        <v>1</v>
      </c>
      <c r="F661" s="206" t="str">
        <f>薬品マスタリスト_20260130100542!D659</f>
        <v>錠剤</v>
      </c>
      <c r="G661" s="208" t="str">
        <f>match_results!C658</f>
        <v>ビカルタミド</v>
      </c>
      <c r="H661" s="208">
        <f>match_results!D658</f>
        <v>408</v>
      </c>
      <c r="I661" s="218">
        <f>match_results!E658</f>
        <v>52.173913043478201</v>
      </c>
      <c r="J661" s="225"/>
      <c r="K661" s="15" t="str">
        <f ca="1">IF($J661="〇",OFFSET(集計!B$3,合体!$H661,0),"")</f>
        <v/>
      </c>
      <c r="L661" s="15" t="str">
        <f ca="1">IF($J661="〇",OFFSET(集計!C$3,合体!$H661,0),"")</f>
        <v/>
      </c>
      <c r="M661" s="202" t="str">
        <f ca="1">IF($J661="〇",OFFSET(集計!D$3,合体!$H661,0),"")</f>
        <v/>
      </c>
    </row>
    <row r="662" spans="2:13" x14ac:dyDescent="0.2">
      <c r="B662" s="201">
        <f t="shared" si="10"/>
        <v>658</v>
      </c>
      <c r="C662" s="15" t="str">
        <f>薬品マスタリスト_20260130100542!A660</f>
        <v>ビクトーザ皮下注１８ｍｇ</v>
      </c>
      <c r="D662" s="15" t="str">
        <f>薬品マスタリスト_20260130100542!B660</f>
        <v>ﾋﾞｸﾄｰｻﾞﾋｶﾁｭｳ18mg</v>
      </c>
      <c r="E662" s="15">
        <f>薬品マスタリスト_20260130100542!C660</f>
        <v>25</v>
      </c>
      <c r="F662" s="206" t="str">
        <f>薬品マスタリスト_20260130100542!D660</f>
        <v>注射剤</v>
      </c>
      <c r="G662" s="208" t="str">
        <f>match_results!C659</f>
        <v>エホチール注１０ｍｇ</v>
      </c>
      <c r="H662" s="208">
        <f>match_results!D659</f>
        <v>60</v>
      </c>
      <c r="I662" s="218">
        <f>match_results!E659</f>
        <v>45.454545454545404</v>
      </c>
      <c r="J662" s="225"/>
      <c r="K662" s="15" t="str">
        <f ca="1">IF($J662="〇",OFFSET(集計!B$3,合体!$H662,0),"")</f>
        <v/>
      </c>
      <c r="L662" s="15" t="str">
        <f ca="1">IF($J662="〇",OFFSET(集計!C$3,合体!$H662,0),"")</f>
        <v/>
      </c>
      <c r="M662" s="202" t="str">
        <f ca="1">IF($J662="〇",OFFSET(集計!D$3,合体!$H662,0),"")</f>
        <v/>
      </c>
    </row>
    <row r="663" spans="2:13" x14ac:dyDescent="0.2">
      <c r="B663" s="201">
        <f t="shared" si="10"/>
        <v>659</v>
      </c>
      <c r="C663" s="15" t="str">
        <f>薬品マスタリスト_20260130100542!A661</f>
        <v>ピコスルファートナトリウム錠２．５ｍｇ「イワキ」</v>
      </c>
      <c r="D663" s="15" t="str">
        <f>薬品マスタリスト_20260130100542!B661</f>
        <v>ﾋﾟｺｽﾙﾌｧｰﾄﾅﾄﾘｳﾑｼﾞｮｳ2.5mg｢ｲﾜｷ｣</v>
      </c>
      <c r="E663" s="15">
        <f>薬品マスタリスト_20260130100542!C661</f>
        <v>1</v>
      </c>
      <c r="F663" s="206" t="str">
        <f>薬品マスタリスト_20260130100542!D661</f>
        <v>錠剤</v>
      </c>
      <c r="G663" s="208" t="str">
        <f>match_results!C660</f>
        <v>ピコスルファートナトリウム錠２．５</v>
      </c>
      <c r="H663" s="208">
        <f>match_results!D660</f>
        <v>329</v>
      </c>
      <c r="I663" s="218">
        <f>match_results!E660</f>
        <v>82.926829268292593</v>
      </c>
      <c r="J663" s="225"/>
      <c r="K663" s="15" t="str">
        <f ca="1">IF($J663="〇",OFFSET(集計!B$3,合体!$H663,0),"")</f>
        <v/>
      </c>
      <c r="L663" s="15" t="str">
        <f ca="1">IF($J663="〇",OFFSET(集計!C$3,合体!$H663,0),"")</f>
        <v/>
      </c>
      <c r="M663" s="202" t="str">
        <f ca="1">IF($J663="〇",OFFSET(集計!D$3,合体!$H663,0),"")</f>
        <v/>
      </c>
    </row>
    <row r="664" spans="2:13" x14ac:dyDescent="0.2">
      <c r="B664" s="201">
        <f t="shared" si="10"/>
        <v>660</v>
      </c>
      <c r="C664" s="15" t="str">
        <f>薬品マスタリスト_20260130100542!A662</f>
        <v>ピコスルファートナトリウム内用液０．７５％「イワキ」</v>
      </c>
      <c r="D664" s="15" t="str">
        <f>薬品マスタリスト_20260130100542!B662</f>
        <v>ﾋﾟｺｽﾙﾌｧｰﾄﾅﾄﾘｳﾑﾅｲﾖｳｴｷ0.75%｢ｲﾜｷ｣</v>
      </c>
      <c r="E664" s="15">
        <f>薬品マスタリスト_20260130100542!C662</f>
        <v>7</v>
      </c>
      <c r="F664" s="206" t="str">
        <f>薬品マスタリスト_20260130100542!D662</f>
        <v>液（内用）</v>
      </c>
      <c r="G664" s="208" t="str">
        <f>match_results!C661</f>
        <v>ピコスルファートナトリウム内用液</v>
      </c>
      <c r="H664" s="208">
        <f>match_results!D661</f>
        <v>341</v>
      </c>
      <c r="I664" s="218">
        <f>match_results!E661</f>
        <v>76.190476190476105</v>
      </c>
      <c r="J664" s="225"/>
      <c r="K664" s="15" t="str">
        <f ca="1">IF($J664="〇",OFFSET(集計!B$3,合体!$H664,0),"")</f>
        <v/>
      </c>
      <c r="L664" s="15" t="str">
        <f ca="1">IF($J664="〇",OFFSET(集計!C$3,合体!$H664,0),"")</f>
        <v/>
      </c>
      <c r="M664" s="202" t="str">
        <f ca="1">IF($J664="〇",OFFSET(集計!D$3,合体!$H664,0),"")</f>
        <v/>
      </c>
    </row>
    <row r="665" spans="2:13" x14ac:dyDescent="0.2">
      <c r="B665" s="201">
        <f t="shared" si="10"/>
        <v>661</v>
      </c>
      <c r="C665" s="15" t="str">
        <f>薬品マスタリスト_20260130100542!A663</f>
        <v>ビ・シフロール錠０．１２５ｍｇ</v>
      </c>
      <c r="D665" s="15" t="str">
        <f>薬品マスタリスト_20260130100542!B663</f>
        <v>ﾋﾞ･ｼﾌﾛｰﾙｼﾞｮｳ0.125mg</v>
      </c>
      <c r="E665" s="15">
        <f>薬品マスタリスト_20260130100542!C663</f>
        <v>1</v>
      </c>
      <c r="F665" s="206" t="str">
        <f>薬品マスタリスト_20260130100542!D663</f>
        <v>錠剤</v>
      </c>
      <c r="G665" s="208" t="str">
        <f>match_results!C662</f>
        <v>ビ・シフロール錠０．１２５ｍｇ</v>
      </c>
      <c r="H665" s="208">
        <f>match_results!D662</f>
        <v>215</v>
      </c>
      <c r="I665" s="218">
        <f>match_results!E662</f>
        <v>100</v>
      </c>
      <c r="J665" s="225" t="s">
        <v>3917</v>
      </c>
      <c r="K665" s="15">
        <f ca="1">IF($J665="〇",OFFSET(集計!B$3,合体!$H665,0),"")</f>
        <v>16.5</v>
      </c>
      <c r="L665" s="15">
        <f ca="1">IF($J665="〇",OFFSET(集計!C$3,合体!$H665,0),"")</f>
        <v>184</v>
      </c>
      <c r="M665" s="202">
        <f ca="1">IF($J665="〇",OFFSET(集計!D$3,合体!$H665,0),"")</f>
        <v>3036</v>
      </c>
    </row>
    <row r="666" spans="2:13" x14ac:dyDescent="0.2">
      <c r="B666" s="201">
        <f t="shared" si="10"/>
        <v>662</v>
      </c>
      <c r="C666" s="15" t="str">
        <f>薬品マスタリスト_20260130100542!A664</f>
        <v>ピーゼットシー糖衣錠４ｍｇ</v>
      </c>
      <c r="D666" s="15" t="str">
        <f>薬品マスタリスト_20260130100542!B664</f>
        <v>ﾋﾟｰｾﾞｯﾄｼｰﾄｳｲｼﾞｮｳ4mg</v>
      </c>
      <c r="E666" s="15">
        <f>薬品マスタリスト_20260130100542!C664</f>
        <v>1</v>
      </c>
      <c r="F666" s="206" t="str">
        <f>薬品マスタリスト_20260130100542!D664</f>
        <v>錠剤</v>
      </c>
      <c r="G666" s="208" t="str">
        <f>match_results!C663</f>
        <v>ピーゼットシー錠</v>
      </c>
      <c r="H666" s="208">
        <f>match_results!D663</f>
        <v>69</v>
      </c>
      <c r="I666" s="218">
        <f>match_results!E663</f>
        <v>76.190476190476105</v>
      </c>
      <c r="J666" s="225"/>
      <c r="K666" s="15" t="str">
        <f ca="1">IF($J666="〇",OFFSET(集計!B$3,合体!$H666,0),"")</f>
        <v/>
      </c>
      <c r="L666" s="15" t="str">
        <f ca="1">IF($J666="〇",OFFSET(集計!C$3,合体!$H666,0),"")</f>
        <v/>
      </c>
      <c r="M666" s="202" t="str">
        <f ca="1">IF($J666="〇",OFFSET(集計!D$3,合体!$H666,0),"")</f>
        <v/>
      </c>
    </row>
    <row r="667" spans="2:13" x14ac:dyDescent="0.2">
      <c r="B667" s="201">
        <f t="shared" si="10"/>
        <v>663</v>
      </c>
      <c r="C667" s="15" t="str">
        <f>薬品マスタリスト_20260130100542!A665</f>
        <v>ビソノテープ４ｍｇ</v>
      </c>
      <c r="D667" s="15" t="str">
        <f>薬品マスタリスト_20260130100542!B665</f>
        <v>ﾋﾞｿﾉﾃｰﾌﾟ4mg</v>
      </c>
      <c r="E667" s="15">
        <f>薬品マスタリスト_20260130100542!C665</f>
        <v>19</v>
      </c>
      <c r="F667" s="206" t="str">
        <f>薬品マスタリスト_20260130100542!D665</f>
        <v>貼付剤</v>
      </c>
      <c r="G667" s="208" t="str">
        <f>match_results!C664</f>
        <v>ビソノテープ４ｍｇ</v>
      </c>
      <c r="H667" s="208">
        <f>match_results!D664</f>
        <v>209</v>
      </c>
      <c r="I667" s="218">
        <f>match_results!E664</f>
        <v>100</v>
      </c>
      <c r="J667" s="225" t="s">
        <v>3917</v>
      </c>
      <c r="K667" s="15">
        <f ca="1">IF($J667="〇",OFFSET(集計!B$3,合体!$H667,0),"")</f>
        <v>53.54</v>
      </c>
      <c r="L667" s="15">
        <f ca="1">IF($J667="〇",OFFSET(集計!C$3,合体!$H667,0),"")</f>
        <v>56</v>
      </c>
      <c r="M667" s="202">
        <f ca="1">IF($J667="〇",OFFSET(集計!D$3,合体!$H667,0),"")</f>
        <v>2998.24</v>
      </c>
    </row>
    <row r="668" spans="2:13" x14ac:dyDescent="0.2">
      <c r="B668" s="201">
        <f t="shared" si="10"/>
        <v>664</v>
      </c>
      <c r="C668" s="15" t="str">
        <f>薬品マスタリスト_20260130100542!A666</f>
        <v>ビソノテープ２ｍｇ</v>
      </c>
      <c r="D668" s="15" t="str">
        <f>薬品マスタリスト_20260130100542!B666</f>
        <v>ﾋﾞｿﾉﾃ-ﾌﾟ2MG</v>
      </c>
      <c r="E668" s="15">
        <f>薬品マスタリスト_20260130100542!C666</f>
        <v>19</v>
      </c>
      <c r="F668" s="206" t="str">
        <f>薬品マスタリスト_20260130100542!D666</f>
        <v>貼付剤</v>
      </c>
      <c r="G668" s="208" t="str">
        <f>match_results!C665</f>
        <v>ビソノテープ４ｍｇ</v>
      </c>
      <c r="H668" s="208">
        <f>match_results!D665</f>
        <v>209</v>
      </c>
      <c r="I668" s="218">
        <f>match_results!E665</f>
        <v>88.8888888888888</v>
      </c>
      <c r="J668" s="225"/>
      <c r="K668" s="15" t="str">
        <f ca="1">IF($J668="〇",OFFSET(集計!B$3,合体!$H668,0),"")</f>
        <v/>
      </c>
      <c r="L668" s="15" t="str">
        <f ca="1">IF($J668="〇",OFFSET(集計!C$3,合体!$H668,0),"")</f>
        <v/>
      </c>
      <c r="M668" s="202" t="str">
        <f ca="1">IF($J668="〇",OFFSET(集計!D$3,合体!$H668,0),"")</f>
        <v/>
      </c>
    </row>
    <row r="669" spans="2:13" x14ac:dyDescent="0.2">
      <c r="B669" s="201">
        <f t="shared" si="10"/>
        <v>665</v>
      </c>
      <c r="C669" s="15" t="str">
        <f>薬品マスタリスト_20260130100542!A667</f>
        <v>ビソプロロールフマル酸塩錠０．６２５ｍｇ「テバ」</v>
      </c>
      <c r="D669" s="15" t="str">
        <f>薬品マスタリスト_20260130100542!B667</f>
        <v>ﾋﾞｿﾌﾟﾛﾛｰﾙﾌﾏﾙｻﾝｴﾝｼﾞｮｳ0.625mg｢ﾃﾊﾞ｣</v>
      </c>
      <c r="E669" s="15">
        <f>薬品マスタリスト_20260130100542!C667</f>
        <v>1</v>
      </c>
      <c r="F669" s="206" t="str">
        <f>薬品マスタリスト_20260130100542!D667</f>
        <v>錠剤</v>
      </c>
      <c r="G669" s="208" t="str">
        <f>match_results!C666</f>
        <v>ビソプロロールフマル酸（０．６２５）「トーワ」</v>
      </c>
      <c r="H669" s="208">
        <f>match_results!D666</f>
        <v>139</v>
      </c>
      <c r="I669" s="218">
        <f>match_results!E666</f>
        <v>76.595744680850999</v>
      </c>
      <c r="J669" s="225"/>
      <c r="K669" s="15" t="str">
        <f ca="1">IF($J669="〇",OFFSET(集計!B$3,合体!$H669,0),"")</f>
        <v/>
      </c>
      <c r="L669" s="15" t="str">
        <f ca="1">IF($J669="〇",OFFSET(集計!C$3,合体!$H669,0),"")</f>
        <v/>
      </c>
      <c r="M669" s="202" t="str">
        <f ca="1">IF($J669="〇",OFFSET(集計!D$3,合体!$H669,0),"")</f>
        <v/>
      </c>
    </row>
    <row r="670" spans="2:13" x14ac:dyDescent="0.2">
      <c r="B670" s="201">
        <f t="shared" si="10"/>
        <v>666</v>
      </c>
      <c r="C670" s="15" t="str">
        <f>薬品マスタリスト_20260130100542!A668</f>
        <v>ビソプロロールフマル酸塩錠２．５ｍｇ「テバ」</v>
      </c>
      <c r="D670" s="15" t="str">
        <f>薬品マスタリスト_20260130100542!B668</f>
        <v>ﾋﾞｿﾌﾟﾛﾛｰﾙﾌﾏﾙｻﾝｴﾝｼﾞｮｳ2.5mg｢ﾃﾊﾞ｣</v>
      </c>
      <c r="E670" s="15">
        <f>薬品マスタリスト_20260130100542!C668</f>
        <v>1</v>
      </c>
      <c r="F670" s="206" t="str">
        <f>薬品マスタリスト_20260130100542!D668</f>
        <v>錠剤</v>
      </c>
      <c r="G670" s="208" t="str">
        <f>match_results!C667</f>
        <v>ビソプロロールフマル酸（２．５）「トーワ」</v>
      </c>
      <c r="H670" s="208">
        <f>match_results!D667</f>
        <v>175</v>
      </c>
      <c r="I670" s="218">
        <f>match_results!E667</f>
        <v>74.418604651162795</v>
      </c>
      <c r="J670" s="225"/>
      <c r="K670" s="15" t="str">
        <f ca="1">IF($J670="〇",OFFSET(集計!B$3,合体!$H670,0),"")</f>
        <v/>
      </c>
      <c r="L670" s="15" t="str">
        <f ca="1">IF($J670="〇",OFFSET(集計!C$3,合体!$H670,0),"")</f>
        <v/>
      </c>
      <c r="M670" s="202" t="str">
        <f ca="1">IF($J670="〇",OFFSET(集計!D$3,合体!$H670,0),"")</f>
        <v/>
      </c>
    </row>
    <row r="671" spans="2:13" x14ac:dyDescent="0.2">
      <c r="B671" s="201">
        <f t="shared" si="10"/>
        <v>667</v>
      </c>
      <c r="C671" s="15" t="str">
        <f>薬品マスタリスト_20260130100542!A669</f>
        <v>ビソプロロールフマル酸塩錠２．５ｍｇ「トーワ」</v>
      </c>
      <c r="D671" s="15" t="str">
        <f>薬品マスタリスト_20260130100542!B669</f>
        <v>ﾋﾞｿﾌﾟﾛﾛ-ﾙﾌﾏﾙｻﾝｴﾝｼﾞﾖｳ2.5MGﾄ-ﾜ</v>
      </c>
      <c r="E671" s="15">
        <f>薬品マスタリスト_20260130100542!C669</f>
        <v>1</v>
      </c>
      <c r="F671" s="206" t="str">
        <f>薬品マスタリスト_20260130100542!D669</f>
        <v>錠剤</v>
      </c>
      <c r="G671" s="208" t="str">
        <f>match_results!C668</f>
        <v>ビソプロロールフマル酸（２．５）「トーワ」</v>
      </c>
      <c r="H671" s="208">
        <f>match_results!D668</f>
        <v>175</v>
      </c>
      <c r="I671" s="218">
        <f>match_results!E668</f>
        <v>86.363636363636303</v>
      </c>
      <c r="J671" s="225"/>
      <c r="K671" s="15" t="str">
        <f ca="1">IF($J671="〇",OFFSET(集計!B$3,合体!$H671,0),"")</f>
        <v/>
      </c>
      <c r="L671" s="15" t="str">
        <f ca="1">IF($J671="〇",OFFSET(集計!C$3,合体!$H671,0),"")</f>
        <v/>
      </c>
      <c r="M671" s="202" t="str">
        <f ca="1">IF($J671="〇",OFFSET(集計!D$3,合体!$H671,0),"")</f>
        <v/>
      </c>
    </row>
    <row r="672" spans="2:13" x14ac:dyDescent="0.2">
      <c r="B672" s="201">
        <f t="shared" si="10"/>
        <v>668</v>
      </c>
      <c r="C672" s="15" t="str">
        <f>薬品マスタリスト_20260130100542!A670</f>
        <v>ビソプロロールフマル酸塩錠０．６２５ｍｇ「トーワ」</v>
      </c>
      <c r="D672" s="15" t="str">
        <f>薬品マスタリスト_20260130100542!B670</f>
        <v>ﾋﾞｿﾌﾟﾛﾛ-ﾙﾌﾏﾙｻﾝｴﾝｼﾞﾖｳ0.625MGﾄ-ﾜ</v>
      </c>
      <c r="E672" s="15">
        <f>薬品マスタリスト_20260130100542!C670</f>
        <v>1</v>
      </c>
      <c r="F672" s="206" t="str">
        <f>薬品マスタリスト_20260130100542!D670</f>
        <v>錠剤</v>
      </c>
      <c r="G672" s="208" t="str">
        <f>match_results!C669</f>
        <v>ビソプロロールフマル酸（０．６２５）「トーワ」</v>
      </c>
      <c r="H672" s="208">
        <f>match_results!D669</f>
        <v>139</v>
      </c>
      <c r="I672" s="218">
        <f>match_results!E669</f>
        <v>87.5</v>
      </c>
      <c r="J672" s="225"/>
      <c r="K672" s="15" t="str">
        <f ca="1">IF($J672="〇",OFFSET(集計!B$3,合体!$H672,0),"")</f>
        <v/>
      </c>
      <c r="L672" s="15" t="str">
        <f ca="1">IF($J672="〇",OFFSET(集計!C$3,合体!$H672,0),"")</f>
        <v/>
      </c>
      <c r="M672" s="202" t="str">
        <f ca="1">IF($J672="〇",OFFSET(集計!D$3,合体!$H672,0),"")</f>
        <v/>
      </c>
    </row>
    <row r="673" spans="2:13" x14ac:dyDescent="0.2">
      <c r="B673" s="201">
        <f t="shared" si="10"/>
        <v>669</v>
      </c>
      <c r="C673" s="15" t="str">
        <f>薬品マスタリスト_20260130100542!A671</f>
        <v>ビソルボン注４ｍｇ</v>
      </c>
      <c r="D673" s="15" t="str">
        <f>薬品マスタリスト_20260130100542!B671</f>
        <v>ﾋﾞｿﾙﾎﾞﾝﾁｭｳ4mg</v>
      </c>
      <c r="E673" s="15">
        <f>薬品マスタリスト_20260130100542!C671</f>
        <v>25</v>
      </c>
      <c r="F673" s="206" t="str">
        <f>薬品マスタリスト_20260130100542!D671</f>
        <v>注射剤</v>
      </c>
      <c r="G673" s="208" t="str">
        <f>match_results!C670</f>
        <v>ルーラン錠４ｍｇ</v>
      </c>
      <c r="H673" s="208">
        <f>match_results!D670</f>
        <v>425</v>
      </c>
      <c r="I673" s="218">
        <f>match_results!E670</f>
        <v>58.823529411764703</v>
      </c>
      <c r="J673" s="225"/>
      <c r="K673" s="15" t="str">
        <f ca="1">IF($J673="〇",OFFSET(集計!B$3,合体!$H673,0),"")</f>
        <v/>
      </c>
      <c r="L673" s="15" t="str">
        <f ca="1">IF($J673="〇",OFFSET(集計!C$3,合体!$H673,0),"")</f>
        <v/>
      </c>
      <c r="M673" s="202" t="str">
        <f ca="1">IF($J673="〇",OFFSET(集計!D$3,合体!$H673,0),"")</f>
        <v/>
      </c>
    </row>
    <row r="674" spans="2:13" x14ac:dyDescent="0.2">
      <c r="B674" s="201">
        <f t="shared" si="10"/>
        <v>670</v>
      </c>
      <c r="C674" s="15" t="str">
        <f>薬品マスタリスト_20260130100542!A672</f>
        <v>ビソルボン吸入液０．２％</v>
      </c>
      <c r="D674" s="15" t="str">
        <f>薬品マスタリスト_20260130100542!B672</f>
        <v>ﾋﾞｿﾙﾎﾞﾝｷｭｳﾆｭｳｴｷ0.2%</v>
      </c>
      <c r="E674" s="15">
        <f>薬品マスタリスト_20260130100542!C672</f>
        <v>10</v>
      </c>
      <c r="F674" s="206" t="str">
        <f>薬品マスタリスト_20260130100542!D672</f>
        <v>吸入剤</v>
      </c>
      <c r="G674" s="208" t="str">
        <f>match_results!C671</f>
        <v>ブロムヘキシン吸入液０．２％</v>
      </c>
      <c r="H674" s="208">
        <f>match_results!D671</f>
        <v>28</v>
      </c>
      <c r="I674" s="218">
        <f>match_results!E671</f>
        <v>61.538461538461497</v>
      </c>
      <c r="J674" s="225"/>
      <c r="K674" s="15" t="str">
        <f ca="1">IF($J674="〇",OFFSET(集計!B$3,合体!$H674,0),"")</f>
        <v/>
      </c>
      <c r="L674" s="15" t="str">
        <f ca="1">IF($J674="〇",OFFSET(集計!C$3,合体!$H674,0),"")</f>
        <v/>
      </c>
      <c r="M674" s="202" t="str">
        <f ca="1">IF($J674="〇",OFFSET(集計!D$3,合体!$H674,0),"")</f>
        <v/>
      </c>
    </row>
    <row r="675" spans="2:13" x14ac:dyDescent="0.2">
      <c r="B675" s="201">
        <f t="shared" si="10"/>
        <v>671</v>
      </c>
      <c r="C675" s="15" t="str">
        <f>薬品マスタリスト_20260130100542!A673</f>
        <v>ビタノイリンカプセル５０</v>
      </c>
      <c r="D675" s="15" t="str">
        <f>薬品マスタリスト_20260130100542!B673</f>
        <v>ﾋﾞﾀﾉｲﾘﾝｶﾌﾟｾﾙ50</v>
      </c>
      <c r="E675" s="15">
        <f>薬品マスタリスト_20260130100542!C673</f>
        <v>2</v>
      </c>
      <c r="F675" s="206" t="str">
        <f>薬品マスタリスト_20260130100542!D673</f>
        <v>カプセル</v>
      </c>
      <c r="G675" s="208" t="str">
        <f>match_results!C672</f>
        <v>テプレノンカプセル５０ｍｇ　</v>
      </c>
      <c r="H675" s="208">
        <f>match_results!D672</f>
        <v>525</v>
      </c>
      <c r="I675" s="218">
        <f>match_results!E672</f>
        <v>64</v>
      </c>
      <c r="J675" s="225"/>
      <c r="K675" s="15" t="str">
        <f ca="1">IF($J675="〇",OFFSET(集計!B$3,合体!$H675,0),"")</f>
        <v/>
      </c>
      <c r="L675" s="15" t="str">
        <f ca="1">IF($J675="〇",OFFSET(集計!C$3,合体!$H675,0),"")</f>
        <v/>
      </c>
      <c r="M675" s="202" t="str">
        <f ca="1">IF($J675="〇",OFFSET(集計!D$3,合体!$H675,0),"")</f>
        <v/>
      </c>
    </row>
    <row r="676" spans="2:13" x14ac:dyDescent="0.2">
      <c r="B676" s="201">
        <f t="shared" si="10"/>
        <v>672</v>
      </c>
      <c r="C676" s="15" t="str">
        <f>薬品マスタリスト_20260130100542!A674</f>
        <v>ビダラビン軟膏３％「ＳＷ」</v>
      </c>
      <c r="D676" s="15" t="str">
        <f>薬品マスタリスト_20260130100542!B674</f>
        <v>ﾋﾞﾀﾞﾗﾋﾞﾝﾅﾝｺｳ3%｢SW｣</v>
      </c>
      <c r="E676" s="15">
        <f>薬品マスタリスト_20260130100542!C674</f>
        <v>14</v>
      </c>
      <c r="F676" s="206" t="str">
        <f>薬品マスタリスト_20260130100542!D674</f>
        <v>軟膏</v>
      </c>
      <c r="G676" s="208" t="str">
        <f>match_results!C673</f>
        <v>ビダラビン軟膏３％「ＭＥＥＫ」　５ｇ／本</v>
      </c>
      <c r="H676" s="208">
        <f>match_results!D673</f>
        <v>170</v>
      </c>
      <c r="I676" s="218">
        <f>match_results!E673</f>
        <v>66.6666666666666</v>
      </c>
      <c r="J676" s="225"/>
      <c r="K676" s="15" t="str">
        <f ca="1">IF($J676="〇",OFFSET(集計!B$3,合体!$H676,0),"")</f>
        <v/>
      </c>
      <c r="L676" s="15" t="str">
        <f ca="1">IF($J676="〇",OFFSET(集計!C$3,合体!$H676,0),"")</f>
        <v/>
      </c>
      <c r="M676" s="202" t="str">
        <f ca="1">IF($J676="〇",OFFSET(集計!D$3,合体!$H676,0),"")</f>
        <v/>
      </c>
    </row>
    <row r="677" spans="2:13" x14ac:dyDescent="0.2">
      <c r="B677" s="201">
        <f t="shared" si="10"/>
        <v>673</v>
      </c>
      <c r="C677" s="15" t="str">
        <f>薬品マスタリスト_20260130100542!A675</f>
        <v>ビブラマイシン錠５０ｍｇ</v>
      </c>
      <c r="D677" s="15" t="str">
        <f>薬品マスタリスト_20260130100542!B675</f>
        <v>ﾋﾞﾌﾞﾗﾏｲｼﾝｼﾞﾖｳ50MG</v>
      </c>
      <c r="E677" s="15">
        <f>薬品マスタリスト_20260130100542!C675</f>
        <v>1</v>
      </c>
      <c r="F677" s="206" t="str">
        <f>薬品マスタリスト_20260130100542!D675</f>
        <v>錠剤</v>
      </c>
      <c r="G677" s="208" t="str">
        <f>match_results!C674</f>
        <v>ビブラマイシン錠５０ｍｇ</v>
      </c>
      <c r="H677" s="208">
        <f>match_results!D674</f>
        <v>111</v>
      </c>
      <c r="I677" s="218">
        <f>match_results!E674</f>
        <v>100</v>
      </c>
      <c r="J677" s="225" t="s">
        <v>3917</v>
      </c>
      <c r="K677" s="15">
        <f ca="1">IF($J677="〇",OFFSET(集計!B$3,合体!$H677,0),"")</f>
        <v>11.13</v>
      </c>
      <c r="L677" s="15">
        <f ca="1">IF($J677="〇",OFFSET(集計!C$3,合体!$H677,0),"")</f>
        <v>140</v>
      </c>
      <c r="M677" s="202">
        <f ca="1">IF($J677="〇",OFFSET(集計!D$3,合体!$H677,0),"")</f>
        <v>1558.2</v>
      </c>
    </row>
    <row r="678" spans="2:13" x14ac:dyDescent="0.2">
      <c r="B678" s="201">
        <f t="shared" si="10"/>
        <v>674</v>
      </c>
      <c r="C678" s="15" t="str">
        <f>薬品マスタリスト_20260130100542!A676</f>
        <v>ビプレッソ徐放錠５０ｍｇ</v>
      </c>
      <c r="D678" s="15" t="str">
        <f>薬品マスタリスト_20260130100542!B676</f>
        <v>ﾋﾞﾌﾟﾚｯｿｼﾞｮﾎｳｼﾞｮｳ50mg</v>
      </c>
      <c r="E678" s="15">
        <f>薬品マスタリスト_20260130100542!C676</f>
        <v>1</v>
      </c>
      <c r="F678" s="206" t="str">
        <f>薬品マスタリスト_20260130100542!D676</f>
        <v>錠剤</v>
      </c>
      <c r="G678" s="208" t="str">
        <f>match_results!C675</f>
        <v>ビプレッソ徐放５０ｍｇ</v>
      </c>
      <c r="H678" s="208">
        <f>match_results!D675</f>
        <v>202</v>
      </c>
      <c r="I678" s="218">
        <f>match_results!E675</f>
        <v>95.652173913043399</v>
      </c>
      <c r="J678" s="225"/>
      <c r="K678" s="15" t="str">
        <f ca="1">IF($J678="〇",OFFSET(集計!B$3,合体!$H678,0),"")</f>
        <v/>
      </c>
      <c r="L678" s="15" t="str">
        <f ca="1">IF($J678="〇",OFFSET(集計!C$3,合体!$H678,0),"")</f>
        <v/>
      </c>
      <c r="M678" s="202" t="str">
        <f ca="1">IF($J678="〇",OFFSET(集計!D$3,合体!$H678,0),"")</f>
        <v/>
      </c>
    </row>
    <row r="679" spans="2:13" x14ac:dyDescent="0.2">
      <c r="B679" s="201">
        <f t="shared" si="10"/>
        <v>675</v>
      </c>
      <c r="C679" s="15" t="str">
        <f>薬品マスタリスト_20260130100542!A677</f>
        <v>ビプレッソ徐放錠１５０ｍｇ</v>
      </c>
      <c r="D679" s="15" t="str">
        <f>薬品マスタリスト_20260130100542!B677</f>
        <v>ﾋﾞﾌﾟﾚｯｿｼﾞｮﾎｳｼﾞｮｳ150mg</v>
      </c>
      <c r="E679" s="15">
        <f>薬品マスタリスト_20260130100542!C677</f>
        <v>1</v>
      </c>
      <c r="F679" s="206" t="str">
        <f>薬品マスタリスト_20260130100542!D677</f>
        <v>錠剤</v>
      </c>
      <c r="G679" s="208" t="str">
        <f>match_results!C676</f>
        <v>ビプレッソ徐放１５０ｍｇ</v>
      </c>
      <c r="H679" s="208">
        <f>match_results!D676</f>
        <v>581</v>
      </c>
      <c r="I679" s="218">
        <f>match_results!E676</f>
        <v>96</v>
      </c>
      <c r="J679" s="225"/>
      <c r="K679" s="15" t="str">
        <f ca="1">IF($J679="〇",OFFSET(集計!B$3,合体!$H679,0),"")</f>
        <v/>
      </c>
      <c r="L679" s="15" t="str">
        <f ca="1">IF($J679="〇",OFFSET(集計!C$3,合体!$H679,0),"")</f>
        <v/>
      </c>
      <c r="M679" s="202" t="str">
        <f ca="1">IF($J679="〇",OFFSET(集計!D$3,合体!$H679,0),"")</f>
        <v/>
      </c>
    </row>
    <row r="680" spans="2:13" x14ac:dyDescent="0.2">
      <c r="B680" s="201">
        <f t="shared" si="10"/>
        <v>676</v>
      </c>
      <c r="C680" s="15" t="str">
        <f>薬品マスタリスト_20260130100542!A678</f>
        <v>ビペリデン塩酸塩錠１ｍｇ「アメル」</v>
      </c>
      <c r="D680" s="15" t="str">
        <f>薬品マスタリスト_20260130100542!B678</f>
        <v>ﾋﾞﾍﾟﾘﾃﾞﾝｴﾝｻﾝｴﾝｼﾞｮｳ1mg｢ｱﾒﾙ｣</v>
      </c>
      <c r="E680" s="15">
        <f>薬品マスタリスト_20260130100542!C678</f>
        <v>1</v>
      </c>
      <c r="F680" s="206" t="str">
        <f>薬品マスタリスト_20260130100542!D678</f>
        <v>錠剤</v>
      </c>
      <c r="G680" s="208" t="str">
        <f>match_results!C677</f>
        <v>スルピリド錠１００ｍｇ「アメル」　</v>
      </c>
      <c r="H680" s="208">
        <f>match_results!D677</f>
        <v>269</v>
      </c>
      <c r="I680" s="218">
        <f>match_results!E677</f>
        <v>60.606060606060602</v>
      </c>
      <c r="J680" s="225"/>
      <c r="K680" s="15" t="str">
        <f ca="1">IF($J680="〇",OFFSET(集計!B$3,合体!$H680,0),"")</f>
        <v/>
      </c>
      <c r="L680" s="15" t="str">
        <f ca="1">IF($J680="〇",OFFSET(集計!C$3,合体!$H680,0),"")</f>
        <v/>
      </c>
      <c r="M680" s="202" t="str">
        <f ca="1">IF($J680="〇",OFFSET(集計!D$3,合体!$H680,0),"")</f>
        <v/>
      </c>
    </row>
    <row r="681" spans="2:13" x14ac:dyDescent="0.2">
      <c r="B681" s="201">
        <f t="shared" si="10"/>
        <v>677</v>
      </c>
      <c r="C681" s="15" t="str">
        <f>薬品マスタリスト_20260130100542!A679</f>
        <v>ビペリデン塩酸塩細粒１％「アメル」</v>
      </c>
      <c r="D681" s="15" t="str">
        <f>薬品マスタリスト_20260130100542!B679</f>
        <v>ﾋﾞﾍﾟﾘﾃﾞﾝｴﾝｻﾝｴﾝｻｲﾘｭｳ1%｢ｱﾒﾙ｣</v>
      </c>
      <c r="E681" s="15">
        <f>薬品マスタリスト_20260130100542!C679</f>
        <v>3</v>
      </c>
      <c r="F681" s="206" t="str">
        <f>薬品マスタリスト_20260130100542!D679</f>
        <v>散</v>
      </c>
      <c r="G681" s="208" t="str">
        <f>match_results!C678</f>
        <v>トロペロン細粒１％</v>
      </c>
      <c r="H681" s="208">
        <f>match_results!D678</f>
        <v>459</v>
      </c>
      <c r="I681" s="218">
        <f>match_results!E678</f>
        <v>46.153846153846096</v>
      </c>
      <c r="J681" s="225"/>
      <c r="K681" s="15" t="str">
        <f ca="1">IF($J681="〇",OFFSET(集計!B$3,合体!$H681,0),"")</f>
        <v/>
      </c>
      <c r="L681" s="15" t="str">
        <f ca="1">IF($J681="〇",OFFSET(集計!C$3,合体!$H681,0),"")</f>
        <v/>
      </c>
      <c r="M681" s="202" t="str">
        <f ca="1">IF($J681="〇",OFFSET(集計!D$3,合体!$H681,0),"")</f>
        <v/>
      </c>
    </row>
    <row r="682" spans="2:13" x14ac:dyDescent="0.2">
      <c r="B682" s="201">
        <f t="shared" si="10"/>
        <v>678</v>
      </c>
      <c r="C682" s="15" t="str">
        <f>薬品マスタリスト_20260130100542!A680</f>
        <v>ヒベルナ糖衣錠５ｍｇ</v>
      </c>
      <c r="D682" s="15" t="str">
        <f>薬品マスタリスト_20260130100542!B680</f>
        <v>ﾋﾍﾞﾙﾅﾄｳｲｼﾞｮｳ5mg</v>
      </c>
      <c r="E682" s="15">
        <f>薬品マスタリスト_20260130100542!C680</f>
        <v>1</v>
      </c>
      <c r="F682" s="206" t="str">
        <f>薬品マスタリスト_20260130100542!D680</f>
        <v>錠剤</v>
      </c>
      <c r="G682" s="208" t="str">
        <f>match_results!C679</f>
        <v>ヒベルナ糖衣錠２５ｍｇ</v>
      </c>
      <c r="H682" s="208">
        <f>match_results!D679</f>
        <v>486</v>
      </c>
      <c r="I682" s="218">
        <f>match_results!E679</f>
        <v>95.238095238095198</v>
      </c>
      <c r="J682" s="225"/>
      <c r="K682" s="15" t="str">
        <f ca="1">IF($J682="〇",OFFSET(集計!B$3,合体!$H682,0),"")</f>
        <v/>
      </c>
      <c r="L682" s="15" t="str">
        <f ca="1">IF($J682="〇",OFFSET(集計!C$3,合体!$H682,0),"")</f>
        <v/>
      </c>
      <c r="M682" s="202" t="str">
        <f ca="1">IF($J682="〇",OFFSET(集計!D$3,合体!$H682,0),"")</f>
        <v/>
      </c>
    </row>
    <row r="683" spans="2:13" x14ac:dyDescent="0.2">
      <c r="B683" s="201">
        <f t="shared" si="10"/>
        <v>679</v>
      </c>
      <c r="C683" s="15" t="str">
        <f>薬品マスタリスト_20260130100542!A681</f>
        <v>ヒベルナ糖衣錠２５ｍｇ</v>
      </c>
      <c r="D683" s="15" t="str">
        <f>薬品マスタリスト_20260130100542!B681</f>
        <v>ﾋﾍﾞﾙﾅﾄｳｲｼﾞｮｳ25mg</v>
      </c>
      <c r="E683" s="15">
        <f>薬品マスタリスト_20260130100542!C681</f>
        <v>1</v>
      </c>
      <c r="F683" s="206" t="str">
        <f>薬品マスタリスト_20260130100542!D681</f>
        <v>錠剤</v>
      </c>
      <c r="G683" s="208" t="str">
        <f>match_results!C680</f>
        <v>ヒベルナ糖衣錠２５ｍｇ</v>
      </c>
      <c r="H683" s="208">
        <f>match_results!D680</f>
        <v>486</v>
      </c>
      <c r="I683" s="218">
        <f>match_results!E680</f>
        <v>100</v>
      </c>
      <c r="J683" s="225" t="s">
        <v>3917</v>
      </c>
      <c r="K683" s="15">
        <f ca="1">IF($J683="〇",OFFSET(集計!B$3,合体!$H683,0),"")</f>
        <v>5</v>
      </c>
      <c r="L683" s="15">
        <f ca="1">IF($J683="〇",OFFSET(集計!C$3,合体!$H683,0),"")</f>
        <v>2508.6363636363635</v>
      </c>
      <c r="M683" s="202">
        <f ca="1">IF($J683="〇",OFFSET(集計!D$3,合体!$H683,0),"")</f>
        <v>12543.181818181818</v>
      </c>
    </row>
    <row r="684" spans="2:13" x14ac:dyDescent="0.2">
      <c r="B684" s="201">
        <f t="shared" si="10"/>
        <v>680</v>
      </c>
      <c r="C684" s="15" t="str">
        <f>薬品マスタリスト_20260130100542!A682</f>
        <v>ヒベルナ散１０％</v>
      </c>
      <c r="D684" s="15" t="str">
        <f>薬品マスタリスト_20260130100542!B682</f>
        <v>ﾋﾍﾞﾙﾅｻﾝ10%</v>
      </c>
      <c r="E684" s="15">
        <f>薬品マスタリスト_20260130100542!C682</f>
        <v>3</v>
      </c>
      <c r="F684" s="206" t="str">
        <f>薬品マスタリスト_20260130100542!D682</f>
        <v>散</v>
      </c>
      <c r="G684" s="208" t="str">
        <f>match_results!C681</f>
        <v>ヒベルナ注２５ｍｇ　１ｍＬＸ５０管</v>
      </c>
      <c r="H684" s="208">
        <f>match_results!D681</f>
        <v>195</v>
      </c>
      <c r="I684" s="218">
        <f>match_results!E681</f>
        <v>48</v>
      </c>
      <c r="J684" s="225"/>
      <c r="K684" s="15" t="str">
        <f ca="1">IF($J684="〇",OFFSET(集計!B$3,合体!$H684,0),"")</f>
        <v/>
      </c>
      <c r="L684" s="15" t="str">
        <f ca="1">IF($J684="〇",OFFSET(集計!C$3,合体!$H684,0),"")</f>
        <v/>
      </c>
      <c r="M684" s="202" t="str">
        <f ca="1">IF($J684="〇",OFFSET(集計!D$3,合体!$H684,0),"")</f>
        <v/>
      </c>
    </row>
    <row r="685" spans="2:13" x14ac:dyDescent="0.2">
      <c r="B685" s="201">
        <f t="shared" si="10"/>
        <v>681</v>
      </c>
      <c r="C685" s="15" t="str">
        <f>薬品マスタリスト_20260130100542!A683</f>
        <v>ヒベルナ注２５ｍｇ</v>
      </c>
      <c r="D685" s="15" t="str">
        <f>薬品マスタリスト_20260130100542!B683</f>
        <v>ﾋﾍﾞﾙﾅﾁｭｳ25mg</v>
      </c>
      <c r="E685" s="15">
        <f>薬品マスタリスト_20260130100542!C683</f>
        <v>25</v>
      </c>
      <c r="F685" s="206" t="str">
        <f>薬品マスタリスト_20260130100542!D683</f>
        <v>注射剤</v>
      </c>
      <c r="G685" s="208" t="str">
        <f>match_results!C682</f>
        <v>ヒベルナ糖衣錠２５ｍｇ</v>
      </c>
      <c r="H685" s="208">
        <f>match_results!D682</f>
        <v>486</v>
      </c>
      <c r="I685" s="218">
        <f>match_results!E682</f>
        <v>80</v>
      </c>
      <c r="J685" s="225"/>
      <c r="K685" s="15" t="str">
        <f ca="1">IF($J685="〇",OFFSET(集計!B$3,合体!$H685,0),"")</f>
        <v/>
      </c>
      <c r="L685" s="15" t="str">
        <f ca="1">IF($J685="〇",OFFSET(集計!C$3,合体!$H685,0),"")</f>
        <v/>
      </c>
      <c r="M685" s="202" t="str">
        <f ca="1">IF($J685="〇",OFFSET(集計!D$3,合体!$H685,0),"")</f>
        <v/>
      </c>
    </row>
    <row r="686" spans="2:13" x14ac:dyDescent="0.2">
      <c r="B686" s="201">
        <f t="shared" si="10"/>
        <v>682</v>
      </c>
      <c r="C686" s="15" t="str">
        <f>薬品マスタリスト_20260130100542!A684</f>
        <v>ビムパット錠５０ｍｇ</v>
      </c>
      <c r="D686" s="15" t="str">
        <f>薬品マスタリスト_20260130100542!B684</f>
        <v>ﾋﾞﾑﾊﾟｯﾄｼﾞｮｳ50mg</v>
      </c>
      <c r="E686" s="15">
        <f>薬品マスタリスト_20260130100542!C684</f>
        <v>1</v>
      </c>
      <c r="F686" s="206" t="str">
        <f>薬品マスタリスト_20260130100542!D684</f>
        <v>錠剤</v>
      </c>
      <c r="G686" s="208" t="str">
        <f>match_results!C683</f>
        <v>ビムパット錠５０ｍｇ</v>
      </c>
      <c r="H686" s="208">
        <f>match_results!D683</f>
        <v>616</v>
      </c>
      <c r="I686" s="218">
        <f>match_results!E683</f>
        <v>100</v>
      </c>
      <c r="J686" s="225" t="s">
        <v>3917</v>
      </c>
      <c r="K686" s="15">
        <f ca="1">IF($J686="〇",OFFSET(集計!B$3,合体!$H686,0),"")</f>
        <v>189.27</v>
      </c>
      <c r="L686" s="15">
        <f ca="1">IF($J686="〇",OFFSET(集計!C$3,合体!$H686,0),"")</f>
        <v>220</v>
      </c>
      <c r="M686" s="202">
        <f ca="1">IF($J686="〇",OFFSET(集計!D$3,合体!$H686,0),"")</f>
        <v>41639.4</v>
      </c>
    </row>
    <row r="687" spans="2:13" x14ac:dyDescent="0.2">
      <c r="B687" s="201">
        <f t="shared" si="10"/>
        <v>683</v>
      </c>
      <c r="C687" s="15" t="str">
        <f>薬品マスタリスト_20260130100542!A685</f>
        <v>ビムパット錠１００ｍｇ</v>
      </c>
      <c r="D687" s="15" t="str">
        <f>薬品マスタリスト_20260130100542!B685</f>
        <v>ﾋﾞﾑﾊﾟｯﾄｼﾞｮｳ100mg</v>
      </c>
      <c r="E687" s="15">
        <f>薬品マスタリスト_20260130100542!C685</f>
        <v>1</v>
      </c>
      <c r="F687" s="206" t="str">
        <f>薬品マスタリスト_20260130100542!D685</f>
        <v>錠剤</v>
      </c>
      <c r="G687" s="208" t="str">
        <f>match_results!C684</f>
        <v>ビムパット１００ｍｇ</v>
      </c>
      <c r="H687" s="208">
        <f>match_results!D684</f>
        <v>611</v>
      </c>
      <c r="I687" s="218">
        <f>match_results!E684</f>
        <v>95.238095238095198</v>
      </c>
      <c r="J687" s="225"/>
      <c r="K687" s="15" t="str">
        <f ca="1">IF($J687="〇",OFFSET(集計!B$3,合体!$H687,0),"")</f>
        <v/>
      </c>
      <c r="L687" s="15" t="str">
        <f ca="1">IF($J687="〇",OFFSET(集計!C$3,合体!$H687,0),"")</f>
        <v/>
      </c>
      <c r="M687" s="202" t="str">
        <f ca="1">IF($J687="〇",OFFSET(集計!D$3,合体!$H687,0),"")</f>
        <v/>
      </c>
    </row>
    <row r="688" spans="2:13" x14ac:dyDescent="0.2">
      <c r="B688" s="201">
        <f t="shared" si="10"/>
        <v>684</v>
      </c>
      <c r="C688" s="15" t="str">
        <f>薬品マスタリスト_20260130100542!A686</f>
        <v>ビムパット点滴静注２００ｍｇ</v>
      </c>
      <c r="D688" s="15" t="str">
        <f>薬品マスタリスト_20260130100542!B686</f>
        <v>ﾋﾞﾑﾊﾟｯﾄﾃﾝﾃｷｼﾞｮｳﾁｭｳ200mg</v>
      </c>
      <c r="E688" s="15">
        <f>薬品マスタリスト_20260130100542!C686</f>
        <v>25</v>
      </c>
      <c r="F688" s="206" t="str">
        <f>薬品マスタリスト_20260130100542!D686</f>
        <v>注射剤</v>
      </c>
      <c r="G688" s="208" t="str">
        <f>match_results!C685</f>
        <v>ビムパット１００ｍｇ</v>
      </c>
      <c r="H688" s="208">
        <f>match_results!D685</f>
        <v>611</v>
      </c>
      <c r="I688" s="218">
        <f>match_results!E685</f>
        <v>75</v>
      </c>
      <c r="J688" s="225"/>
      <c r="K688" s="15" t="str">
        <f ca="1">IF($J688="〇",OFFSET(集計!B$3,合体!$H688,0),"")</f>
        <v/>
      </c>
      <c r="L688" s="15" t="str">
        <f ca="1">IF($J688="〇",OFFSET(集計!C$3,合体!$H688,0),"")</f>
        <v/>
      </c>
      <c r="M688" s="202" t="str">
        <f ca="1">IF($J688="〇",OFFSET(集計!D$3,合体!$H688,0),"")</f>
        <v/>
      </c>
    </row>
    <row r="689" spans="2:13" x14ac:dyDescent="0.2">
      <c r="B689" s="201">
        <f t="shared" si="10"/>
        <v>685</v>
      </c>
      <c r="C689" s="15" t="str">
        <f>薬品マスタリスト_20260130100542!A687</f>
        <v>ピメノールカプセル５０ｍｇ</v>
      </c>
      <c r="D689" s="15" t="str">
        <f>薬品マスタリスト_20260130100542!B687</f>
        <v>ﾋﾟﾒﾉｰﾙｶﾌﾟｾﾙ50mg</v>
      </c>
      <c r="E689" s="15">
        <f>薬品マスタリスト_20260130100542!C687</f>
        <v>2</v>
      </c>
      <c r="F689" s="206" t="str">
        <f>薬品マスタリスト_20260130100542!D687</f>
        <v>カプセル</v>
      </c>
      <c r="G689" s="208" t="str">
        <f>match_results!C686</f>
        <v>テプレノンカプセル５０ｍｇ　</v>
      </c>
      <c r="H689" s="208">
        <f>match_results!D686</f>
        <v>525</v>
      </c>
      <c r="I689" s="218">
        <f>match_results!E686</f>
        <v>69.230769230769198</v>
      </c>
      <c r="J689" s="225"/>
      <c r="K689" s="15" t="str">
        <f ca="1">IF($J689="〇",OFFSET(集計!B$3,合体!$H689,0),"")</f>
        <v/>
      </c>
      <c r="L689" s="15" t="str">
        <f ca="1">IF($J689="〇",OFFSET(集計!C$3,合体!$H689,0),"")</f>
        <v/>
      </c>
      <c r="M689" s="202" t="str">
        <f ca="1">IF($J689="〇",OFFSET(集計!D$3,合体!$H689,0),"")</f>
        <v/>
      </c>
    </row>
    <row r="690" spans="2:13" x14ac:dyDescent="0.2">
      <c r="B690" s="201">
        <f t="shared" si="10"/>
        <v>686</v>
      </c>
      <c r="C690" s="15" t="str">
        <f>薬品マスタリスト_20260130100542!A688</f>
        <v>ピモベンダン錠１．２５ｍｇ「ＴＥ」</v>
      </c>
      <c r="D690" s="15" t="str">
        <f>薬品マスタリスト_20260130100542!B688</f>
        <v>ﾋﾟﾓﾍﾞﾝﾀﾞﾝｼﾞｮｳ1.25mg｢TE｣</v>
      </c>
      <c r="E690" s="15">
        <f>薬品マスタリスト_20260130100542!C688</f>
        <v>1</v>
      </c>
      <c r="F690" s="206" t="str">
        <f>薬品マスタリスト_20260130100542!D688</f>
        <v>錠剤</v>
      </c>
      <c r="G690" s="208" t="str">
        <f>match_results!C687</f>
        <v>ゾピクロン錠７．５ｍｇ「トーワ」</v>
      </c>
      <c r="H690" s="208">
        <f>match_results!D687</f>
        <v>160</v>
      </c>
      <c r="I690" s="218">
        <f>match_results!E687</f>
        <v>54.545454545454497</v>
      </c>
      <c r="J690" s="225"/>
      <c r="K690" s="15" t="str">
        <f ca="1">IF($J690="〇",OFFSET(集計!B$3,合体!$H690,0),"")</f>
        <v/>
      </c>
      <c r="L690" s="15" t="str">
        <f ca="1">IF($J690="〇",OFFSET(集計!C$3,合体!$H690,0),"")</f>
        <v/>
      </c>
      <c r="M690" s="202" t="str">
        <f ca="1">IF($J690="〇",OFFSET(集計!D$3,合体!$H690,0),"")</f>
        <v/>
      </c>
    </row>
    <row r="691" spans="2:13" x14ac:dyDescent="0.2">
      <c r="B691" s="201">
        <f t="shared" si="10"/>
        <v>687</v>
      </c>
      <c r="C691" s="15" t="str">
        <f>薬品マスタリスト_20260130100542!A689</f>
        <v>ヒューマリンＲ注１００単位／ｍＬ</v>
      </c>
      <c r="D691" s="15" t="str">
        <f>薬品マスタリスト_20260130100542!B689</f>
        <v>ﾋｭｰﾏﾘﾝRﾁｭｳ100ﾀﾝｲ/mL</v>
      </c>
      <c r="E691" s="15">
        <f>薬品マスタリスト_20260130100542!C689</f>
        <v>25</v>
      </c>
      <c r="F691" s="206" t="str">
        <f>薬品マスタリスト_20260130100542!D689</f>
        <v>注射剤</v>
      </c>
      <c r="G691" s="208" t="str">
        <f>match_results!C688</f>
        <v>ヒューマリンＲ注Ｕ１００単位／ｍｌ　１０ｍｌ</v>
      </c>
      <c r="H691" s="208">
        <f>match_results!D688</f>
        <v>282</v>
      </c>
      <c r="I691" s="218">
        <f>match_results!E688</f>
        <v>78.947368421052602</v>
      </c>
      <c r="J691" s="225"/>
      <c r="K691" s="15" t="str">
        <f ca="1">IF($J691="〇",OFFSET(集計!B$3,合体!$H691,0),"")</f>
        <v/>
      </c>
      <c r="L691" s="15" t="str">
        <f ca="1">IF($J691="〇",OFFSET(集計!C$3,合体!$H691,0),"")</f>
        <v/>
      </c>
      <c r="M691" s="202" t="str">
        <f ca="1">IF($J691="〇",OFFSET(集計!D$3,合体!$H691,0),"")</f>
        <v/>
      </c>
    </row>
    <row r="692" spans="2:13" x14ac:dyDescent="0.2">
      <c r="B692" s="201">
        <f t="shared" si="10"/>
        <v>688</v>
      </c>
      <c r="C692" s="15" t="str">
        <f>薬品マスタリスト_20260130100542!A690</f>
        <v>ヒューマリンＲ注ミリオペン</v>
      </c>
      <c r="D692" s="15" t="str">
        <f>薬品マスタリスト_20260130100542!B690</f>
        <v>ﾋｭｰﾏﾘﾝRﾁｭｳﾐﾘｵﾍﾟﾝ</v>
      </c>
      <c r="E692" s="15">
        <f>薬品マスタリスト_20260130100542!C690</f>
        <v>25</v>
      </c>
      <c r="F692" s="206" t="str">
        <f>薬品マスタリスト_20260130100542!D690</f>
        <v>注射剤</v>
      </c>
      <c r="G692" s="208" t="str">
        <f>match_results!C689</f>
        <v>ヒューマログミックス５０注ミリオペン３００単位</v>
      </c>
      <c r="H692" s="208">
        <f>match_results!D689</f>
        <v>151</v>
      </c>
      <c r="I692" s="218">
        <f>match_results!E689</f>
        <v>55.5555555555555</v>
      </c>
      <c r="J692" s="225"/>
      <c r="K692" s="15" t="str">
        <f ca="1">IF($J692="〇",OFFSET(集計!B$3,合体!$H692,0),"")</f>
        <v/>
      </c>
      <c r="L692" s="15" t="str">
        <f ca="1">IF($J692="〇",OFFSET(集計!C$3,合体!$H692,0),"")</f>
        <v/>
      </c>
      <c r="M692" s="202" t="str">
        <f ca="1">IF($J692="〇",OFFSET(集計!D$3,合体!$H692,0),"")</f>
        <v/>
      </c>
    </row>
    <row r="693" spans="2:13" x14ac:dyDescent="0.2">
      <c r="B693" s="201">
        <f t="shared" si="10"/>
        <v>689</v>
      </c>
      <c r="C693" s="15" t="str">
        <f>薬品マスタリスト_20260130100542!A691</f>
        <v>ヒューマログミックス２５注ミリオペン</v>
      </c>
      <c r="D693" s="15" t="str">
        <f>薬品マスタリスト_20260130100542!B691</f>
        <v>ﾋｭｰﾏﾛｸﾞﾐｯｸｽ25ﾁｭｳﾐﾘｵﾍﾟﾝ</v>
      </c>
      <c r="E693" s="15">
        <f>薬品マスタリスト_20260130100542!C691</f>
        <v>25</v>
      </c>
      <c r="F693" s="206" t="str">
        <f>薬品マスタリスト_20260130100542!D691</f>
        <v>注射剤</v>
      </c>
      <c r="G693" s="208" t="str">
        <f>match_results!C690</f>
        <v>ヒューマログミックス２５注ミリオペン３００単位</v>
      </c>
      <c r="H693" s="208">
        <f>match_results!D690</f>
        <v>515</v>
      </c>
      <c r="I693" s="218">
        <f>match_results!E690</f>
        <v>87.804878048780495</v>
      </c>
      <c r="J693" s="225"/>
      <c r="K693" s="15" t="str">
        <f ca="1">IF($J693="〇",OFFSET(集計!B$3,合体!$H693,0),"")</f>
        <v/>
      </c>
      <c r="L693" s="15" t="str">
        <f ca="1">IF($J693="〇",OFFSET(集計!C$3,合体!$H693,0),"")</f>
        <v/>
      </c>
      <c r="M693" s="202" t="str">
        <f ca="1">IF($J693="〇",OFFSET(集計!D$3,合体!$H693,0),"")</f>
        <v/>
      </c>
    </row>
    <row r="694" spans="2:13" x14ac:dyDescent="0.2">
      <c r="B694" s="201">
        <f t="shared" si="10"/>
        <v>690</v>
      </c>
      <c r="C694" s="15" t="str">
        <f>薬品マスタリスト_20260130100542!A692</f>
        <v>ヒューマログミックス５０注ミリオペン</v>
      </c>
      <c r="D694" s="15" t="str">
        <f>薬品マスタリスト_20260130100542!B692</f>
        <v>ﾋﾕ-ﾏﾛｸﾞﾐﾂｸｽ50ﾁﾕｳﾐﾘｵﾍﾟﾝ</v>
      </c>
      <c r="E694" s="15">
        <f>薬品マスタリスト_20260130100542!C692</f>
        <v>25</v>
      </c>
      <c r="F694" s="206" t="str">
        <f>薬品マスタリスト_20260130100542!D692</f>
        <v>注射剤</v>
      </c>
      <c r="G694" s="208" t="str">
        <f>match_results!C691</f>
        <v>ヒューマログミックス５０注ミリオペン３００単位</v>
      </c>
      <c r="H694" s="208">
        <f>match_results!D691</f>
        <v>151</v>
      </c>
      <c r="I694" s="218">
        <f>match_results!E691</f>
        <v>87.804878048780495</v>
      </c>
      <c r="J694" s="225"/>
      <c r="K694" s="15" t="str">
        <f ca="1">IF($J694="〇",OFFSET(集計!B$3,合体!$H694,0),"")</f>
        <v/>
      </c>
      <c r="L694" s="15" t="str">
        <f ca="1">IF($J694="〇",OFFSET(集計!C$3,合体!$H694,0),"")</f>
        <v/>
      </c>
      <c r="M694" s="202" t="str">
        <f ca="1">IF($J694="〇",OFFSET(集計!D$3,合体!$H694,0),"")</f>
        <v/>
      </c>
    </row>
    <row r="695" spans="2:13" x14ac:dyDescent="0.2">
      <c r="B695" s="201">
        <f t="shared" si="10"/>
        <v>691</v>
      </c>
      <c r="C695" s="15" t="str">
        <f>薬品マスタリスト_20260130100542!A693</f>
        <v>ビラノア錠２０ｍｇ</v>
      </c>
      <c r="D695" s="15" t="str">
        <f>薬品マスタリスト_20260130100542!B693</f>
        <v>ﾋﾞﾗﾉｱｼﾞｮｳ20mg</v>
      </c>
      <c r="E695" s="15">
        <f>薬品マスタリスト_20260130100542!C693</f>
        <v>1</v>
      </c>
      <c r="F695" s="206" t="str">
        <f>薬品マスタリスト_20260130100542!D693</f>
        <v>錠剤</v>
      </c>
      <c r="G695" s="208" t="str">
        <f>match_results!C692</f>
        <v>ノウリアスト錠２０ｍｇ</v>
      </c>
      <c r="H695" s="208">
        <f>match_results!D692</f>
        <v>621</v>
      </c>
      <c r="I695" s="218">
        <f>match_results!E692</f>
        <v>70</v>
      </c>
      <c r="J695" s="225"/>
      <c r="K695" s="15" t="str">
        <f ca="1">IF($J695="〇",OFFSET(集計!B$3,合体!$H695,0),"")</f>
        <v/>
      </c>
      <c r="L695" s="15" t="str">
        <f ca="1">IF($J695="〇",OFFSET(集計!C$3,合体!$H695,0),"")</f>
        <v/>
      </c>
      <c r="M695" s="202" t="str">
        <f ca="1">IF($J695="〇",OFFSET(集計!D$3,合体!$H695,0),"")</f>
        <v/>
      </c>
    </row>
    <row r="696" spans="2:13" x14ac:dyDescent="0.2">
      <c r="B696" s="201">
        <f t="shared" si="10"/>
        <v>692</v>
      </c>
      <c r="C696" s="15" t="str">
        <f>薬品マスタリスト_20260130100542!A694</f>
        <v>ビラノアＯＤ錠２０ｍｇ</v>
      </c>
      <c r="D696" s="15" t="str">
        <f>薬品マスタリスト_20260130100542!B694</f>
        <v>ﾋﾞﾗﾉｱODｼﾞﾖｳ20MG</v>
      </c>
      <c r="E696" s="15">
        <f>薬品マスタリスト_20260130100542!C694</f>
        <v>1</v>
      </c>
      <c r="F696" s="206" t="str">
        <f>薬品マスタリスト_20260130100542!D694</f>
        <v>錠剤</v>
      </c>
      <c r="G696" s="208" t="str">
        <f>match_results!C693</f>
        <v>ビラノアＯＤ錠</v>
      </c>
      <c r="H696" s="208">
        <f>match_results!D693</f>
        <v>532</v>
      </c>
      <c r="I696" s="218">
        <f>match_results!E693</f>
        <v>77.7777777777777</v>
      </c>
      <c r="J696" s="225"/>
      <c r="K696" s="15" t="str">
        <f ca="1">IF($J696="〇",OFFSET(集計!B$3,合体!$H696,0),"")</f>
        <v/>
      </c>
      <c r="L696" s="15" t="str">
        <f ca="1">IF($J696="〇",OFFSET(集計!C$3,合体!$H696,0),"")</f>
        <v/>
      </c>
      <c r="M696" s="202" t="str">
        <f ca="1">IF($J696="〇",OFFSET(集計!D$3,合体!$H696,0),"")</f>
        <v/>
      </c>
    </row>
    <row r="697" spans="2:13" x14ac:dyDescent="0.2">
      <c r="B697" s="201">
        <f t="shared" si="10"/>
        <v>693</v>
      </c>
      <c r="C697" s="15" t="str">
        <f>薬品マスタリスト_20260130100542!A695</f>
        <v>ピラマイド原末</v>
      </c>
      <c r="D697" s="15" t="str">
        <f>薬品マスタリスト_20260130100542!B695</f>
        <v>ﾋﾟﾗﾏｲﾄﾞｹﾞﾝﾏﾂ</v>
      </c>
      <c r="E697" s="15">
        <f>薬品マスタリスト_20260130100542!C695</f>
        <v>3</v>
      </c>
      <c r="F697" s="206" t="str">
        <f>薬品マスタリスト_20260130100542!D695</f>
        <v>散</v>
      </c>
      <c r="G697" s="208" t="str">
        <f>match_results!C694</f>
        <v>ビブラマイシン錠５０ｍｇ</v>
      </c>
      <c r="H697" s="208">
        <f>match_results!D694</f>
        <v>111</v>
      </c>
      <c r="I697" s="218">
        <f>match_results!E694</f>
        <v>31.578947368421002</v>
      </c>
      <c r="J697" s="225"/>
      <c r="K697" s="15" t="str">
        <f ca="1">IF($J697="〇",OFFSET(集計!B$3,合体!$H697,0),"")</f>
        <v/>
      </c>
      <c r="L697" s="15" t="str">
        <f ca="1">IF($J697="〇",OFFSET(集計!C$3,合体!$H697,0),"")</f>
        <v/>
      </c>
      <c r="M697" s="202" t="str">
        <f ca="1">IF($J697="〇",OFFSET(集計!D$3,合体!$H697,0),"")</f>
        <v/>
      </c>
    </row>
    <row r="698" spans="2:13" x14ac:dyDescent="0.2">
      <c r="B698" s="201">
        <f t="shared" si="10"/>
        <v>694</v>
      </c>
      <c r="C698" s="15" t="str">
        <f>薬品マスタリスト_20260130100542!A696</f>
        <v>ピルシカイニド塩酸塩カプセル５０ｍｇ「日医工」</v>
      </c>
      <c r="D698" s="15" t="str">
        <f>薬品マスタリスト_20260130100542!B696</f>
        <v>ﾋﾟﾙｼｶｲﾆﾄﾞｴﾝｻﾝｴﾝｶﾌﾟｾﾙ50mg｢ﾆﾁｲｺｳ｣</v>
      </c>
      <c r="E698" s="15">
        <f>薬品マスタリスト_20260130100542!C696</f>
        <v>2</v>
      </c>
      <c r="F698" s="206" t="str">
        <f>薬品マスタリスト_20260130100542!D696</f>
        <v>カプセル</v>
      </c>
      <c r="G698" s="208" t="str">
        <f>match_results!C695</f>
        <v>メキシチール塩酸塩カプセル５０</v>
      </c>
      <c r="H698" s="208">
        <f>match_results!D695</f>
        <v>246</v>
      </c>
      <c r="I698" s="218">
        <f>match_results!E695</f>
        <v>52.631578947368403</v>
      </c>
      <c r="J698" s="225"/>
      <c r="K698" s="15" t="str">
        <f ca="1">IF($J698="〇",OFFSET(集計!B$3,合体!$H698,0),"")</f>
        <v/>
      </c>
      <c r="L698" s="15" t="str">
        <f ca="1">IF($J698="〇",OFFSET(集計!C$3,合体!$H698,0),"")</f>
        <v/>
      </c>
      <c r="M698" s="202" t="str">
        <f ca="1">IF($J698="〇",OFFSET(集計!D$3,合体!$H698,0),"")</f>
        <v/>
      </c>
    </row>
    <row r="699" spans="2:13" x14ac:dyDescent="0.2">
      <c r="B699" s="201">
        <f t="shared" si="10"/>
        <v>695</v>
      </c>
      <c r="C699" s="15" t="str">
        <f>薬品マスタリスト_20260130100542!A697</f>
        <v>ヒルドイドソフト軟膏０．３％</v>
      </c>
      <c r="D699" s="15" t="str">
        <f>薬品マスタリスト_20260130100542!B697</f>
        <v>ﾋﾙﾄﾞｲﾄﾞｿﾌﾄﾅﾝｺｳ0.3%</v>
      </c>
      <c r="E699" s="15">
        <f>薬品マスタリスト_20260130100542!C697</f>
        <v>14</v>
      </c>
      <c r="F699" s="206" t="str">
        <f>薬品マスタリスト_20260130100542!D697</f>
        <v>軟膏</v>
      </c>
      <c r="G699" s="208" t="str">
        <f>match_results!C696</f>
        <v>ロコイド軟膏０．１％</v>
      </c>
      <c r="H699" s="208">
        <f>match_results!D696</f>
        <v>172</v>
      </c>
      <c r="I699" s="218">
        <f>match_results!E696</f>
        <v>58.3333333333333</v>
      </c>
      <c r="J699" s="225"/>
      <c r="K699" s="15" t="str">
        <f ca="1">IF($J699="〇",OFFSET(集計!B$3,合体!$H699,0),"")</f>
        <v/>
      </c>
      <c r="L699" s="15" t="str">
        <f ca="1">IF($J699="〇",OFFSET(集計!C$3,合体!$H699,0),"")</f>
        <v/>
      </c>
      <c r="M699" s="202" t="str">
        <f ca="1">IF($J699="〇",OFFSET(集計!D$3,合体!$H699,0),"")</f>
        <v/>
      </c>
    </row>
    <row r="700" spans="2:13" x14ac:dyDescent="0.2">
      <c r="B700" s="201">
        <f t="shared" si="10"/>
        <v>696</v>
      </c>
      <c r="C700" s="15" t="str">
        <f>薬品マスタリスト_20260130100542!A698</f>
        <v>ヒルナミン錠（５ｍｇ）</v>
      </c>
      <c r="D700" s="15" t="str">
        <f>薬品マスタリスト_20260130100542!B698</f>
        <v>ﾋﾙﾅﾐﾝｼﾞﾖｳ5MG</v>
      </c>
      <c r="E700" s="15">
        <f>薬品マスタリスト_20260130100542!C698</f>
        <v>1</v>
      </c>
      <c r="F700" s="206" t="str">
        <f>薬品マスタリスト_20260130100542!D698</f>
        <v>錠剤</v>
      </c>
      <c r="G700" s="208" t="str">
        <f>match_results!C697</f>
        <v>ヒルナミン錠５ｍｇ</v>
      </c>
      <c r="H700" s="208">
        <f>match_results!D697</f>
        <v>449</v>
      </c>
      <c r="I700" s="218">
        <f>match_results!E697</f>
        <v>90</v>
      </c>
      <c r="J700" s="225"/>
      <c r="K700" s="15" t="str">
        <f ca="1">IF($J700="〇",OFFSET(集計!B$3,合体!$H700,0),"")</f>
        <v/>
      </c>
      <c r="L700" s="15" t="str">
        <f ca="1">IF($J700="〇",OFFSET(集計!C$3,合体!$H700,0),"")</f>
        <v/>
      </c>
      <c r="M700" s="202" t="str">
        <f ca="1">IF($J700="〇",OFFSET(集計!D$3,合体!$H700,0),"")</f>
        <v/>
      </c>
    </row>
    <row r="701" spans="2:13" x14ac:dyDescent="0.2">
      <c r="B701" s="201">
        <f t="shared" si="10"/>
        <v>697</v>
      </c>
      <c r="C701" s="15" t="str">
        <f>薬品マスタリスト_20260130100542!A699</f>
        <v>ヒルナミン錠（２５ｍｇ）</v>
      </c>
      <c r="D701" s="15" t="str">
        <f>薬品マスタリスト_20260130100542!B699</f>
        <v>ﾋﾙﾅﾐﾝｼﾞﾖｳ25MG</v>
      </c>
      <c r="E701" s="15">
        <f>薬品マスタリスト_20260130100542!C699</f>
        <v>1</v>
      </c>
      <c r="F701" s="206" t="str">
        <f>薬品マスタリスト_20260130100542!D699</f>
        <v>錠剤</v>
      </c>
      <c r="G701" s="208" t="str">
        <f>match_results!C698</f>
        <v>ヒルナミン錠２５ｍｇ</v>
      </c>
      <c r="H701" s="208">
        <f>match_results!D698</f>
        <v>423</v>
      </c>
      <c r="I701" s="218">
        <f>match_results!E698</f>
        <v>90.909090909090907</v>
      </c>
      <c r="J701" s="225"/>
      <c r="K701" s="15" t="str">
        <f ca="1">IF($J701="〇",OFFSET(集計!B$3,合体!$H701,0),"")</f>
        <v/>
      </c>
      <c r="L701" s="15" t="str">
        <f ca="1">IF($J701="〇",OFFSET(集計!C$3,合体!$H701,0),"")</f>
        <v/>
      </c>
      <c r="M701" s="202" t="str">
        <f ca="1">IF($J701="〇",OFFSET(集計!D$3,合体!$H701,0),"")</f>
        <v/>
      </c>
    </row>
    <row r="702" spans="2:13" x14ac:dyDescent="0.2">
      <c r="B702" s="201">
        <f t="shared" si="10"/>
        <v>698</v>
      </c>
      <c r="C702" s="15" t="str">
        <f>薬品マスタリスト_20260130100542!A700</f>
        <v>ヒルナミン錠（５０ｍｇ）</v>
      </c>
      <c r="D702" s="15" t="str">
        <f>薬品マスタリスト_20260130100542!B700</f>
        <v>ﾋﾙﾅﾐﾝｼﾞﾖｳ50MG</v>
      </c>
      <c r="E702" s="15">
        <f>薬品マスタリスト_20260130100542!C700</f>
        <v>1</v>
      </c>
      <c r="F702" s="206" t="str">
        <f>薬品マスタリスト_20260130100542!D700</f>
        <v>錠剤</v>
      </c>
      <c r="G702" s="208" t="str">
        <f>match_results!C699</f>
        <v>ヒルナミン錠５０ｍｇ</v>
      </c>
      <c r="H702" s="208">
        <f>match_results!D699</f>
        <v>261</v>
      </c>
      <c r="I702" s="218">
        <f>match_results!E699</f>
        <v>90.909090909090907</v>
      </c>
      <c r="J702" s="225"/>
      <c r="K702" s="15" t="str">
        <f ca="1">IF($J702="〇",OFFSET(集計!B$3,合体!$H702,0),"")</f>
        <v/>
      </c>
      <c r="L702" s="15" t="str">
        <f ca="1">IF($J702="〇",OFFSET(集計!C$3,合体!$H702,0),"")</f>
        <v/>
      </c>
      <c r="M702" s="202" t="str">
        <f ca="1">IF($J702="〇",OFFSET(集計!D$3,合体!$H702,0),"")</f>
        <v/>
      </c>
    </row>
    <row r="703" spans="2:13" x14ac:dyDescent="0.2">
      <c r="B703" s="201">
        <f t="shared" si="10"/>
        <v>699</v>
      </c>
      <c r="C703" s="15" t="str">
        <f>薬品マスタリスト_20260130100542!A701</f>
        <v>ヒルナミン細粒１０％</v>
      </c>
      <c r="D703" s="15" t="str">
        <f>薬品マスタリスト_20260130100542!B701</f>
        <v>ﾋﾙﾅﾐﾝｻｲﾘﾕｳ10%</v>
      </c>
      <c r="E703" s="15">
        <f>薬品マスタリスト_20260130100542!C701</f>
        <v>4</v>
      </c>
      <c r="F703" s="206" t="str">
        <f>薬品マスタリスト_20260130100542!D701</f>
        <v>細粒</v>
      </c>
      <c r="G703" s="208" t="str">
        <f>match_results!C700</f>
        <v>ウインタミン細粒（１０％）　</v>
      </c>
      <c r="H703" s="208">
        <f>match_results!D700</f>
        <v>27</v>
      </c>
      <c r="I703" s="218">
        <f>match_results!E700</f>
        <v>60.869565217391298</v>
      </c>
      <c r="J703" s="225"/>
      <c r="K703" s="15" t="str">
        <f ca="1">IF($J703="〇",OFFSET(集計!B$3,合体!$H703,0),"")</f>
        <v/>
      </c>
      <c r="L703" s="15" t="str">
        <f ca="1">IF($J703="〇",OFFSET(集計!C$3,合体!$H703,0),"")</f>
        <v/>
      </c>
      <c r="M703" s="202" t="str">
        <f ca="1">IF($J703="〇",OFFSET(集計!D$3,合体!$H703,0),"")</f>
        <v/>
      </c>
    </row>
    <row r="704" spans="2:13" x14ac:dyDescent="0.2">
      <c r="B704" s="201">
        <f t="shared" si="10"/>
        <v>700</v>
      </c>
      <c r="C704" s="15" t="str">
        <f>薬品マスタリスト_20260130100542!A702</f>
        <v>ピレノキシン懸濁性点眼液０．００５％「参天」</v>
      </c>
      <c r="D704" s="15" t="str">
        <f>薬品マスタリスト_20260130100542!B702</f>
        <v>ﾋﾟﾚﾉｷｼﾝｹﾝﾀﾞｸｾｲﾃﾝｶﾞﾝｴｷ0.005%｢ｻﾝﾃﾝ｣</v>
      </c>
      <c r="E704" s="15">
        <f>薬品マスタリスト_20260130100542!C702</f>
        <v>21</v>
      </c>
      <c r="F704" s="206" t="str">
        <f>薬品マスタリスト_20260130100542!D702</f>
        <v>点眼剤</v>
      </c>
      <c r="G704" s="208" t="str">
        <f>match_results!C701</f>
        <v>ピレノキシン懸濁点滴０．００５％</v>
      </c>
      <c r="H704" s="208">
        <f>match_results!D701</f>
        <v>47</v>
      </c>
      <c r="I704" s="218">
        <f>match_results!E701</f>
        <v>78.947368421052602</v>
      </c>
      <c r="J704" s="225"/>
      <c r="K704" s="15" t="str">
        <f ca="1">IF($J704="〇",OFFSET(集計!B$3,合体!$H704,0),"")</f>
        <v/>
      </c>
      <c r="L704" s="15" t="str">
        <f ca="1">IF($J704="〇",OFFSET(集計!C$3,合体!$H704,0),"")</f>
        <v/>
      </c>
      <c r="M704" s="202" t="str">
        <f ca="1">IF($J704="〇",OFFSET(集計!D$3,合体!$H704,0),"")</f>
        <v/>
      </c>
    </row>
    <row r="705" spans="2:13" x14ac:dyDescent="0.2">
      <c r="B705" s="201">
        <f t="shared" si="10"/>
        <v>701</v>
      </c>
      <c r="C705" s="15" t="str">
        <f>薬品マスタリスト_20260130100542!A703</f>
        <v>ファモチジンＤ錠２０ｍｇ「サワイ」</v>
      </c>
      <c r="D705" s="15" t="str">
        <f>薬品マスタリスト_20260130100542!B703</f>
        <v>ﾌｧﾓﾁｼﾞﾝDｼﾞｮｳ20mg｢ｻﾜｲ｣</v>
      </c>
      <c r="E705" s="15">
        <f>薬品マスタリスト_20260130100542!C703</f>
        <v>1</v>
      </c>
      <c r="F705" s="206" t="str">
        <f>薬品マスタリスト_20260130100542!D703</f>
        <v>錠剤</v>
      </c>
      <c r="G705" s="208" t="str">
        <f>match_results!C702</f>
        <v>ファモチジンＤ錠２０㎎</v>
      </c>
      <c r="H705" s="208">
        <f>match_results!D702</f>
        <v>453</v>
      </c>
      <c r="I705" s="218">
        <f>match_results!E702</f>
        <v>71.428571428571402</v>
      </c>
      <c r="J705" s="225"/>
      <c r="K705" s="15" t="str">
        <f ca="1">IF($J705="〇",OFFSET(集計!B$3,合体!$H705,0),"")</f>
        <v/>
      </c>
      <c r="L705" s="15" t="str">
        <f ca="1">IF($J705="〇",OFFSET(集計!C$3,合体!$H705,0),"")</f>
        <v/>
      </c>
      <c r="M705" s="202" t="str">
        <f ca="1">IF($J705="〇",OFFSET(集計!D$3,合体!$H705,0),"")</f>
        <v/>
      </c>
    </row>
    <row r="706" spans="2:13" x14ac:dyDescent="0.2">
      <c r="B706" s="201">
        <f t="shared" si="10"/>
        <v>702</v>
      </c>
      <c r="C706" s="15" t="str">
        <f>薬品マスタリスト_20260130100542!A704</f>
        <v>ファモチジン散１０％「サワイ」</v>
      </c>
      <c r="D706" s="15" t="str">
        <f>薬品マスタリスト_20260130100542!B704</f>
        <v>ﾌｧﾓﾁｼﾞﾝｻﾝ10%｢ｻﾜｲ｣</v>
      </c>
      <c r="E706" s="15">
        <f>薬品マスタリスト_20260130100542!C704</f>
        <v>3</v>
      </c>
      <c r="F706" s="206" t="str">
        <f>薬品マスタリスト_20260130100542!D704</f>
        <v>散</v>
      </c>
      <c r="G706" s="208" t="str">
        <f>match_results!C703</f>
        <v>ファモチジン散１０％　　　　　　　　　　　</v>
      </c>
      <c r="H706" s="208">
        <f>match_results!D703</f>
        <v>336</v>
      </c>
      <c r="I706" s="218">
        <f>match_results!E703</f>
        <v>80</v>
      </c>
      <c r="J706" s="225"/>
      <c r="K706" s="15" t="str">
        <f ca="1">IF($J706="〇",OFFSET(集計!B$3,合体!$H706,0),"")</f>
        <v/>
      </c>
      <c r="L706" s="15" t="str">
        <f ca="1">IF($J706="〇",OFFSET(集計!C$3,合体!$H706,0),"")</f>
        <v/>
      </c>
      <c r="M706" s="202" t="str">
        <f ca="1">IF($J706="〇",OFFSET(集計!D$3,合体!$H706,0),"")</f>
        <v/>
      </c>
    </row>
    <row r="707" spans="2:13" x14ac:dyDescent="0.2">
      <c r="B707" s="201">
        <f t="shared" si="10"/>
        <v>703</v>
      </c>
      <c r="C707" s="15" t="str">
        <f>薬品マスタリスト_20260130100542!A705</f>
        <v>ファモチジン注射用２０ｍｇ「オーハラ」</v>
      </c>
      <c r="D707" s="15" t="str">
        <f>薬品マスタリスト_20260130100542!B705</f>
        <v>ﾌｧﾓﾁｼﾞﾝﾁｭｳｼｬﾖｳ20mg｢ｵｰﾊﾗ｣</v>
      </c>
      <c r="E707" s="15">
        <f>薬品マスタリスト_20260130100542!C705</f>
        <v>25</v>
      </c>
      <c r="F707" s="206" t="str">
        <f>薬品マスタリスト_20260130100542!D705</f>
        <v>注射剤</v>
      </c>
      <c r="G707" s="208" t="str">
        <f>match_results!C704</f>
        <v>ファモチジン注射用２０㎎　　　　　　　　　　　１０Ａ</v>
      </c>
      <c r="H707" s="208">
        <f>match_results!D704</f>
        <v>131</v>
      </c>
      <c r="I707" s="218">
        <f>match_results!E704</f>
        <v>62.857142857142797</v>
      </c>
      <c r="J707" s="225"/>
      <c r="K707" s="15" t="str">
        <f ca="1">IF($J707="〇",OFFSET(集計!B$3,合体!$H707,0),"")</f>
        <v/>
      </c>
      <c r="L707" s="15" t="str">
        <f ca="1">IF($J707="〇",OFFSET(集計!C$3,合体!$H707,0),"")</f>
        <v/>
      </c>
      <c r="M707" s="202" t="str">
        <f ca="1">IF($J707="〇",OFFSET(集計!D$3,合体!$H707,0),"")</f>
        <v/>
      </c>
    </row>
    <row r="708" spans="2:13" x14ac:dyDescent="0.2">
      <c r="B708" s="201">
        <f t="shared" si="10"/>
        <v>704</v>
      </c>
      <c r="C708" s="15" t="str">
        <f>薬品マスタリスト_20260130100542!A706</f>
        <v>ファモチジン静注液２０ｍｇ「サワイ」</v>
      </c>
      <c r="D708" s="15" t="str">
        <f>薬品マスタリスト_20260130100542!B706</f>
        <v>ﾌｱﾓﾁｼﾞﾝｼﾞﾖｳﾁﾕｳｴｷ20MGｻﾜｲ</v>
      </c>
      <c r="E708" s="15">
        <f>薬品マスタリスト_20260130100542!C706</f>
        <v>25</v>
      </c>
      <c r="F708" s="206" t="str">
        <f>薬品マスタリスト_20260130100542!D706</f>
        <v>注射剤</v>
      </c>
      <c r="G708" s="208" t="str">
        <f>match_results!C705</f>
        <v>アトモキセチンカプセル１０ｍｇ「サワイ」</v>
      </c>
      <c r="H708" s="208">
        <f>match_results!D705</f>
        <v>630</v>
      </c>
      <c r="I708" s="218">
        <f>match_results!E705</f>
        <v>57.894736842105203</v>
      </c>
      <c r="J708" s="225"/>
      <c r="K708" s="15" t="str">
        <f ca="1">IF($J708="〇",OFFSET(集計!B$3,合体!$H708,0),"")</f>
        <v/>
      </c>
      <c r="L708" s="15" t="str">
        <f ca="1">IF($J708="〇",OFFSET(集計!C$3,合体!$H708,0),"")</f>
        <v/>
      </c>
      <c r="M708" s="202" t="str">
        <f ca="1">IF($J708="〇",OFFSET(集計!D$3,合体!$H708,0),"")</f>
        <v/>
      </c>
    </row>
    <row r="709" spans="2:13" x14ac:dyDescent="0.2">
      <c r="B709" s="201">
        <f t="shared" si="10"/>
        <v>705</v>
      </c>
      <c r="C709" s="15" t="str">
        <f>薬品マスタリスト_20260130100542!A707</f>
        <v>ファロム錠２００ｍｇ</v>
      </c>
      <c r="D709" s="15" t="str">
        <f>薬品マスタリスト_20260130100542!B707</f>
        <v>ﾌｧﾛﾑｼﾞｮｳ200mg</v>
      </c>
      <c r="E709" s="15">
        <f>薬品マスタリスト_20260130100542!C707</f>
        <v>1</v>
      </c>
      <c r="F709" s="206" t="str">
        <f>薬品マスタリスト_20260130100542!D707</f>
        <v>錠剤</v>
      </c>
      <c r="G709" s="208" t="str">
        <f>match_results!C706</f>
        <v>ファロム錠２００ＭＧ</v>
      </c>
      <c r="H709" s="208">
        <f>match_results!D706</f>
        <v>490</v>
      </c>
      <c r="I709" s="218">
        <f>match_results!E706</f>
        <v>80</v>
      </c>
      <c r="J709" s="225"/>
      <c r="K709" s="15" t="str">
        <f ca="1">IF($J709="〇",OFFSET(集計!B$3,合体!$H709,0),"")</f>
        <v/>
      </c>
      <c r="L709" s="15" t="str">
        <f ca="1">IF($J709="〇",OFFSET(集計!C$3,合体!$H709,0),"")</f>
        <v/>
      </c>
      <c r="M709" s="202" t="str">
        <f ca="1">IF($J709="〇",OFFSET(集計!D$3,合体!$H709,0),"")</f>
        <v/>
      </c>
    </row>
    <row r="710" spans="2:13" x14ac:dyDescent="0.2">
      <c r="B710" s="201">
        <f t="shared" si="10"/>
        <v>706</v>
      </c>
      <c r="C710" s="15" t="str">
        <f>薬品マスタリスト_20260130100542!A708</f>
        <v>ファンギゾンシロップ１００ｍｇ／ｍＬ</v>
      </c>
      <c r="D710" s="15" t="str">
        <f>薬品マスタリスト_20260130100542!B708</f>
        <v>ﾌｧﾝｷﾞｿﾞﾝｼﾛｯﾌﾟ100mg/mL</v>
      </c>
      <c r="E710" s="15">
        <f>薬品マスタリスト_20260130100542!C708</f>
        <v>6</v>
      </c>
      <c r="F710" s="206" t="str">
        <f>薬品マスタリスト_20260130100542!D708</f>
        <v>シロップ</v>
      </c>
      <c r="G710" s="208" t="str">
        <f>match_results!C707</f>
        <v>ファンギゾン　シロップ１００ｍｇ／ＭＬ</v>
      </c>
      <c r="H710" s="208">
        <f>match_results!D707</f>
        <v>14</v>
      </c>
      <c r="I710" s="218">
        <f>match_results!E707</f>
        <v>59.459459459459403</v>
      </c>
      <c r="J710" s="225"/>
      <c r="K710" s="15" t="str">
        <f ca="1">IF($J710="〇",OFFSET(集計!B$3,合体!$H710,0),"")</f>
        <v/>
      </c>
      <c r="L710" s="15" t="str">
        <f ca="1">IF($J710="〇",OFFSET(集計!C$3,合体!$H710,0),"")</f>
        <v/>
      </c>
      <c r="M710" s="202" t="str">
        <f ca="1">IF($J710="〇",OFFSET(集計!D$3,合体!$H710,0),"")</f>
        <v/>
      </c>
    </row>
    <row r="711" spans="2:13" x14ac:dyDescent="0.2">
      <c r="B711" s="201">
        <f t="shared" ref="B711:B774" si="11">B710+1</f>
        <v>707</v>
      </c>
      <c r="C711" s="15" t="str">
        <f>薬品マスタリスト_20260130100542!A709</f>
        <v>フィコンパ錠２ｍｇ</v>
      </c>
      <c r="D711" s="15" t="str">
        <f>薬品マスタリスト_20260130100542!B709</f>
        <v>ﾌｨｺﾝﾊﾟｼﾞｮｳ2mg</v>
      </c>
      <c r="E711" s="15">
        <f>薬品マスタリスト_20260130100542!C709</f>
        <v>1</v>
      </c>
      <c r="F711" s="206" t="str">
        <f>薬品マスタリスト_20260130100542!D709</f>
        <v>錠剤</v>
      </c>
      <c r="G711" s="208" t="str">
        <f>match_results!C708</f>
        <v>フィコンパ錠</v>
      </c>
      <c r="H711" s="208">
        <f>match_results!D708</f>
        <v>624</v>
      </c>
      <c r="I711" s="218">
        <f>match_results!E708</f>
        <v>80</v>
      </c>
      <c r="J711" s="225"/>
      <c r="K711" s="15" t="str">
        <f ca="1">IF($J711="〇",OFFSET(集計!B$3,合体!$H711,0),"")</f>
        <v/>
      </c>
      <c r="L711" s="15" t="str">
        <f ca="1">IF($J711="〇",OFFSET(集計!C$3,合体!$H711,0),"")</f>
        <v/>
      </c>
      <c r="M711" s="202" t="str">
        <f ca="1">IF($J711="〇",OFFSET(集計!D$3,合体!$H711,0),"")</f>
        <v/>
      </c>
    </row>
    <row r="712" spans="2:13" x14ac:dyDescent="0.2">
      <c r="B712" s="201">
        <f t="shared" si="11"/>
        <v>708</v>
      </c>
      <c r="C712" s="15" t="str">
        <f>薬品マスタリスト_20260130100542!A710</f>
        <v>フィブラストスプレー５００</v>
      </c>
      <c r="D712" s="15" t="str">
        <f>薬品マスタリスト_20260130100542!B710</f>
        <v>ﾌｨﾌﾞﾗｽﾄｽﾌﾟﾚｰ500</v>
      </c>
      <c r="E712" s="15">
        <f>薬品マスタリスト_20260130100542!C710</f>
        <v>18</v>
      </c>
      <c r="F712" s="206" t="str">
        <f>薬品マスタリスト_20260130100542!D710</f>
        <v>噴霧剤</v>
      </c>
      <c r="G712" s="208" t="str">
        <f>match_results!C709</f>
        <v>ベザフィブラートＳＲ錠２００ｍｇ</v>
      </c>
      <c r="H712" s="208">
        <f>match_results!D709</f>
        <v>328</v>
      </c>
      <c r="I712" s="218">
        <f>match_results!E709</f>
        <v>48.275862068965502</v>
      </c>
      <c r="J712" s="225"/>
      <c r="K712" s="15" t="str">
        <f ca="1">IF($J712="〇",OFFSET(集計!B$3,合体!$H712,0),"")</f>
        <v/>
      </c>
      <c r="L712" s="15" t="str">
        <f ca="1">IF($J712="〇",OFFSET(集計!C$3,合体!$H712,0),"")</f>
        <v/>
      </c>
      <c r="M712" s="202" t="str">
        <f ca="1">IF($J712="〇",OFFSET(集計!D$3,合体!$H712,0),"")</f>
        <v/>
      </c>
    </row>
    <row r="713" spans="2:13" x14ac:dyDescent="0.2">
      <c r="B713" s="201">
        <f t="shared" si="11"/>
        <v>709</v>
      </c>
      <c r="C713" s="15" t="str">
        <f>薬品マスタリスト_20260130100542!A711</f>
        <v>フェジン静注４０ｍｇ</v>
      </c>
      <c r="D713" s="15" t="str">
        <f>薬品マスタリスト_20260130100542!B711</f>
        <v>ﾌｪｼﾞﾝｼﾞｮｳﾁｭｳ40mg</v>
      </c>
      <c r="E713" s="15">
        <f>薬品マスタリスト_20260130100542!C711</f>
        <v>25</v>
      </c>
      <c r="F713" s="206" t="str">
        <f>薬品マスタリスト_20260130100542!D711</f>
        <v>注射剤</v>
      </c>
      <c r="G713" s="208" t="str">
        <f>match_results!C710</f>
        <v>フェジン静注４０ｍｇ</v>
      </c>
      <c r="H713" s="208">
        <f>match_results!D710</f>
        <v>117</v>
      </c>
      <c r="I713" s="218">
        <f>match_results!E710</f>
        <v>100</v>
      </c>
      <c r="J713" s="225" t="s">
        <v>3917</v>
      </c>
      <c r="K713" s="15">
        <f ca="1">IF($J713="〇",OFFSET(集計!B$3,合体!$H713,0),"")</f>
        <v>115.3</v>
      </c>
      <c r="L713" s="15">
        <f ca="1">IF($J713="〇",OFFSET(集計!C$3,合体!$H713,0),"")</f>
        <v>14</v>
      </c>
      <c r="M713" s="202">
        <f ca="1">IF($J713="〇",OFFSET(集計!D$3,合体!$H713,0),"")</f>
        <v>1614.2</v>
      </c>
    </row>
    <row r="714" spans="2:13" x14ac:dyDescent="0.2">
      <c r="B714" s="201">
        <f t="shared" si="11"/>
        <v>710</v>
      </c>
      <c r="C714" s="15" t="str">
        <f>薬品マスタリスト_20260130100542!A712</f>
        <v>フェノバルビタール散１０％「ホエイ」</v>
      </c>
      <c r="D714" s="15" t="str">
        <f>薬品マスタリスト_20260130100542!B712</f>
        <v>ﾌｪﾉﾊﾞﾙﾋﾞﾀｰﾙｻﾝ10%｢ﾎｴｲ｣</v>
      </c>
      <c r="E714" s="15">
        <f>薬品マスタリスト_20260130100542!C712</f>
        <v>3</v>
      </c>
      <c r="F714" s="206" t="str">
        <f>薬品マスタリスト_20260130100542!D712</f>
        <v>散</v>
      </c>
      <c r="G714" s="208" t="str">
        <f>match_results!C711</f>
        <v>フェノバルビタール散１０％「ホエイ」　</v>
      </c>
      <c r="H714" s="208">
        <f>match_results!D711</f>
        <v>187</v>
      </c>
      <c r="I714" s="218">
        <f>match_results!E711</f>
        <v>100</v>
      </c>
      <c r="J714" s="225" t="s">
        <v>3917</v>
      </c>
      <c r="K714" s="15">
        <f ca="1">IF($J714="〇",OFFSET(集計!B$3,合体!$H714,0),"")</f>
        <v>6.5</v>
      </c>
      <c r="L714" s="15">
        <f ca="1">IF($J714="〇",OFFSET(集計!C$3,合体!$H714,0),"")</f>
        <v>400</v>
      </c>
      <c r="M714" s="202">
        <f ca="1">IF($J714="〇",OFFSET(集計!D$3,合体!$H714,0),"")</f>
        <v>2600</v>
      </c>
    </row>
    <row r="715" spans="2:13" x14ac:dyDescent="0.2">
      <c r="B715" s="201">
        <f t="shared" si="11"/>
        <v>711</v>
      </c>
      <c r="C715" s="15" t="str">
        <f>薬品マスタリスト_20260130100542!A713</f>
        <v>フェノバール錠３０ｍｇ</v>
      </c>
      <c r="D715" s="15" t="str">
        <f>薬品マスタリスト_20260130100542!B713</f>
        <v>ﾌｪﾉﾊﾞｰﾙｼﾞｮｳ30mg</v>
      </c>
      <c r="E715" s="15">
        <f>薬品マスタリスト_20260130100542!C713</f>
        <v>1</v>
      </c>
      <c r="F715" s="206" t="str">
        <f>薬品マスタリスト_20260130100542!D713</f>
        <v>錠剤</v>
      </c>
      <c r="G715" s="208" t="str">
        <f>match_results!C712</f>
        <v>フェノーバール錠</v>
      </c>
      <c r="H715" s="208">
        <f>match_results!D712</f>
        <v>179</v>
      </c>
      <c r="I715" s="218">
        <f>match_results!E712</f>
        <v>73.684210526315795</v>
      </c>
      <c r="J715" s="225"/>
      <c r="K715" s="15" t="str">
        <f ca="1">IF($J715="〇",OFFSET(集計!B$3,合体!$H715,0),"")</f>
        <v/>
      </c>
      <c r="L715" s="15" t="str">
        <f ca="1">IF($J715="〇",OFFSET(集計!C$3,合体!$H715,0),"")</f>
        <v/>
      </c>
      <c r="M715" s="202" t="str">
        <f ca="1">IF($J715="〇",OFFSET(集計!D$3,合体!$H715,0),"")</f>
        <v/>
      </c>
    </row>
    <row r="716" spans="2:13" x14ac:dyDescent="0.2">
      <c r="B716" s="201">
        <f t="shared" si="11"/>
        <v>712</v>
      </c>
      <c r="C716" s="15" t="str">
        <f>薬品マスタリスト_20260130100542!A714</f>
        <v>フェノバール注射液１００ｍｇ</v>
      </c>
      <c r="D716" s="15" t="str">
        <f>薬品マスタリスト_20260130100542!B714</f>
        <v>ﾌｪﾉﾊﾞｰﾙﾁｭｳｼｬｴｷ100mg</v>
      </c>
      <c r="E716" s="15">
        <f>薬品マスタリスト_20260130100542!C714</f>
        <v>25</v>
      </c>
      <c r="F716" s="206" t="str">
        <f>薬品マスタリスト_20260130100542!D714</f>
        <v>注射剤</v>
      </c>
      <c r="G716" s="208" t="str">
        <f>match_results!C713</f>
        <v>フェノバール注射液１００ｍｇ　１ｍＬＸ１０管</v>
      </c>
      <c r="H716" s="208">
        <f>match_results!D713</f>
        <v>67</v>
      </c>
      <c r="I716" s="218">
        <f>match_results!E713</f>
        <v>77.7777777777777</v>
      </c>
      <c r="J716" s="225"/>
      <c r="K716" s="15" t="str">
        <f ca="1">IF($J716="〇",OFFSET(集計!B$3,合体!$H716,0),"")</f>
        <v/>
      </c>
      <c r="L716" s="15" t="str">
        <f ca="1">IF($J716="〇",OFFSET(集計!C$3,合体!$H716,0),"")</f>
        <v/>
      </c>
      <c r="M716" s="202" t="str">
        <f ca="1">IF($J716="〇",OFFSET(集計!D$3,合体!$H716,0),"")</f>
        <v/>
      </c>
    </row>
    <row r="717" spans="2:13" x14ac:dyDescent="0.2">
      <c r="B717" s="201">
        <f t="shared" si="11"/>
        <v>713</v>
      </c>
      <c r="C717" s="15" t="str">
        <f>薬品マスタリスト_20260130100542!A715</f>
        <v>フェノール・亜鉛華リニメント「ニッコー」</v>
      </c>
      <c r="D717" s="15" t="str">
        <f>薬品マスタリスト_20260130100542!B715</f>
        <v>ﾌｴﾉ-ﾙｱｴﾝｶﾘﾆﾒﾝﾄﾆﾂｺ-</v>
      </c>
      <c r="E717" s="15">
        <f>薬品マスタリスト_20260130100542!C715</f>
        <v>14</v>
      </c>
      <c r="F717" s="206" t="str">
        <f>薬品マスタリスト_20260130100542!D715</f>
        <v>軟膏</v>
      </c>
      <c r="G717" s="208" t="str">
        <f>match_results!C714</f>
        <v>フェノバルビタール散１０％「ホエイ」　</v>
      </c>
      <c r="H717" s="208">
        <f>match_results!D714</f>
        <v>187</v>
      </c>
      <c r="I717" s="218">
        <f>match_results!E714</f>
        <v>36.842105263157897</v>
      </c>
      <c r="J717" s="225"/>
      <c r="K717" s="15" t="str">
        <f ca="1">IF($J717="〇",OFFSET(集計!B$3,合体!$H717,0),"")</f>
        <v/>
      </c>
      <c r="L717" s="15" t="str">
        <f ca="1">IF($J717="〇",OFFSET(集計!C$3,合体!$H717,0),"")</f>
        <v/>
      </c>
      <c r="M717" s="202" t="str">
        <f ca="1">IF($J717="〇",OFFSET(集計!D$3,合体!$H717,0),"")</f>
        <v/>
      </c>
    </row>
    <row r="718" spans="2:13" x14ac:dyDescent="0.2">
      <c r="B718" s="201">
        <f t="shared" si="11"/>
        <v>714</v>
      </c>
      <c r="C718" s="15" t="str">
        <f>薬品マスタリスト_20260130100542!A716</f>
        <v>フェブキソスタット錠１０ｍｇ「ＡＦＰ」</v>
      </c>
      <c r="D718" s="15" t="str">
        <f>薬品マスタリスト_20260130100542!B716</f>
        <v>ﾌｪﾌﾞｷｿｽﾀｯﾄｼﾞｮｳ10mg｢AFP｣</v>
      </c>
      <c r="E718" s="15">
        <f>薬品マスタリスト_20260130100542!C716</f>
        <v>1</v>
      </c>
      <c r="F718" s="206" t="str">
        <f>薬品マスタリスト_20260130100542!D716</f>
        <v>錠剤</v>
      </c>
      <c r="G718" s="208" t="str">
        <f>match_results!C715</f>
        <v>フェブキソスタット錠１０ｍｇ</v>
      </c>
      <c r="H718" s="208">
        <f>match_results!D715</f>
        <v>207</v>
      </c>
      <c r="I718" s="218">
        <f>match_results!E715</f>
        <v>84.848484848484802</v>
      </c>
      <c r="J718" s="225"/>
      <c r="K718" s="15" t="str">
        <f ca="1">IF($J718="〇",OFFSET(集計!B$3,合体!$H718,0),"")</f>
        <v/>
      </c>
      <c r="L718" s="15" t="str">
        <f ca="1">IF($J718="〇",OFFSET(集計!C$3,合体!$H718,0),"")</f>
        <v/>
      </c>
      <c r="M718" s="202" t="str">
        <f ca="1">IF($J718="〇",OFFSET(集計!D$3,合体!$H718,0),"")</f>
        <v/>
      </c>
    </row>
    <row r="719" spans="2:13" x14ac:dyDescent="0.2">
      <c r="B719" s="201">
        <f t="shared" si="11"/>
        <v>715</v>
      </c>
      <c r="C719" s="15" t="str">
        <f>薬品マスタリスト_20260130100542!A717</f>
        <v>フェブキソスタットＯＤ錠１０ｍｇ「サワイ」</v>
      </c>
      <c r="D719" s="15" t="str">
        <f>薬品マスタリスト_20260130100542!B717</f>
        <v>ﾌｴﾌﾞｷｿｽﾀﾂﾄODｼﾞﾖｳ10MGｻﾜｲ</v>
      </c>
      <c r="E719" s="15">
        <f>薬品マスタリスト_20260130100542!C717</f>
        <v>1</v>
      </c>
      <c r="F719" s="206" t="str">
        <f>薬品マスタリスト_20260130100542!D717</f>
        <v>錠剤</v>
      </c>
      <c r="G719" s="208" t="str">
        <f>match_results!C716</f>
        <v>フェブキソスタット錠１０ｍｇ</v>
      </c>
      <c r="H719" s="208">
        <f>match_results!D716</f>
        <v>207</v>
      </c>
      <c r="I719" s="218">
        <f>match_results!E716</f>
        <v>80</v>
      </c>
      <c r="J719" s="225"/>
      <c r="K719" s="15" t="str">
        <f ca="1">IF($J719="〇",OFFSET(集計!B$3,合体!$H719,0),"")</f>
        <v/>
      </c>
      <c r="L719" s="15" t="str">
        <f ca="1">IF($J719="〇",OFFSET(集計!C$3,合体!$H719,0),"")</f>
        <v/>
      </c>
      <c r="M719" s="202" t="str">
        <f ca="1">IF($J719="〇",OFFSET(集計!D$3,合体!$H719,0),"")</f>
        <v/>
      </c>
    </row>
    <row r="720" spans="2:13" x14ac:dyDescent="0.2">
      <c r="B720" s="201">
        <f t="shared" si="11"/>
        <v>716</v>
      </c>
      <c r="C720" s="15" t="str">
        <f>薬品マスタリスト_20260130100542!A718</f>
        <v>フェロジピン錠５ｍｇ「武田テバ」</v>
      </c>
      <c r="D720" s="15" t="str">
        <f>薬品マスタリスト_20260130100542!B718</f>
        <v>ﾌｪﾛｼﾞﾋﾟﾝｼﾞｮｳ5mg｢武田ﾃﾊﾞ｣</v>
      </c>
      <c r="E720" s="15">
        <f>薬品マスタリスト_20260130100542!C718</f>
        <v>1</v>
      </c>
      <c r="F720" s="206" t="str">
        <f>薬品マスタリスト_20260130100542!D718</f>
        <v>錠剤</v>
      </c>
      <c r="G720" s="208" t="str">
        <f>match_results!C717</f>
        <v>フェロジピン錠（５）</v>
      </c>
      <c r="H720" s="208">
        <f>match_results!D717</f>
        <v>225</v>
      </c>
      <c r="I720" s="218">
        <f>match_results!E717</f>
        <v>61.538461538461497</v>
      </c>
      <c r="J720" s="225"/>
      <c r="K720" s="15" t="str">
        <f ca="1">IF($J720="〇",OFFSET(集計!B$3,合体!$H720,0),"")</f>
        <v/>
      </c>
      <c r="L720" s="15" t="str">
        <f ca="1">IF($J720="〇",OFFSET(集計!C$3,合体!$H720,0),"")</f>
        <v/>
      </c>
      <c r="M720" s="202" t="str">
        <f ca="1">IF($J720="〇",OFFSET(集計!D$3,合体!$H720,0),"")</f>
        <v/>
      </c>
    </row>
    <row r="721" spans="2:13" x14ac:dyDescent="0.2">
      <c r="B721" s="201">
        <f t="shared" si="11"/>
        <v>717</v>
      </c>
      <c r="C721" s="15" t="str">
        <f>薬品マスタリスト_20260130100542!A719</f>
        <v>フェロ・グラデュメット錠１０５ｍｇ</v>
      </c>
      <c r="D721" s="15" t="str">
        <f>薬品マスタリスト_20260130100542!B719</f>
        <v>ﾌｴﾛｸﾞﾗﾃﾞﾕﾒﾂﾄｼﾞﾖｳ105MG</v>
      </c>
      <c r="E721" s="15">
        <f>薬品マスタリスト_20260130100542!C719</f>
        <v>1</v>
      </c>
      <c r="F721" s="206" t="str">
        <f>薬品マスタリスト_20260130100542!D719</f>
        <v>錠剤</v>
      </c>
      <c r="G721" s="208" t="str">
        <f>match_results!C718</f>
        <v>フェブキソスタット錠１０ｍｇ</v>
      </c>
      <c r="H721" s="208">
        <f>match_results!D718</f>
        <v>207</v>
      </c>
      <c r="I721" s="218">
        <f>match_results!E718</f>
        <v>58.064516129032199</v>
      </c>
      <c r="J721" s="225"/>
      <c r="K721" s="15" t="str">
        <f ca="1">IF($J721="〇",OFFSET(集計!B$3,合体!$H721,0),"")</f>
        <v/>
      </c>
      <c r="L721" s="15" t="str">
        <f ca="1">IF($J721="〇",OFFSET(集計!C$3,合体!$H721,0),"")</f>
        <v/>
      </c>
      <c r="M721" s="202" t="str">
        <f ca="1">IF($J721="〇",OFFSET(集計!D$3,合体!$H721,0),"")</f>
        <v/>
      </c>
    </row>
    <row r="722" spans="2:13" x14ac:dyDescent="0.2">
      <c r="B722" s="201">
        <f t="shared" si="11"/>
        <v>718</v>
      </c>
      <c r="C722" s="15" t="str">
        <f>薬品マスタリスト_20260130100542!A720</f>
        <v>フェロミア顆粒８．３％</v>
      </c>
      <c r="D722" s="15" t="str">
        <f>薬品マスタリスト_20260130100542!B720</f>
        <v>ﾌｪﾛﾐｱｶﾘｭｳ8.3%</v>
      </c>
      <c r="E722" s="15">
        <f>薬品マスタリスト_20260130100542!C720</f>
        <v>3</v>
      </c>
      <c r="F722" s="206" t="str">
        <f>薬品マスタリスト_20260130100542!D720</f>
        <v>散</v>
      </c>
      <c r="G722" s="208" t="str">
        <f>match_results!C719</f>
        <v>フェロミア顆粒８．３％　</v>
      </c>
      <c r="H722" s="208">
        <f>match_results!D719</f>
        <v>303</v>
      </c>
      <c r="I722" s="218">
        <f>match_results!E719</f>
        <v>100</v>
      </c>
      <c r="J722" s="225" t="s">
        <v>3917</v>
      </c>
      <c r="K722" s="15">
        <f ca="1">IF($J722="〇",OFFSET(集計!B$3,合体!$H722,0),"")</f>
        <v>9.02</v>
      </c>
      <c r="L722" s="15">
        <f ca="1">IF($J722="〇",OFFSET(集計!C$3,合体!$H722,0),"")</f>
        <v>523</v>
      </c>
      <c r="M722" s="202">
        <f ca="1">IF($J722="〇",OFFSET(集計!D$3,合体!$H722,0),"")</f>
        <v>4717.46</v>
      </c>
    </row>
    <row r="723" spans="2:13" x14ac:dyDescent="0.2">
      <c r="B723" s="201">
        <f t="shared" si="11"/>
        <v>719</v>
      </c>
      <c r="C723" s="15" t="str">
        <f>薬品マスタリスト_20260130100542!A721</f>
        <v>フェロミア錠５０ｍｇ</v>
      </c>
      <c r="D723" s="15" t="str">
        <f>薬品マスタリスト_20260130100542!B721</f>
        <v>ﾌｴﾛﾐｱｼﾞﾖｳ50MG</v>
      </c>
      <c r="E723" s="15">
        <f>薬品マスタリスト_20260130100542!C721</f>
        <v>1</v>
      </c>
      <c r="F723" s="206" t="str">
        <f>薬品マスタリスト_20260130100542!D721</f>
        <v>錠剤</v>
      </c>
      <c r="G723" s="208" t="str">
        <f>match_results!C720</f>
        <v>フェロミア錠５０ｍｇ</v>
      </c>
      <c r="H723" s="208">
        <f>match_results!D720</f>
        <v>258</v>
      </c>
      <c r="I723" s="218">
        <f>match_results!E720</f>
        <v>100</v>
      </c>
      <c r="J723" s="225" t="s">
        <v>3917</v>
      </c>
      <c r="K723" s="15">
        <f ca="1">IF($J723="〇",OFFSET(集計!B$3,合体!$H723,0),"")</f>
        <v>5.44</v>
      </c>
      <c r="L723" s="15">
        <f ca="1">IF($J723="〇",OFFSET(集計!C$3,合体!$H723,0),"")</f>
        <v>674</v>
      </c>
      <c r="M723" s="202">
        <f ca="1">IF($J723="〇",OFFSET(集計!D$3,合体!$H723,0),"")</f>
        <v>3666.5600000000004</v>
      </c>
    </row>
    <row r="724" spans="2:13" x14ac:dyDescent="0.2">
      <c r="B724" s="201">
        <f t="shared" si="11"/>
        <v>720</v>
      </c>
      <c r="C724" s="15" t="str">
        <f>薬品マスタリスト_20260130100542!A722</f>
        <v>フェロジピン錠５ｍｇ「ＮＩＧ」</v>
      </c>
      <c r="D724" s="15" t="str">
        <f>薬品マスタリスト_20260130100542!B722</f>
        <v>ﾌｴﾛｼﾞﾋﾟﾝｼﾞﾖｳ5MGNIG</v>
      </c>
      <c r="E724" s="15">
        <f>薬品マスタリスト_20260130100542!C722</f>
        <v>1</v>
      </c>
      <c r="F724" s="206" t="str">
        <f>薬品マスタリスト_20260130100542!D722</f>
        <v>錠剤</v>
      </c>
      <c r="G724" s="208" t="str">
        <f>match_results!C721</f>
        <v>フェロジピン錠（５）</v>
      </c>
      <c r="H724" s="208">
        <f>match_results!D721</f>
        <v>225</v>
      </c>
      <c r="I724" s="218">
        <f>match_results!E721</f>
        <v>64</v>
      </c>
      <c r="J724" s="225"/>
      <c r="K724" s="15" t="str">
        <f ca="1">IF($J724="〇",OFFSET(集計!B$3,合体!$H724,0),"")</f>
        <v/>
      </c>
      <c r="L724" s="15" t="str">
        <f ca="1">IF($J724="〇",OFFSET(集計!C$3,合体!$H724,0),"")</f>
        <v/>
      </c>
      <c r="M724" s="202" t="str">
        <f ca="1">IF($J724="〇",OFFSET(集計!D$3,合体!$H724,0),"")</f>
        <v/>
      </c>
    </row>
    <row r="725" spans="2:13" x14ac:dyDescent="0.2">
      <c r="B725" s="201">
        <f t="shared" si="11"/>
        <v>721</v>
      </c>
      <c r="C725" s="15" t="str">
        <f>薬品マスタリスト_20260130100542!A723</f>
        <v>フォシーガ錠５ｍｇ</v>
      </c>
      <c r="D725" s="15" t="str">
        <f>薬品マスタリスト_20260130100542!B723</f>
        <v>ﾌｫｼｰｶﾞｼﾞｮｳ5mg</v>
      </c>
      <c r="E725" s="15">
        <f>薬品マスタリスト_20260130100542!C723</f>
        <v>1</v>
      </c>
      <c r="F725" s="206" t="str">
        <f>薬品マスタリスト_20260130100542!D723</f>
        <v>錠剤</v>
      </c>
      <c r="G725" s="208" t="str">
        <f>match_results!C722</f>
        <v>フォシーガ錠５ｍｇ</v>
      </c>
      <c r="H725" s="208">
        <f>match_results!D722</f>
        <v>573</v>
      </c>
      <c r="I725" s="218">
        <f>match_results!E722</f>
        <v>100</v>
      </c>
      <c r="J725" s="225" t="s">
        <v>3917</v>
      </c>
      <c r="K725" s="15">
        <f ca="1">IF($J725="〇",OFFSET(集計!B$3,合体!$H725,0),"")</f>
        <v>145.18</v>
      </c>
      <c r="L725" s="15">
        <f ca="1">IF($J725="〇",OFFSET(集計!C$3,合体!$H725,0),"")</f>
        <v>176.92307692307691</v>
      </c>
      <c r="M725" s="202">
        <f ca="1">IF($J725="〇",OFFSET(集計!D$3,合体!$H725,0),"")</f>
        <v>25685.692307692305</v>
      </c>
    </row>
    <row r="726" spans="2:13" x14ac:dyDescent="0.2">
      <c r="B726" s="201">
        <f t="shared" si="11"/>
        <v>722</v>
      </c>
      <c r="C726" s="15" t="str">
        <f>薬品マスタリスト_20260130100542!A724</f>
        <v>フォリアミン錠</v>
      </c>
      <c r="D726" s="15" t="str">
        <f>薬品マスタリスト_20260130100542!B724</f>
        <v>ﾌｫﾘｱﾐﾝｼﾞｮｳ</v>
      </c>
      <c r="E726" s="15">
        <f>薬品マスタリスト_20260130100542!C724</f>
        <v>1</v>
      </c>
      <c r="F726" s="206" t="str">
        <f>薬品マスタリスト_20260130100542!D724</f>
        <v>錠剤</v>
      </c>
      <c r="G726" s="208" t="str">
        <f>match_results!C723</f>
        <v>フォリアミン錠（ニチヤク）</v>
      </c>
      <c r="H726" s="208">
        <f>match_results!D723</f>
        <v>123</v>
      </c>
      <c r="I726" s="218">
        <f>match_results!E723</f>
        <v>70</v>
      </c>
      <c r="J726" s="225"/>
      <c r="K726" s="15" t="str">
        <f ca="1">IF($J726="〇",OFFSET(集計!B$3,合体!$H726,0),"")</f>
        <v/>
      </c>
      <c r="L726" s="15" t="str">
        <f ca="1">IF($J726="〇",OFFSET(集計!C$3,合体!$H726,0),"")</f>
        <v/>
      </c>
      <c r="M726" s="202" t="str">
        <f ca="1">IF($J726="〇",OFFSET(集計!D$3,合体!$H726,0),"")</f>
        <v/>
      </c>
    </row>
    <row r="727" spans="2:13" x14ac:dyDescent="0.2">
      <c r="B727" s="201">
        <f t="shared" si="11"/>
        <v>723</v>
      </c>
      <c r="C727" s="15" t="str">
        <f>薬品マスタリスト_20260130100542!A725</f>
        <v>フォルテオ皮下注キット６００μｇ</v>
      </c>
      <c r="D727" s="15" t="str">
        <f>薬品マスタリスト_20260130100542!B725</f>
        <v>ﾌｫﾙﾃｵﾋｶﾁｭｳｷｯﾄ600μg</v>
      </c>
      <c r="E727" s="15">
        <f>薬品マスタリスト_20260130100542!C725</f>
        <v>25</v>
      </c>
      <c r="F727" s="206" t="str">
        <f>薬品マスタリスト_20260130100542!D725</f>
        <v>注射剤</v>
      </c>
      <c r="G727" s="208" t="str">
        <f>match_results!C724</f>
        <v>パキロビットパック６００</v>
      </c>
      <c r="H727" s="208">
        <f>match_results!D724</f>
        <v>656</v>
      </c>
      <c r="I727" s="218">
        <f>match_results!E724</f>
        <v>42.857142857142797</v>
      </c>
      <c r="J727" s="225"/>
      <c r="K727" s="15" t="str">
        <f ca="1">IF($J727="〇",OFFSET(集計!B$3,合体!$H727,0),"")</f>
        <v/>
      </c>
      <c r="L727" s="15" t="str">
        <f ca="1">IF($J727="〇",OFFSET(集計!C$3,合体!$H727,0),"")</f>
        <v/>
      </c>
      <c r="M727" s="202" t="str">
        <f ca="1">IF($J727="〇",OFFSET(集計!D$3,合体!$H727,0),"")</f>
        <v/>
      </c>
    </row>
    <row r="728" spans="2:13" x14ac:dyDescent="0.2">
      <c r="B728" s="201">
        <f t="shared" si="11"/>
        <v>724</v>
      </c>
      <c r="C728" s="15" t="str">
        <f>薬品マスタリスト_20260130100542!A726</f>
        <v>注射用フサン５０</v>
      </c>
      <c r="D728" s="15" t="str">
        <f>薬品マスタリスト_20260130100542!B726</f>
        <v>ﾁﾕｳｼﾔﾖｳﾌｻﾝ50</v>
      </c>
      <c r="E728" s="15">
        <f>薬品マスタリスト_20260130100542!C726</f>
        <v>25</v>
      </c>
      <c r="F728" s="206" t="str">
        <f>薬品マスタリスト_20260130100542!D726</f>
        <v>注射剤</v>
      </c>
      <c r="G728" s="208" t="str">
        <f>match_results!C725</f>
        <v>フサン注５０</v>
      </c>
      <c r="H728" s="208">
        <f>match_results!D725</f>
        <v>337</v>
      </c>
      <c r="I728" s="218">
        <f>match_results!E725</f>
        <v>71.428571428571402</v>
      </c>
      <c r="J728" s="225"/>
      <c r="K728" s="15" t="str">
        <f ca="1">IF($J728="〇",OFFSET(集計!B$3,合体!$H728,0),"")</f>
        <v/>
      </c>
      <c r="L728" s="15" t="str">
        <f ca="1">IF($J728="〇",OFFSET(集計!C$3,合体!$H728,0),"")</f>
        <v/>
      </c>
      <c r="M728" s="202" t="str">
        <f ca="1">IF($J728="〇",OFFSET(集計!D$3,合体!$H728,0),"")</f>
        <v/>
      </c>
    </row>
    <row r="729" spans="2:13" x14ac:dyDescent="0.2">
      <c r="B729" s="201">
        <f t="shared" si="11"/>
        <v>725</v>
      </c>
      <c r="C729" s="15" t="str">
        <f>薬品マスタリスト_20260130100542!A727</f>
        <v>ブスコパン錠１０ｍｇ</v>
      </c>
      <c r="D729" s="15" t="str">
        <f>薬品マスタリスト_20260130100542!B727</f>
        <v>ﾌﾞｽｺﾊﾟﾝｼﾞｮｳ10mg</v>
      </c>
      <c r="E729" s="15">
        <f>薬品マスタリスト_20260130100542!C727</f>
        <v>1</v>
      </c>
      <c r="F729" s="206" t="str">
        <f>薬品マスタリスト_20260130100542!D727</f>
        <v>錠剤</v>
      </c>
      <c r="G729" s="208" t="str">
        <f>match_results!C726</f>
        <v>トリメブチン錠１００ｍｇ</v>
      </c>
      <c r="H729" s="208">
        <f>match_results!D726</f>
        <v>364</v>
      </c>
      <c r="I729" s="218">
        <f>match_results!E726</f>
        <v>63.636363636363598</v>
      </c>
      <c r="J729" s="225"/>
      <c r="K729" s="15" t="str">
        <f ca="1">IF($J729="〇",OFFSET(集計!B$3,合体!$H729,0),"")</f>
        <v/>
      </c>
      <c r="L729" s="15" t="str">
        <f ca="1">IF($J729="〇",OFFSET(集計!C$3,合体!$H729,0),"")</f>
        <v/>
      </c>
      <c r="M729" s="202" t="str">
        <f ca="1">IF($J729="〇",OFFSET(集計!D$3,合体!$H729,0),"")</f>
        <v/>
      </c>
    </row>
    <row r="730" spans="2:13" x14ac:dyDescent="0.2">
      <c r="B730" s="201">
        <f t="shared" si="11"/>
        <v>726</v>
      </c>
      <c r="C730" s="15" t="str">
        <f>薬品マスタリスト_20260130100542!A728</f>
        <v>ブスコパン注２０ｍｇ</v>
      </c>
      <c r="D730" s="15" t="str">
        <f>薬品マスタリスト_20260130100542!B728</f>
        <v>ﾌﾞｽｺﾊﾟﾝﾁｭｳ20mg</v>
      </c>
      <c r="E730" s="15">
        <f>薬品マスタリスト_20260130100542!C728</f>
        <v>25</v>
      </c>
      <c r="F730" s="206" t="str">
        <f>薬品マスタリスト_20260130100542!D728</f>
        <v>注射剤</v>
      </c>
      <c r="G730" s="208" t="str">
        <f>match_results!C727</f>
        <v>レスプレン錠　２０ｍｇ　</v>
      </c>
      <c r="H730" s="208">
        <f>match_results!D727</f>
        <v>254</v>
      </c>
      <c r="I730" s="218">
        <f>match_results!E727</f>
        <v>57.142857142857103</v>
      </c>
      <c r="J730" s="225"/>
      <c r="K730" s="15" t="str">
        <f ca="1">IF($J730="〇",OFFSET(集計!B$3,合体!$H730,0),"")</f>
        <v/>
      </c>
      <c r="L730" s="15" t="str">
        <f ca="1">IF($J730="〇",OFFSET(集計!C$3,合体!$H730,0),"")</f>
        <v/>
      </c>
      <c r="M730" s="202" t="str">
        <f ca="1">IF($J730="〇",OFFSET(集計!D$3,合体!$H730,0),"")</f>
        <v/>
      </c>
    </row>
    <row r="731" spans="2:13" x14ac:dyDescent="0.2">
      <c r="B731" s="201">
        <f t="shared" si="11"/>
        <v>727</v>
      </c>
      <c r="C731" s="15" t="str">
        <f>薬品マスタリスト_20260130100542!A729</f>
        <v>ブドウ糖＊（扶桑）</v>
      </c>
      <c r="D731" s="15" t="str">
        <f>薬品マスタリスト_20260130100542!B729</f>
        <v>ﾌﾞﾄﾞｳﾄｳ*(ﾌｿｳ)</v>
      </c>
      <c r="E731" s="15">
        <f>薬品マスタリスト_20260130100542!C729</f>
        <v>3</v>
      </c>
      <c r="F731" s="206" t="str">
        <f>薬品マスタリスト_20260130100542!D729</f>
        <v>散</v>
      </c>
      <c r="G731" s="208" t="str">
        <f>match_results!C728</f>
        <v>ブドウ糖</v>
      </c>
      <c r="H731" s="208">
        <f>match_results!D728</f>
        <v>52</v>
      </c>
      <c r="I731" s="218">
        <f>match_results!E728</f>
        <v>61.538461538461497</v>
      </c>
      <c r="J731" s="225"/>
      <c r="K731" s="15" t="str">
        <f ca="1">IF($J731="〇",OFFSET(集計!B$3,合体!$H731,0),"")</f>
        <v/>
      </c>
      <c r="L731" s="15" t="str">
        <f ca="1">IF($J731="〇",OFFSET(集計!C$3,合体!$H731,0),"")</f>
        <v/>
      </c>
      <c r="M731" s="202" t="str">
        <f ca="1">IF($J731="〇",OFFSET(集計!D$3,合体!$H731,0),"")</f>
        <v/>
      </c>
    </row>
    <row r="732" spans="2:13" x14ac:dyDescent="0.2">
      <c r="B732" s="201">
        <f t="shared" si="11"/>
        <v>728</v>
      </c>
      <c r="C732" s="15" t="str">
        <f>薬品マスタリスト_20260130100542!A730</f>
        <v>ブドウ糖注５％ＰＬ「フソー」</v>
      </c>
      <c r="D732" s="15" t="str">
        <f>薬品マスタリスト_20260130100542!B730</f>
        <v>ﾌﾞﾄﾞｳﾄｳﾁｭｳ5%PL｢ﾌｿｰ｣</v>
      </c>
      <c r="E732" s="15">
        <f>薬品マスタリスト_20260130100542!C730</f>
        <v>25</v>
      </c>
      <c r="F732" s="206" t="str">
        <f>薬品マスタリスト_20260130100542!D730</f>
        <v>注射剤</v>
      </c>
      <c r="G732" s="208" t="str">
        <f>match_results!C729</f>
        <v>ブドウ糖注５％ＰＬ「フソー」２０ｍｌ</v>
      </c>
      <c r="H732" s="208">
        <f>match_results!D729</f>
        <v>162</v>
      </c>
      <c r="I732" s="218">
        <f>match_results!E729</f>
        <v>87.5</v>
      </c>
      <c r="J732" s="225"/>
      <c r="K732" s="15" t="str">
        <f ca="1">IF($J732="〇",OFFSET(集計!B$3,合体!$H732,0),"")</f>
        <v/>
      </c>
      <c r="L732" s="15" t="str">
        <f ca="1">IF($J732="〇",OFFSET(集計!C$3,合体!$H732,0),"")</f>
        <v/>
      </c>
      <c r="M732" s="202" t="str">
        <f ca="1">IF($J732="〇",OFFSET(集計!D$3,合体!$H732,0),"")</f>
        <v/>
      </c>
    </row>
    <row r="733" spans="2:13" x14ac:dyDescent="0.2">
      <c r="B733" s="201">
        <f t="shared" si="11"/>
        <v>729</v>
      </c>
      <c r="C733" s="15" t="str">
        <f>薬品マスタリスト_20260130100542!A731</f>
        <v>ブドウ糖注２０％ＰＬ「フソー」</v>
      </c>
      <c r="D733" s="15" t="str">
        <f>薬品マスタリスト_20260130100542!B731</f>
        <v>ﾌﾞﾄﾞｳﾄｳﾁｭｳ20%PL｢ﾌｿｰ｣</v>
      </c>
      <c r="E733" s="15">
        <f>薬品マスタリスト_20260130100542!C731</f>
        <v>25</v>
      </c>
      <c r="F733" s="206" t="str">
        <f>薬品マスタリスト_20260130100542!D731</f>
        <v>注射剤</v>
      </c>
      <c r="G733" s="208" t="str">
        <f>match_results!C730</f>
        <v>ブドウ糖注５０％ＰＬ「フソー」２０ｍｌ</v>
      </c>
      <c r="H733" s="208">
        <f>match_results!D730</f>
        <v>375</v>
      </c>
      <c r="I733" s="218">
        <f>match_results!E730</f>
        <v>82.352941176470495</v>
      </c>
      <c r="J733" s="225"/>
      <c r="K733" s="15" t="str">
        <f ca="1">IF($J733="〇",OFFSET(集計!B$3,合体!$H733,0),"")</f>
        <v/>
      </c>
      <c r="L733" s="15" t="str">
        <f ca="1">IF($J733="〇",OFFSET(集計!C$3,合体!$H733,0),"")</f>
        <v/>
      </c>
      <c r="M733" s="202" t="str">
        <f ca="1">IF($J733="〇",OFFSET(集計!D$3,合体!$H733,0),"")</f>
        <v/>
      </c>
    </row>
    <row r="734" spans="2:13" x14ac:dyDescent="0.2">
      <c r="B734" s="201">
        <f t="shared" si="11"/>
        <v>730</v>
      </c>
      <c r="C734" s="15" t="str">
        <f>薬品マスタリスト_20260130100542!A732</f>
        <v>ブドウ糖注５０％ＰＬ「フソー」</v>
      </c>
      <c r="D734" s="15" t="str">
        <f>薬品マスタリスト_20260130100542!B732</f>
        <v>ﾌﾞﾄﾞｳﾄｳﾁｭｳ50%PL｢ﾌｿｰ｣</v>
      </c>
      <c r="E734" s="15">
        <f>薬品マスタリスト_20260130100542!C732</f>
        <v>25</v>
      </c>
      <c r="F734" s="206" t="str">
        <f>薬品マスタリスト_20260130100542!D732</f>
        <v>注射剤</v>
      </c>
      <c r="G734" s="208" t="str">
        <f>match_results!C731</f>
        <v>ブドウ糖注５０％ＰＬ「フソー」２０ｍｌ</v>
      </c>
      <c r="H734" s="208">
        <f>match_results!D731</f>
        <v>375</v>
      </c>
      <c r="I734" s="218">
        <f>match_results!E731</f>
        <v>88.235294117647001</v>
      </c>
      <c r="J734" s="225"/>
      <c r="K734" s="15" t="str">
        <f ca="1">IF($J734="〇",OFFSET(集計!B$3,合体!$H734,0),"")</f>
        <v/>
      </c>
      <c r="L734" s="15" t="str">
        <f ca="1">IF($J734="〇",OFFSET(集計!C$3,合体!$H734,0),"")</f>
        <v/>
      </c>
      <c r="M734" s="202" t="str">
        <f ca="1">IF($J734="〇",OFFSET(集計!D$3,合体!$H734,0),"")</f>
        <v/>
      </c>
    </row>
    <row r="735" spans="2:13" x14ac:dyDescent="0.2">
      <c r="B735" s="201">
        <f t="shared" si="11"/>
        <v>731</v>
      </c>
      <c r="C735" s="15" t="str">
        <f>薬品マスタリスト_20260130100542!A733</f>
        <v>ブドウ糖注５％ＰＬ「フソー」</v>
      </c>
      <c r="D735" s="15" t="str">
        <f>薬品マスタリスト_20260130100542!B733</f>
        <v>ﾌﾞﾄﾞｳﾄｳﾁﾕｳ5%PLﾌｿ-</v>
      </c>
      <c r="E735" s="15">
        <f>薬品マスタリスト_20260130100542!C733</f>
        <v>25</v>
      </c>
      <c r="F735" s="206" t="str">
        <f>薬品マスタリスト_20260130100542!D733</f>
        <v>注射剤</v>
      </c>
      <c r="G735" s="208" t="str">
        <f>match_results!C732</f>
        <v>ブドウ糖注５％ＰＬ「フソー」２０ｍｌ</v>
      </c>
      <c r="H735" s="208">
        <f>match_results!D732</f>
        <v>162</v>
      </c>
      <c r="I735" s="218">
        <f>match_results!E732</f>
        <v>87.5</v>
      </c>
      <c r="J735" s="225"/>
      <c r="K735" s="15" t="str">
        <f ca="1">IF($J735="〇",OFFSET(集計!B$3,合体!$H735,0),"")</f>
        <v/>
      </c>
      <c r="L735" s="15" t="str">
        <f ca="1">IF($J735="〇",OFFSET(集計!C$3,合体!$H735,0),"")</f>
        <v/>
      </c>
      <c r="M735" s="202" t="str">
        <f ca="1">IF($J735="〇",OFFSET(集計!D$3,合体!$H735,0),"")</f>
        <v/>
      </c>
    </row>
    <row r="736" spans="2:13" x14ac:dyDescent="0.2">
      <c r="B736" s="201">
        <f t="shared" si="11"/>
        <v>732</v>
      </c>
      <c r="C736" s="15" t="str">
        <f>薬品マスタリスト_20260130100542!A734</f>
        <v>大塚糖液５％100ml</v>
      </c>
      <c r="D736" s="15" t="str">
        <f>薬品マスタリスト_20260130100542!B734</f>
        <v>ｵｵﾂｶﾄｳｴｷ5%</v>
      </c>
      <c r="E736" s="15">
        <f>薬品マスタリスト_20260130100542!C734</f>
        <v>25</v>
      </c>
      <c r="F736" s="206" t="str">
        <f>薬品マスタリスト_20260130100542!D734</f>
        <v>注射剤</v>
      </c>
      <c r="G736" s="208" t="str">
        <f>match_results!C733</f>
        <v>大塚糖液　５％５００ｍｌ</v>
      </c>
      <c r="H736" s="208">
        <f>match_results!D733</f>
        <v>442</v>
      </c>
      <c r="I736" s="218">
        <f>match_results!E733</f>
        <v>52.173913043478201</v>
      </c>
      <c r="J736" s="225"/>
      <c r="K736" s="15" t="str">
        <f ca="1">IF($J736="〇",OFFSET(集計!B$3,合体!$H736,0),"")</f>
        <v/>
      </c>
      <c r="L736" s="15" t="str">
        <f ca="1">IF($J736="〇",OFFSET(集計!C$3,合体!$H736,0),"")</f>
        <v/>
      </c>
      <c r="M736" s="202" t="str">
        <f ca="1">IF($J736="〇",OFFSET(集計!D$3,合体!$H736,0),"")</f>
        <v/>
      </c>
    </row>
    <row r="737" spans="2:13" x14ac:dyDescent="0.2">
      <c r="B737" s="201">
        <f t="shared" si="11"/>
        <v>733</v>
      </c>
      <c r="C737" s="15" t="str">
        <f>薬品マスタリスト_20260130100542!A735</f>
        <v>プラザキサカプセル１１０ｍｇ</v>
      </c>
      <c r="D737" s="15" t="str">
        <f>薬品マスタリスト_20260130100542!B735</f>
        <v>ﾌﾟﾗｻﾞｷｻｶﾌﾟｾﾙ110mg</v>
      </c>
      <c r="E737" s="15">
        <f>薬品マスタリスト_20260130100542!C735</f>
        <v>2</v>
      </c>
      <c r="F737" s="206" t="str">
        <f>薬品マスタリスト_20260130100542!D735</f>
        <v>カプセル</v>
      </c>
      <c r="G737" s="208" t="str">
        <f>match_results!C734</f>
        <v>トランサミンカプセル２５０ｍｇ</v>
      </c>
      <c r="H737" s="208">
        <f>match_results!D734</f>
        <v>401</v>
      </c>
      <c r="I737" s="218">
        <f>match_results!E734</f>
        <v>62.068965517241303</v>
      </c>
      <c r="J737" s="225"/>
      <c r="K737" s="15" t="str">
        <f ca="1">IF($J737="〇",OFFSET(集計!B$3,合体!$H737,0),"")</f>
        <v/>
      </c>
      <c r="L737" s="15" t="str">
        <f ca="1">IF($J737="〇",OFFSET(集計!C$3,合体!$H737,0),"")</f>
        <v/>
      </c>
      <c r="M737" s="202" t="str">
        <f ca="1">IF($J737="〇",OFFSET(集計!D$3,合体!$H737,0),"")</f>
        <v/>
      </c>
    </row>
    <row r="738" spans="2:13" x14ac:dyDescent="0.2">
      <c r="B738" s="201">
        <f t="shared" si="11"/>
        <v>734</v>
      </c>
      <c r="C738" s="15" t="str">
        <f>薬品マスタリスト_20260130100542!A736</f>
        <v>フラジール腟錠２５０ｍｇ</v>
      </c>
      <c r="D738" s="15" t="str">
        <f>薬品マスタリスト_20260130100542!B736</f>
        <v>ﾌﾗｼﾞｰﾙﾁﾂｼﾞｮｳ250mg</v>
      </c>
      <c r="E738" s="15">
        <f>薬品マスタリスト_20260130100542!C736</f>
        <v>11</v>
      </c>
      <c r="F738" s="206" t="str">
        <f>薬品マスタリスト_20260130100542!D736</f>
        <v>膣錠</v>
      </c>
      <c r="G738" s="208" t="str">
        <f>match_results!C735</f>
        <v>フラジール錠２５０ｍｇ</v>
      </c>
      <c r="H738" s="208">
        <f>match_results!D735</f>
        <v>85</v>
      </c>
      <c r="I738" s="218">
        <f>match_results!E735</f>
        <v>95.652173913043399</v>
      </c>
      <c r="J738" s="225"/>
      <c r="K738" s="15" t="str">
        <f ca="1">IF($J738="〇",OFFSET(集計!B$3,合体!$H738,0),"")</f>
        <v/>
      </c>
      <c r="L738" s="15" t="str">
        <f ca="1">IF($J738="〇",OFFSET(集計!C$3,合体!$H738,0),"")</f>
        <v/>
      </c>
      <c r="M738" s="202" t="str">
        <f ca="1">IF($J738="〇",OFFSET(集計!D$3,合体!$H738,0),"")</f>
        <v/>
      </c>
    </row>
    <row r="739" spans="2:13" x14ac:dyDescent="0.2">
      <c r="B739" s="201">
        <f t="shared" si="11"/>
        <v>735</v>
      </c>
      <c r="C739" s="15" t="str">
        <f>薬品マスタリスト_20260130100542!A737</f>
        <v>フラジール内服錠２５０ｍｇ</v>
      </c>
      <c r="D739" s="15" t="str">
        <f>薬品マスタリスト_20260130100542!B737</f>
        <v>ﾌﾗｼﾞｰﾙﾅｲﾌｸｼﾞｮｳ250mg</v>
      </c>
      <c r="E739" s="15">
        <f>薬品マスタリスト_20260130100542!C737</f>
        <v>1</v>
      </c>
      <c r="F739" s="206" t="str">
        <f>薬品マスタリスト_20260130100542!D737</f>
        <v>錠剤</v>
      </c>
      <c r="G739" s="208" t="str">
        <f>match_results!C736</f>
        <v>フラジール錠２５０ｍｇ</v>
      </c>
      <c r="H739" s="208">
        <f>match_results!D736</f>
        <v>85</v>
      </c>
      <c r="I739" s="218">
        <f>match_results!E736</f>
        <v>91.6666666666666</v>
      </c>
      <c r="J739" s="225"/>
      <c r="K739" s="15" t="str">
        <f ca="1">IF($J739="〇",OFFSET(集計!B$3,合体!$H739,0),"")</f>
        <v/>
      </c>
      <c r="L739" s="15" t="str">
        <f ca="1">IF($J739="〇",OFFSET(集計!C$3,合体!$H739,0),"")</f>
        <v/>
      </c>
      <c r="M739" s="202" t="str">
        <f ca="1">IF($J739="〇",OFFSET(集計!D$3,合体!$H739,0),"")</f>
        <v/>
      </c>
    </row>
    <row r="740" spans="2:13" x14ac:dyDescent="0.2">
      <c r="B740" s="201">
        <f t="shared" si="11"/>
        <v>736</v>
      </c>
      <c r="C740" s="15" t="str">
        <f>薬品マスタリスト_20260130100542!A738</f>
        <v>プラセボカプセル</v>
      </c>
      <c r="D740" s="15" t="str">
        <f>薬品マスタリスト_20260130100542!B738</f>
        <v>ﾌﾟﾗｾﾎﾞｶﾌﾟｾﾙ</v>
      </c>
      <c r="E740" s="15">
        <f>薬品マスタリスト_20260130100542!C738</f>
        <v>2</v>
      </c>
      <c r="F740" s="206" t="str">
        <f>薬品マスタリスト_20260130100542!D738</f>
        <v>カプセル</v>
      </c>
      <c r="G740" s="208" t="str">
        <f>match_results!C737</f>
        <v>デュロキセチンカプセル</v>
      </c>
      <c r="H740" s="208">
        <f>match_results!D737</f>
        <v>602</v>
      </c>
      <c r="I740" s="218">
        <f>match_results!E737</f>
        <v>52.631578947368403</v>
      </c>
      <c r="J740" s="225"/>
      <c r="K740" s="15" t="str">
        <f ca="1">IF($J740="〇",OFFSET(集計!B$3,合体!$H740,0),"")</f>
        <v/>
      </c>
      <c r="L740" s="15" t="str">
        <f ca="1">IF($J740="〇",OFFSET(集計!C$3,合体!$H740,0),"")</f>
        <v/>
      </c>
      <c r="M740" s="202" t="str">
        <f ca="1">IF($J740="〇",OFFSET(集計!D$3,合体!$H740,0),"")</f>
        <v/>
      </c>
    </row>
    <row r="741" spans="2:13" x14ac:dyDescent="0.2">
      <c r="B741" s="201">
        <f t="shared" si="11"/>
        <v>737</v>
      </c>
      <c r="C741" s="15" t="str">
        <f>薬品マスタリスト_20260130100542!A739</f>
        <v>プラセボ坐薬</v>
      </c>
      <c r="D741" s="15" t="str">
        <f>薬品マスタリスト_20260130100542!B739</f>
        <v>ﾌﾟﾗｾﾎﾞｻﾞﾔｸ</v>
      </c>
      <c r="E741" s="15">
        <f>薬品マスタリスト_20260130100542!C739</f>
        <v>24</v>
      </c>
      <c r="F741" s="206" t="str">
        <f>薬品マスタリスト_20260130100542!D739</f>
        <v>その他</v>
      </c>
      <c r="G741" s="208" t="str">
        <f>match_results!C738</f>
        <v>ダイアップ坐薬４</v>
      </c>
      <c r="H741" s="208">
        <f>match_results!D738</f>
        <v>147</v>
      </c>
      <c r="I741" s="218">
        <f>match_results!E738</f>
        <v>42.857142857142797</v>
      </c>
      <c r="J741" s="225"/>
      <c r="K741" s="15" t="str">
        <f ca="1">IF($J741="〇",OFFSET(集計!B$3,合体!$H741,0),"")</f>
        <v/>
      </c>
      <c r="L741" s="15" t="str">
        <f ca="1">IF($J741="〇",OFFSET(集計!C$3,合体!$H741,0),"")</f>
        <v/>
      </c>
      <c r="M741" s="202" t="str">
        <f ca="1">IF($J741="〇",OFFSET(集計!D$3,合体!$H741,0),"")</f>
        <v/>
      </c>
    </row>
    <row r="742" spans="2:13" x14ac:dyDescent="0.2">
      <c r="B742" s="201">
        <f t="shared" si="11"/>
        <v>738</v>
      </c>
      <c r="C742" s="15" t="str">
        <f>薬品マスタリスト_20260130100542!A740</f>
        <v>プラセボ散</v>
      </c>
      <c r="D742" s="15" t="str">
        <f>薬品マスタリスト_20260130100542!B740</f>
        <v>ﾌﾟﾗｾﾎﾞｻﾝ</v>
      </c>
      <c r="E742" s="15">
        <f>薬品マスタリスト_20260130100542!C740</f>
        <v>24</v>
      </c>
      <c r="F742" s="206" t="str">
        <f>薬品マスタリスト_20260130100542!D740</f>
        <v>その他</v>
      </c>
      <c r="G742" s="208" t="str">
        <f>match_results!C739</f>
        <v>ルプラック錠</v>
      </c>
      <c r="H742" s="208">
        <f>match_results!D739</f>
        <v>161</v>
      </c>
      <c r="I742" s="218">
        <f>match_results!E739</f>
        <v>36.363636363636303</v>
      </c>
      <c r="J742" s="225"/>
      <c r="K742" s="15" t="str">
        <f ca="1">IF($J742="〇",OFFSET(集計!B$3,合体!$H742,0),"")</f>
        <v/>
      </c>
      <c r="L742" s="15" t="str">
        <f ca="1">IF($J742="〇",OFFSET(集計!C$3,合体!$H742,0),"")</f>
        <v/>
      </c>
      <c r="M742" s="202" t="str">
        <f ca="1">IF($J742="〇",OFFSET(集計!D$3,合体!$H742,0),"")</f>
        <v/>
      </c>
    </row>
    <row r="743" spans="2:13" x14ac:dyDescent="0.2">
      <c r="B743" s="201">
        <f t="shared" si="11"/>
        <v>739</v>
      </c>
      <c r="C743" s="15" t="str">
        <f>薬品マスタリスト_20260130100542!A741</f>
        <v>プラバスタチンＮａ錠５ｍｇ「サワイ」</v>
      </c>
      <c r="D743" s="15" t="str">
        <f>薬品マスタリスト_20260130100542!B741</f>
        <v>ﾌﾟﾗﾊﾞｽﾀﾁﾝNaｼﾞｮｳ5mg｢ｻﾜｲ｣</v>
      </c>
      <c r="E743" s="15">
        <f>薬品マスタリスト_20260130100542!C741</f>
        <v>1</v>
      </c>
      <c r="F743" s="206" t="str">
        <f>薬品マスタリスト_20260130100542!D741</f>
        <v>錠剤</v>
      </c>
      <c r="G743" s="208" t="str">
        <f>match_results!C740</f>
        <v>ロスバスタチン錠２．５ｍｇ「トーワ」</v>
      </c>
      <c r="H743" s="208">
        <f>match_results!D740</f>
        <v>416</v>
      </c>
      <c r="I743" s="218">
        <f>match_results!E740</f>
        <v>66.6666666666666</v>
      </c>
      <c r="J743" s="225"/>
      <c r="K743" s="15" t="str">
        <f ca="1">IF($J743="〇",OFFSET(集計!B$3,合体!$H743,0),"")</f>
        <v/>
      </c>
      <c r="L743" s="15" t="str">
        <f ca="1">IF($J743="〇",OFFSET(集計!C$3,合体!$H743,0),"")</f>
        <v/>
      </c>
      <c r="M743" s="202" t="str">
        <f ca="1">IF($J743="〇",OFFSET(集計!D$3,合体!$H743,0),"")</f>
        <v/>
      </c>
    </row>
    <row r="744" spans="2:13" x14ac:dyDescent="0.2">
      <c r="B744" s="201">
        <f t="shared" si="11"/>
        <v>740</v>
      </c>
      <c r="C744" s="15" t="str">
        <f>薬品マスタリスト_20260130100542!A742</f>
        <v>プラリア皮下注６０ｍｇシリンジ（用時購入）</v>
      </c>
      <c r="D744" s="15" t="str">
        <f>薬品マスタリスト_20260130100542!B742</f>
        <v>ﾌﾟﾗﾘｱﾋｶﾁｭｳ60mgｼﾘﾝｼﾞ</v>
      </c>
      <c r="E744" s="15">
        <f>薬品マスタリスト_20260130100542!C742</f>
        <v>25</v>
      </c>
      <c r="F744" s="206" t="str">
        <f>薬品マスタリスト_20260130100542!D742</f>
        <v>注射剤</v>
      </c>
      <c r="G744" s="208" t="str">
        <f>match_results!C741</f>
        <v>プラリア皮下注６０ｍｇシリンジ</v>
      </c>
      <c r="H744" s="208">
        <f>match_results!D741</f>
        <v>15</v>
      </c>
      <c r="I744" s="218">
        <f>match_results!E741</f>
        <v>83.3333333333333</v>
      </c>
      <c r="J744" s="225"/>
      <c r="K744" s="15" t="str">
        <f ca="1">IF($J744="〇",OFFSET(集計!B$3,合体!$H744,0),"")</f>
        <v/>
      </c>
      <c r="L744" s="15" t="str">
        <f ca="1">IF($J744="〇",OFFSET(集計!C$3,合体!$H744,0),"")</f>
        <v/>
      </c>
      <c r="M744" s="202" t="str">
        <f ca="1">IF($J744="〇",OFFSET(集計!D$3,合体!$H744,0),"")</f>
        <v/>
      </c>
    </row>
    <row r="745" spans="2:13" x14ac:dyDescent="0.2">
      <c r="B745" s="201">
        <f t="shared" si="11"/>
        <v>741</v>
      </c>
      <c r="C745" s="15" t="str">
        <f>薬品マスタリスト_20260130100542!A743</f>
        <v>フランドルテープ４０ｍｇ</v>
      </c>
      <c r="D745" s="15" t="str">
        <f>薬品マスタリスト_20260130100542!B743</f>
        <v>ﾌﾗﾝﾄﾞﾙﾃｰﾌﾟ40mg</v>
      </c>
      <c r="E745" s="15">
        <f>薬品マスタリスト_20260130100542!C743</f>
        <v>19</v>
      </c>
      <c r="F745" s="206" t="str">
        <f>薬品マスタリスト_20260130100542!D743</f>
        <v>貼付剤</v>
      </c>
      <c r="G745" s="208" t="str">
        <f>match_results!C742</f>
        <v>ロナセンテープ４０ｍｇ</v>
      </c>
      <c r="H745" s="208">
        <f>match_results!D742</f>
        <v>608</v>
      </c>
      <c r="I745" s="218">
        <f>match_results!E742</f>
        <v>69.565217391304301</v>
      </c>
      <c r="J745" s="225"/>
      <c r="K745" s="15" t="str">
        <f ca="1">IF($J745="〇",OFFSET(集計!B$3,合体!$H745,0),"")</f>
        <v/>
      </c>
      <c r="L745" s="15" t="str">
        <f ca="1">IF($J745="〇",OFFSET(集計!C$3,合体!$H745,0),"")</f>
        <v/>
      </c>
      <c r="M745" s="202" t="str">
        <f ca="1">IF($J745="〇",OFFSET(集計!D$3,合体!$H745,0),"")</f>
        <v/>
      </c>
    </row>
    <row r="746" spans="2:13" x14ac:dyDescent="0.2">
      <c r="B746" s="201">
        <f t="shared" si="11"/>
        <v>742</v>
      </c>
      <c r="C746" s="15" t="str">
        <f>薬品マスタリスト_20260130100542!A744</f>
        <v>プランルカスト錠２２５ｍｇ「日医工」</v>
      </c>
      <c r="D746" s="15" t="str">
        <f>薬品マスタリスト_20260130100542!B744</f>
        <v>ﾌﾟﾗﾝﾙｶｽﾄｼﾞｮｳ225mg｢ﾆﾁｲｺｳ｣</v>
      </c>
      <c r="E746" s="15">
        <f>薬品マスタリスト_20260130100542!C744</f>
        <v>1</v>
      </c>
      <c r="F746" s="206" t="str">
        <f>薬品マスタリスト_20260130100542!D744</f>
        <v>錠剤</v>
      </c>
      <c r="G746" s="208" t="str">
        <f>match_results!C743</f>
        <v>ガランタミンＯＤ錠１２ｍｇ「日医工」</v>
      </c>
      <c r="H746" s="208">
        <f>match_results!D743</f>
        <v>483</v>
      </c>
      <c r="I746" s="218">
        <f>match_results!E743</f>
        <v>61.1111111111111</v>
      </c>
      <c r="J746" s="225"/>
      <c r="K746" s="15" t="str">
        <f ca="1">IF($J746="〇",OFFSET(集計!B$3,合体!$H746,0),"")</f>
        <v/>
      </c>
      <c r="L746" s="15" t="str">
        <f ca="1">IF($J746="〇",OFFSET(集計!C$3,合体!$H746,0),"")</f>
        <v/>
      </c>
      <c r="M746" s="202" t="str">
        <f ca="1">IF($J746="〇",OFFSET(集計!D$3,合体!$H746,0),"")</f>
        <v/>
      </c>
    </row>
    <row r="747" spans="2:13" x14ac:dyDescent="0.2">
      <c r="B747" s="201">
        <f t="shared" si="11"/>
        <v>743</v>
      </c>
      <c r="C747" s="15" t="str">
        <f>薬品マスタリスト_20260130100542!A745</f>
        <v>プリモボラン錠５ｍｇ</v>
      </c>
      <c r="D747" s="15" t="str">
        <f>薬品マスタリスト_20260130100542!B745</f>
        <v>ﾌﾟﾘﾓﾎﾞﾗﾝｼﾞｮｳ5mg</v>
      </c>
      <c r="E747" s="15">
        <f>薬品マスタリスト_20260130100542!C745</f>
        <v>1</v>
      </c>
      <c r="F747" s="206" t="str">
        <f>薬品マスタリスト_20260130100542!D745</f>
        <v>錠剤</v>
      </c>
      <c r="G747" s="208" t="str">
        <f>match_results!C744</f>
        <v>プリモボラン錠５㎎</v>
      </c>
      <c r="H747" s="208">
        <f>match_results!D744</f>
        <v>33</v>
      </c>
      <c r="I747" s="218">
        <f>match_results!E744</f>
        <v>84.210526315789394</v>
      </c>
      <c r="J747" s="225"/>
      <c r="K747" s="15" t="str">
        <f ca="1">IF($J747="〇",OFFSET(集計!B$3,合体!$H747,0),"")</f>
        <v/>
      </c>
      <c r="L747" s="15" t="str">
        <f ca="1">IF($J747="〇",OFFSET(集計!C$3,合体!$H747,0),"")</f>
        <v/>
      </c>
      <c r="M747" s="202" t="str">
        <f ca="1">IF($J747="〇",OFFSET(集計!D$3,合体!$H747,0),"")</f>
        <v/>
      </c>
    </row>
    <row r="748" spans="2:13" x14ac:dyDescent="0.2">
      <c r="B748" s="201">
        <f t="shared" si="11"/>
        <v>744</v>
      </c>
      <c r="C748" s="15" t="str">
        <f>薬品マスタリスト_20260130100542!A746</f>
        <v>プリンペラン注射液１０ｍｇ</v>
      </c>
      <c r="D748" s="15" t="str">
        <f>薬品マスタリスト_20260130100542!B746</f>
        <v>ﾌﾟﾘﾝﾍﾟﾗﾝﾁﾕｳｼﾔｴｷ10MG</v>
      </c>
      <c r="E748" s="15">
        <f>薬品マスタリスト_20260130100542!C746</f>
        <v>25</v>
      </c>
      <c r="F748" s="206" t="str">
        <f>薬品マスタリスト_20260130100542!D746</f>
        <v>注射剤</v>
      </c>
      <c r="G748" s="208" t="str">
        <f>match_results!C745</f>
        <v>エピペン注射液０．３ｍｇ</v>
      </c>
      <c r="H748" s="208">
        <f>match_results!D745</f>
        <v>431</v>
      </c>
      <c r="I748" s="218">
        <f>match_results!E745</f>
        <v>64</v>
      </c>
      <c r="J748" s="225"/>
      <c r="K748" s="15" t="str">
        <f ca="1">IF($J748="〇",OFFSET(集計!B$3,合体!$H748,0),"")</f>
        <v/>
      </c>
      <c r="L748" s="15" t="str">
        <f ca="1">IF($J748="〇",OFFSET(集計!C$3,合体!$H748,0),"")</f>
        <v/>
      </c>
      <c r="M748" s="202" t="str">
        <f ca="1">IF($J748="〇",OFFSET(集計!D$3,合体!$H748,0),"")</f>
        <v/>
      </c>
    </row>
    <row r="749" spans="2:13" x14ac:dyDescent="0.2">
      <c r="B749" s="201">
        <f t="shared" si="11"/>
        <v>745</v>
      </c>
      <c r="C749" s="15" t="str">
        <f>薬品マスタリスト_20260130100542!A747</f>
        <v>フルイトラン錠２ｍｇ</v>
      </c>
      <c r="D749" s="15" t="str">
        <f>薬品マスタリスト_20260130100542!B747</f>
        <v>ﾌﾙｲﾄﾗﾝｼﾞｮｳ2mg</v>
      </c>
      <c r="E749" s="15">
        <f>薬品マスタリスト_20260130100542!C747</f>
        <v>1</v>
      </c>
      <c r="F749" s="206" t="str">
        <f>薬品マスタリスト_20260130100542!D747</f>
        <v>錠剤</v>
      </c>
      <c r="G749" s="208" t="str">
        <f>match_results!C746</f>
        <v>フルイトラン（２）</v>
      </c>
      <c r="H749" s="208">
        <f>match_results!D746</f>
        <v>22</v>
      </c>
      <c r="I749" s="218">
        <f>match_results!E746</f>
        <v>73.684210526315795</v>
      </c>
      <c r="J749" s="225"/>
      <c r="K749" s="15" t="str">
        <f ca="1">IF($J749="〇",OFFSET(集計!B$3,合体!$H749,0),"")</f>
        <v/>
      </c>
      <c r="L749" s="15" t="str">
        <f ca="1">IF($J749="〇",OFFSET(集計!C$3,合体!$H749,0),"")</f>
        <v/>
      </c>
      <c r="M749" s="202" t="str">
        <f ca="1">IF($J749="〇",OFFSET(集計!D$3,合体!$H749,0),"")</f>
        <v/>
      </c>
    </row>
    <row r="750" spans="2:13" x14ac:dyDescent="0.2">
      <c r="B750" s="201">
        <f t="shared" si="11"/>
        <v>746</v>
      </c>
      <c r="C750" s="15" t="str">
        <f>薬品マスタリスト_20260130100542!A748</f>
        <v>フルオロメトロン点眼液０．１％「ＮＩＴ」</v>
      </c>
      <c r="D750" s="15" t="str">
        <f>薬品マスタリスト_20260130100542!B748</f>
        <v>ﾌﾙｵﾛﾒﾄﾛﾝﾃﾝｶﾞﾝｴｷ0.1%NIT</v>
      </c>
      <c r="E750" s="15">
        <f>薬品マスタリスト_20260130100542!C748</f>
        <v>21</v>
      </c>
      <c r="F750" s="206" t="str">
        <f>薬品マスタリスト_20260130100542!D748</f>
        <v>点眼剤</v>
      </c>
      <c r="G750" s="208" t="str">
        <f>match_results!C747</f>
        <v>フルオロメトロン０．１％点眼液Ｔ　５ｍＬＸ５</v>
      </c>
      <c r="H750" s="208">
        <f>match_results!D747</f>
        <v>248</v>
      </c>
      <c r="I750" s="218">
        <f>match_results!E747</f>
        <v>61.904761904761898</v>
      </c>
      <c r="J750" s="225"/>
      <c r="K750" s="15" t="str">
        <f ca="1">IF($J750="〇",OFFSET(集計!B$3,合体!$H750,0),"")</f>
        <v/>
      </c>
      <c r="L750" s="15" t="str">
        <f ca="1">IF($J750="〇",OFFSET(集計!C$3,合体!$H750,0),"")</f>
        <v/>
      </c>
      <c r="M750" s="202" t="str">
        <f ca="1">IF($J750="〇",OFFSET(集計!D$3,合体!$H750,0),"")</f>
        <v/>
      </c>
    </row>
    <row r="751" spans="2:13" x14ac:dyDescent="0.2">
      <c r="B751" s="201">
        <f t="shared" si="11"/>
        <v>747</v>
      </c>
      <c r="C751" s="15" t="str">
        <f>薬品マスタリスト_20260130100542!A749</f>
        <v>フルコナゾールカプセル１００ｍｇ「サワイ」</v>
      </c>
      <c r="D751" s="15" t="str">
        <f>薬品マスタリスト_20260130100542!B749</f>
        <v>ﾌﾙｺﾅｿﾞ-ﾙｶﾌﾟｾﾙ100MGｻﾜｲ</v>
      </c>
      <c r="E751" s="15">
        <f>薬品マスタリスト_20260130100542!C749</f>
        <v>2</v>
      </c>
      <c r="F751" s="206" t="str">
        <f>薬品マスタリスト_20260130100542!D749</f>
        <v>カプセル</v>
      </c>
      <c r="G751" s="208" t="str">
        <f>match_results!C748</f>
        <v>アトモキセチンカプセル１０ｍｇ「サワイ」</v>
      </c>
      <c r="H751" s="208">
        <f>match_results!D748</f>
        <v>630</v>
      </c>
      <c r="I751" s="218">
        <f>match_results!E748</f>
        <v>63.414634146341399</v>
      </c>
      <c r="J751" s="225"/>
      <c r="K751" s="15" t="str">
        <f ca="1">IF($J751="〇",OFFSET(集計!B$3,合体!$H751,0),"")</f>
        <v/>
      </c>
      <c r="L751" s="15" t="str">
        <f ca="1">IF($J751="〇",OFFSET(集計!C$3,合体!$H751,0),"")</f>
        <v/>
      </c>
      <c r="M751" s="202" t="str">
        <f ca="1">IF($J751="〇",OFFSET(集計!D$3,合体!$H751,0),"")</f>
        <v/>
      </c>
    </row>
    <row r="752" spans="2:13" x14ac:dyDescent="0.2">
      <c r="B752" s="201">
        <f t="shared" si="11"/>
        <v>748</v>
      </c>
      <c r="C752" s="15" t="str">
        <f>薬品マスタリスト_20260130100542!A750</f>
        <v>フルタイド１００ディスカス</v>
      </c>
      <c r="D752" s="15" t="str">
        <f>薬品マスタリスト_20260130100542!B750</f>
        <v>ﾌﾙﾀｲﾄﾞ100ﾃﾞｨｽｶｽ</v>
      </c>
      <c r="E752" s="15">
        <f>薬品マスタリスト_20260130100542!C750</f>
        <v>10</v>
      </c>
      <c r="F752" s="206" t="str">
        <f>薬品マスタリスト_20260130100542!D750</f>
        <v>吸入剤</v>
      </c>
      <c r="G752" s="208" t="str">
        <f>match_results!C749</f>
        <v>フルコナゾール（１００）</v>
      </c>
      <c r="H752" s="208">
        <f>match_results!D749</f>
        <v>383</v>
      </c>
      <c r="I752" s="218">
        <f>match_results!E749</f>
        <v>40</v>
      </c>
      <c r="J752" s="225"/>
      <c r="K752" s="15" t="str">
        <f ca="1">IF($J752="〇",OFFSET(集計!B$3,合体!$H752,0),"")</f>
        <v/>
      </c>
      <c r="L752" s="15" t="str">
        <f ca="1">IF($J752="〇",OFFSET(集計!C$3,合体!$H752,0),"")</f>
        <v/>
      </c>
      <c r="M752" s="202" t="str">
        <f ca="1">IF($J752="〇",OFFSET(集計!D$3,合体!$H752,0),"")</f>
        <v/>
      </c>
    </row>
    <row r="753" spans="2:13" x14ac:dyDescent="0.2">
      <c r="B753" s="201">
        <f t="shared" si="11"/>
        <v>749</v>
      </c>
      <c r="C753" s="15" t="str">
        <f>薬品マスタリスト_20260130100542!A751</f>
        <v>フルツロンカプセル２００</v>
      </c>
      <c r="D753" s="15" t="str">
        <f>薬品マスタリスト_20260130100542!B751</f>
        <v>ﾌﾙﾂﾛﾝｶﾌﾟｾﾙ200</v>
      </c>
      <c r="E753" s="15">
        <f>薬品マスタリスト_20260130100542!C751</f>
        <v>2</v>
      </c>
      <c r="F753" s="206" t="str">
        <f>薬品マスタリスト_20260130100542!D751</f>
        <v>カプセル</v>
      </c>
      <c r="G753" s="208" t="str">
        <f>match_results!C750</f>
        <v>ユベラＮソフトカプセル２００ｍｇ</v>
      </c>
      <c r="H753" s="208">
        <f>match_results!D750</f>
        <v>279</v>
      </c>
      <c r="I753" s="218">
        <f>match_results!E750</f>
        <v>57.142857142857103</v>
      </c>
      <c r="J753" s="225"/>
      <c r="K753" s="15" t="str">
        <f ca="1">IF($J753="〇",OFFSET(集計!B$3,合体!$H753,0),"")</f>
        <v/>
      </c>
      <c r="L753" s="15" t="str">
        <f ca="1">IF($J753="〇",OFFSET(集計!C$3,合体!$H753,0),"")</f>
        <v/>
      </c>
      <c r="M753" s="202" t="str">
        <f ca="1">IF($J753="〇",OFFSET(集計!D$3,合体!$H753,0),"")</f>
        <v/>
      </c>
    </row>
    <row r="754" spans="2:13" x14ac:dyDescent="0.2">
      <c r="B754" s="201">
        <f t="shared" si="11"/>
        <v>750</v>
      </c>
      <c r="C754" s="15" t="str">
        <f>薬品マスタリスト_20260130100542!A752</f>
        <v>フルデカシン筋注２５ｍｇ</v>
      </c>
      <c r="D754" s="15" t="str">
        <f>薬品マスタリスト_20260130100542!B752</f>
        <v>ﾌﾙﾃﾞｶｼﾝｷﾝﾁｭｳ25mg</v>
      </c>
      <c r="E754" s="15">
        <f>薬品マスタリスト_20260130100542!C752</f>
        <v>25</v>
      </c>
      <c r="F754" s="206" t="str">
        <f>薬品マスタリスト_20260130100542!D752</f>
        <v>注射剤</v>
      </c>
      <c r="G754" s="208" t="str">
        <f>match_results!C751</f>
        <v>フルデカシン筋注２５ｍｇ　１ｍＬＸ５瓶</v>
      </c>
      <c r="H754" s="208">
        <f>match_results!D751</f>
        <v>180</v>
      </c>
      <c r="I754" s="218">
        <f>match_results!E751</f>
        <v>77.419354838709594</v>
      </c>
      <c r="J754" s="225"/>
      <c r="K754" s="15" t="str">
        <f ca="1">IF($J754="〇",OFFSET(集計!B$3,合体!$H754,0),"")</f>
        <v/>
      </c>
      <c r="L754" s="15" t="str">
        <f ca="1">IF($J754="〇",OFFSET(集計!C$3,合体!$H754,0),"")</f>
        <v/>
      </c>
      <c r="M754" s="202" t="str">
        <f ca="1">IF($J754="〇",OFFSET(集計!D$3,合体!$H754,0),"")</f>
        <v/>
      </c>
    </row>
    <row r="755" spans="2:13" x14ac:dyDescent="0.2">
      <c r="B755" s="201">
        <f t="shared" si="11"/>
        <v>751</v>
      </c>
      <c r="C755" s="15" t="str">
        <f>薬品マスタリスト_20260130100542!A753</f>
        <v>フルニトラゼパム錠１ｍｇ「アメル」</v>
      </c>
      <c r="D755" s="15" t="str">
        <f>薬品マスタリスト_20260130100542!B753</f>
        <v>ﾌﾙﾆﾄﾗｾﾞﾊﾟﾑｼﾞｮｳ1mg｢ｱﾒﾙ｣</v>
      </c>
      <c r="E755" s="15">
        <f>薬品マスタリスト_20260130100542!C753</f>
        <v>1</v>
      </c>
      <c r="F755" s="206" t="str">
        <f>薬品マスタリスト_20260130100542!D753</f>
        <v>錠剤</v>
      </c>
      <c r="G755" s="208" t="str">
        <f>match_results!C752</f>
        <v>フルニトラゼパム錠１ｍｇ「アメル」</v>
      </c>
      <c r="H755" s="208">
        <f>match_results!D752</f>
        <v>421</v>
      </c>
      <c r="I755" s="218">
        <f>match_results!E752</f>
        <v>100</v>
      </c>
      <c r="J755" s="225" t="s">
        <v>3917</v>
      </c>
      <c r="K755" s="15">
        <f ca="1">IF($J755="〇",OFFSET(集計!B$3,合体!$H755,0),"")</f>
        <v>5</v>
      </c>
      <c r="L755" s="15">
        <f ca="1">IF($J755="〇",OFFSET(集計!C$3,合体!$H755,0),"")</f>
        <v>1742</v>
      </c>
      <c r="M755" s="202">
        <f ca="1">IF($J755="〇",OFFSET(集計!D$3,合体!$H755,0),"")</f>
        <v>8710</v>
      </c>
    </row>
    <row r="756" spans="2:13" x14ac:dyDescent="0.2">
      <c r="B756" s="201">
        <f t="shared" si="11"/>
        <v>752</v>
      </c>
      <c r="C756" s="15" t="str">
        <f>薬品マスタリスト_20260130100542!A754</f>
        <v>フルニトラゼパム錠２ｍｇ「アメル」</v>
      </c>
      <c r="D756" s="15" t="str">
        <f>薬品マスタリスト_20260130100542!B754</f>
        <v>ﾌﾙﾆﾄﾗｾﾞﾊﾟﾑｼﾞｮｳ2mg｢ｱﾒﾙ｣</v>
      </c>
      <c r="E756" s="15">
        <f>薬品マスタリスト_20260130100542!C754</f>
        <v>1</v>
      </c>
      <c r="F756" s="206" t="str">
        <f>薬品マスタリスト_20260130100542!D754</f>
        <v>錠剤</v>
      </c>
      <c r="G756" s="208" t="str">
        <f>match_results!C753</f>
        <v>フルニトラゼパム錠２ｍｇ「アメル」</v>
      </c>
      <c r="H756" s="208">
        <f>match_results!D753</f>
        <v>350</v>
      </c>
      <c r="I756" s="218">
        <f>match_results!E753</f>
        <v>100</v>
      </c>
      <c r="J756" s="225" t="s">
        <v>3917</v>
      </c>
      <c r="K756" s="15">
        <f ca="1">IF($J756="〇",OFFSET(集計!B$3,合体!$H756,0),"")</f>
        <v>5.2</v>
      </c>
      <c r="L756" s="15">
        <f ca="1">IF($J756="〇",OFFSET(集計!C$3,合体!$H756,0),"")</f>
        <v>1139</v>
      </c>
      <c r="M756" s="202">
        <f ca="1">IF($J756="〇",OFFSET(集計!D$3,合体!$H756,0),"")</f>
        <v>5922.8</v>
      </c>
    </row>
    <row r="757" spans="2:13" x14ac:dyDescent="0.2">
      <c r="B757" s="201">
        <f t="shared" si="11"/>
        <v>753</v>
      </c>
      <c r="C757" s="15" t="str">
        <f>薬品マスタリスト_20260130100542!A755</f>
        <v>フルルバンパップ４０ｍｇ</v>
      </c>
      <c r="D757" s="15" t="str">
        <f>薬品マスタリスト_20260130100542!B755</f>
        <v>ﾌﾙﾙﾊﾞﾝﾊﾟｯﾌﾟ40mg</v>
      </c>
      <c r="E757" s="15">
        <f>薬品マスタリスト_20260130100542!C755</f>
        <v>19</v>
      </c>
      <c r="F757" s="206" t="str">
        <f>薬品マスタリスト_20260130100542!D755</f>
        <v>貼付剤</v>
      </c>
      <c r="G757" s="208" t="str">
        <f>match_results!C754</f>
        <v>フルルバンパップ４０ｍｇ　６００枚</v>
      </c>
      <c r="H757" s="208">
        <f>match_results!D754</f>
        <v>295</v>
      </c>
      <c r="I757" s="218">
        <f>match_results!E754</f>
        <v>82.758620689655103</v>
      </c>
      <c r="J757" s="225"/>
      <c r="K757" s="15" t="str">
        <f ca="1">IF($J757="〇",OFFSET(集計!B$3,合体!$H757,0),"")</f>
        <v/>
      </c>
      <c r="L757" s="15" t="str">
        <f ca="1">IF($J757="〇",OFFSET(集計!C$3,合体!$H757,0),"")</f>
        <v/>
      </c>
      <c r="M757" s="202" t="str">
        <f ca="1">IF($J757="〇",OFFSET(集計!D$3,合体!$H757,0),"")</f>
        <v/>
      </c>
    </row>
    <row r="758" spans="2:13" x14ac:dyDescent="0.2">
      <c r="B758" s="201">
        <f t="shared" si="11"/>
        <v>754</v>
      </c>
      <c r="C758" s="15" t="str">
        <f>薬品マスタリスト_20260130100542!A756</f>
        <v>プレガバリンＯＤ錠２５ｍｇ「サワイ」</v>
      </c>
      <c r="D758" s="15" t="str">
        <f>薬品マスタリスト_20260130100542!B756</f>
        <v>ﾌﾟﾚｶﾞﾊﾞﾘﾝODｼﾞｮｳ25mg｢ｻﾜｲ｣</v>
      </c>
      <c r="E758" s="15">
        <f>薬品マスタリスト_20260130100542!C756</f>
        <v>1</v>
      </c>
      <c r="F758" s="206" t="str">
        <f>薬品マスタリスト_20260130100542!D756</f>
        <v>錠剤</v>
      </c>
      <c r="G758" s="208" t="str">
        <f>match_results!C755</f>
        <v>プレガバリンＯＤ（２５）</v>
      </c>
      <c r="H758" s="208">
        <f>match_results!D755</f>
        <v>158</v>
      </c>
      <c r="I758" s="218">
        <f>match_results!E755</f>
        <v>66.6666666666666</v>
      </c>
      <c r="J758" s="225"/>
      <c r="K758" s="15" t="str">
        <f ca="1">IF($J758="〇",OFFSET(集計!B$3,合体!$H758,0),"")</f>
        <v/>
      </c>
      <c r="L758" s="15" t="str">
        <f ca="1">IF($J758="〇",OFFSET(集計!C$3,合体!$H758,0),"")</f>
        <v/>
      </c>
      <c r="M758" s="202" t="str">
        <f ca="1">IF($J758="〇",OFFSET(集計!D$3,合体!$H758,0),"")</f>
        <v/>
      </c>
    </row>
    <row r="759" spans="2:13" x14ac:dyDescent="0.2">
      <c r="B759" s="201">
        <f t="shared" si="11"/>
        <v>755</v>
      </c>
      <c r="C759" s="15" t="str">
        <f>薬品マスタリスト_20260130100542!A757</f>
        <v>プレガバリンＯＤ錠７５ｍｇ「サワイ」</v>
      </c>
      <c r="D759" s="15" t="str">
        <f>薬品マスタリスト_20260130100542!B757</f>
        <v>ﾌﾟﾚｶﾞﾊﾞﾘﾝODｼﾞｮｳ75mg｢ｻﾜｲ｣</v>
      </c>
      <c r="E759" s="15">
        <f>薬品マスタリスト_20260130100542!C757</f>
        <v>1</v>
      </c>
      <c r="F759" s="206" t="str">
        <f>薬品マスタリスト_20260130100542!D757</f>
        <v>錠剤</v>
      </c>
      <c r="G759" s="208" t="str">
        <f>match_results!C756</f>
        <v>プレガバリンＯＤ（７５）</v>
      </c>
      <c r="H759" s="208">
        <f>match_results!D756</f>
        <v>192</v>
      </c>
      <c r="I759" s="218">
        <f>match_results!E756</f>
        <v>66.6666666666666</v>
      </c>
      <c r="J759" s="225"/>
      <c r="K759" s="15" t="str">
        <f ca="1">IF($J759="〇",OFFSET(集計!B$3,合体!$H759,0),"")</f>
        <v/>
      </c>
      <c r="L759" s="15" t="str">
        <f ca="1">IF($J759="〇",OFFSET(集計!C$3,合体!$H759,0),"")</f>
        <v/>
      </c>
      <c r="M759" s="202" t="str">
        <f ca="1">IF($J759="〇",OFFSET(集計!D$3,合体!$H759,0),"")</f>
        <v/>
      </c>
    </row>
    <row r="760" spans="2:13" x14ac:dyDescent="0.2">
      <c r="B760" s="201">
        <f t="shared" si="11"/>
        <v>756</v>
      </c>
      <c r="C760" s="15" t="str">
        <f>薬品マスタリスト_20260130100542!A758</f>
        <v>プレドニゾロン錠１ｍｇ「ＶＴＲＳ」</v>
      </c>
      <c r="D760" s="15" t="str">
        <f>薬品マスタリスト_20260130100542!B758</f>
        <v>ﾌﾟﾚﾄﾞﾆｿﾞﾛﾝｼﾞｮｳ1mg｢VTRS｣</v>
      </c>
      <c r="E760" s="15">
        <f>薬品マスタリスト_20260130100542!C758</f>
        <v>1</v>
      </c>
      <c r="F760" s="206" t="str">
        <f>薬品マスタリスト_20260130100542!D758</f>
        <v>錠剤</v>
      </c>
      <c r="G760" s="208" t="str">
        <f>match_results!C757</f>
        <v>プレドニゾロン錠５「ＶＴＲＳ」</v>
      </c>
      <c r="H760" s="208">
        <f>match_results!D757</f>
        <v>289</v>
      </c>
      <c r="I760" s="218">
        <f>match_results!E757</f>
        <v>87.5</v>
      </c>
      <c r="J760" s="225"/>
      <c r="K760" s="15" t="str">
        <f ca="1">IF($J760="〇",OFFSET(集計!B$3,合体!$H760,0),"")</f>
        <v/>
      </c>
      <c r="L760" s="15" t="str">
        <f ca="1">IF($J760="〇",OFFSET(集計!C$3,合体!$H760,0),"")</f>
        <v/>
      </c>
      <c r="M760" s="202" t="str">
        <f ca="1">IF($J760="〇",OFFSET(集計!D$3,合体!$H760,0),"")</f>
        <v/>
      </c>
    </row>
    <row r="761" spans="2:13" x14ac:dyDescent="0.2">
      <c r="B761" s="201">
        <f t="shared" si="11"/>
        <v>757</v>
      </c>
      <c r="C761" s="15" t="str">
        <f>薬品マスタリスト_20260130100542!A759</f>
        <v>プレドニゾロン錠５ｍｇ「ＶＴＲＳ」</v>
      </c>
      <c r="D761" s="15" t="str">
        <f>薬品マスタリスト_20260130100542!B759</f>
        <v>ﾌﾟﾚﾄﾞﾆｿﾞﾛﾝｼﾞｮｳ5mg｢VTRS｣</v>
      </c>
      <c r="E761" s="15">
        <f>薬品マスタリスト_20260130100542!C759</f>
        <v>1</v>
      </c>
      <c r="F761" s="206" t="str">
        <f>薬品マスタリスト_20260130100542!D759</f>
        <v>錠剤</v>
      </c>
      <c r="G761" s="208" t="str">
        <f>match_results!C758</f>
        <v>プレドニゾロン錠５「ＶＴＲＳ」</v>
      </c>
      <c r="H761" s="208">
        <f>match_results!D758</f>
        <v>289</v>
      </c>
      <c r="I761" s="218">
        <f>match_results!E758</f>
        <v>93.75</v>
      </c>
      <c r="J761" s="225"/>
      <c r="K761" s="15" t="str">
        <f ca="1">IF($J761="〇",OFFSET(集計!B$3,合体!$H761,0),"")</f>
        <v/>
      </c>
      <c r="L761" s="15" t="str">
        <f ca="1">IF($J761="〇",OFFSET(集計!C$3,合体!$H761,0),"")</f>
        <v/>
      </c>
      <c r="M761" s="202" t="str">
        <f ca="1">IF($J761="〇",OFFSET(集計!D$3,合体!$H761,0),"")</f>
        <v/>
      </c>
    </row>
    <row r="762" spans="2:13" x14ac:dyDescent="0.2">
      <c r="B762" s="201">
        <f t="shared" si="11"/>
        <v>758</v>
      </c>
      <c r="C762" s="15" t="str">
        <f>薬品マスタリスト_20260130100542!A760</f>
        <v>水溶性プレドニン１０ｍｇ</v>
      </c>
      <c r="D762" s="15" t="str">
        <f>薬品マスタリスト_20260130100542!B760</f>
        <v>ｽｲﾖｳｾｲﾌﾟﾚﾄﾞﾆﾝ10MG</v>
      </c>
      <c r="E762" s="15">
        <f>薬品マスタリスト_20260130100542!C760</f>
        <v>25</v>
      </c>
      <c r="F762" s="206" t="str">
        <f>薬品マスタリスト_20260130100542!D760</f>
        <v>注射剤</v>
      </c>
      <c r="G762" s="208" t="str">
        <f>match_results!C759</f>
        <v>プレドニゾロン錠１</v>
      </c>
      <c r="H762" s="208">
        <f>match_results!D759</f>
        <v>95</v>
      </c>
      <c r="I762" s="218">
        <f>match_results!E759</f>
        <v>57.142857142857103</v>
      </c>
      <c r="J762" s="225"/>
      <c r="K762" s="15" t="str">
        <f ca="1">IF($J762="〇",OFFSET(集計!B$3,合体!$H762,0),"")</f>
        <v/>
      </c>
      <c r="L762" s="15" t="str">
        <f ca="1">IF($J762="〇",OFFSET(集計!C$3,合体!$H762,0),"")</f>
        <v/>
      </c>
      <c r="M762" s="202" t="str">
        <f ca="1">IF($J762="〇",OFFSET(集計!D$3,合体!$H762,0),"")</f>
        <v/>
      </c>
    </row>
    <row r="763" spans="2:13" x14ac:dyDescent="0.2">
      <c r="B763" s="201">
        <f t="shared" si="11"/>
        <v>759</v>
      </c>
      <c r="C763" s="15" t="str">
        <f>薬品マスタリスト_20260130100542!A761</f>
        <v>プログラフカプセル１ｍｇ</v>
      </c>
      <c r="D763" s="15" t="str">
        <f>薬品マスタリスト_20260130100542!B761</f>
        <v>ﾌﾟﾛｸﾞﾗﾌｶﾌﾟｾﾙ1mg</v>
      </c>
      <c r="E763" s="15">
        <f>薬品マスタリスト_20260130100542!C761</f>
        <v>2</v>
      </c>
      <c r="F763" s="206" t="str">
        <f>薬品マスタリスト_20260130100542!D761</f>
        <v>カプセル</v>
      </c>
      <c r="G763" s="208" t="str">
        <f>match_results!C760</f>
        <v>ロペミンカプセル１ｍｇ</v>
      </c>
      <c r="H763" s="208">
        <f>match_results!D760</f>
        <v>110</v>
      </c>
      <c r="I763" s="218">
        <f>match_results!E760</f>
        <v>69.565217391304301</v>
      </c>
      <c r="J763" s="225"/>
      <c r="K763" s="15" t="str">
        <f ca="1">IF($J763="〇",OFFSET(集計!B$3,合体!$H763,0),"")</f>
        <v/>
      </c>
      <c r="L763" s="15" t="str">
        <f ca="1">IF($J763="〇",OFFSET(集計!C$3,合体!$H763,0),"")</f>
        <v/>
      </c>
      <c r="M763" s="202" t="str">
        <f ca="1">IF($J763="〇",OFFSET(集計!D$3,合体!$H763,0),"")</f>
        <v/>
      </c>
    </row>
    <row r="764" spans="2:13" x14ac:dyDescent="0.2">
      <c r="B764" s="201">
        <f t="shared" si="11"/>
        <v>760</v>
      </c>
      <c r="C764" s="15" t="str">
        <f>薬品マスタリスト_20260130100542!A762</f>
        <v>プロスタンディン軟膏０．００３％</v>
      </c>
      <c r="D764" s="15" t="str">
        <f>薬品マスタリスト_20260130100542!B762</f>
        <v>ﾌﾟﾛｽﾀﾝﾃﾞｨﾝﾅﾝｺｳ0.003%</v>
      </c>
      <c r="E764" s="15">
        <f>薬品マスタリスト_20260130100542!C762</f>
        <v>14</v>
      </c>
      <c r="F764" s="206" t="str">
        <f>薬品マスタリスト_20260130100542!D762</f>
        <v>軟膏</v>
      </c>
      <c r="G764" s="208" t="str">
        <f>match_results!C761</f>
        <v>プロスタンディン軟膏　３０ｇ／本</v>
      </c>
      <c r="H764" s="208">
        <f>match_results!D761</f>
        <v>79</v>
      </c>
      <c r="I764" s="218">
        <f>match_results!E761</f>
        <v>68.75</v>
      </c>
      <c r="J764" s="225"/>
      <c r="K764" s="15" t="str">
        <f ca="1">IF($J764="〇",OFFSET(集計!B$3,合体!$H764,0),"")</f>
        <v/>
      </c>
      <c r="L764" s="15" t="str">
        <f ca="1">IF($J764="〇",OFFSET(集計!C$3,合体!$H764,0),"")</f>
        <v/>
      </c>
      <c r="M764" s="202" t="str">
        <f ca="1">IF($J764="〇",OFFSET(集計!D$3,合体!$H764,0),"")</f>
        <v/>
      </c>
    </row>
    <row r="765" spans="2:13" x14ac:dyDescent="0.2">
      <c r="B765" s="201">
        <f t="shared" si="11"/>
        <v>761</v>
      </c>
      <c r="C765" s="15" t="str">
        <f>薬品マスタリスト_20260130100542!A763</f>
        <v>フロセミド錠２０ｍｇ「ＮＩＧ」</v>
      </c>
      <c r="D765" s="15" t="str">
        <f>薬品マスタリスト_20260130100542!B763</f>
        <v>ﾌﾛｾﾐﾄﾞｼﾞｮｳ20mg｢NIG｣</v>
      </c>
      <c r="E765" s="15">
        <f>薬品マスタリスト_20260130100542!C763</f>
        <v>1</v>
      </c>
      <c r="F765" s="206" t="str">
        <f>薬品マスタリスト_20260130100542!D763</f>
        <v>錠剤</v>
      </c>
      <c r="G765" s="208" t="str">
        <f>match_results!C762</f>
        <v>フロセミド錠２０「ＮＩＧ」</v>
      </c>
      <c r="H765" s="208">
        <f>match_results!D762</f>
        <v>177</v>
      </c>
      <c r="I765" s="218">
        <f>match_results!E762</f>
        <v>92.857142857142804</v>
      </c>
      <c r="J765" s="225"/>
      <c r="K765" s="15" t="str">
        <f ca="1">IF($J765="〇",OFFSET(集計!B$3,合体!$H765,0),"")</f>
        <v/>
      </c>
      <c r="L765" s="15" t="str">
        <f ca="1">IF($J765="〇",OFFSET(集計!C$3,合体!$H765,0),"")</f>
        <v/>
      </c>
      <c r="M765" s="202" t="str">
        <f ca="1">IF($J765="〇",OFFSET(集計!D$3,合体!$H765,0),"")</f>
        <v/>
      </c>
    </row>
    <row r="766" spans="2:13" x14ac:dyDescent="0.2">
      <c r="B766" s="201">
        <f t="shared" si="11"/>
        <v>762</v>
      </c>
      <c r="C766" s="15" t="str">
        <f>薬品マスタリスト_20260130100542!A764</f>
        <v>フロセミド細粒４％「ＥＭＥＣ」</v>
      </c>
      <c r="D766" s="15" t="str">
        <f>薬品マスタリスト_20260130100542!B764</f>
        <v>ﾌﾛｾﾐﾄﾞｻｲﾘｭｳ4%｢EMEC｣</v>
      </c>
      <c r="E766" s="15">
        <f>薬品マスタリスト_20260130100542!C764</f>
        <v>3</v>
      </c>
      <c r="F766" s="206" t="str">
        <f>薬品マスタリスト_20260130100542!D764</f>
        <v>散</v>
      </c>
      <c r="G766" s="208" t="str">
        <f>match_results!C763</f>
        <v>フロセミド細粒　４％　「ＥＭＥＣ」　</v>
      </c>
      <c r="H766" s="208">
        <f>match_results!D763</f>
        <v>90</v>
      </c>
      <c r="I766" s="218">
        <f>match_results!E763</f>
        <v>56.25</v>
      </c>
      <c r="J766" s="225"/>
      <c r="K766" s="15" t="str">
        <f ca="1">IF($J766="〇",OFFSET(集計!B$3,合体!$H766,0),"")</f>
        <v/>
      </c>
      <c r="L766" s="15" t="str">
        <f ca="1">IF($J766="〇",OFFSET(集計!C$3,合体!$H766,0),"")</f>
        <v/>
      </c>
      <c r="M766" s="202" t="str">
        <f ca="1">IF($J766="〇",OFFSET(集計!D$3,合体!$H766,0),"")</f>
        <v/>
      </c>
    </row>
    <row r="767" spans="2:13" x14ac:dyDescent="0.2">
      <c r="B767" s="201">
        <f t="shared" si="11"/>
        <v>763</v>
      </c>
      <c r="C767" s="15" t="str">
        <f>薬品マスタリスト_20260130100542!A765</f>
        <v>フロセミド注２０ｍｇ「トーワ」</v>
      </c>
      <c r="D767" s="15" t="str">
        <f>薬品マスタリスト_20260130100542!B765</f>
        <v>ﾌﾛｾﾐﾄﾞﾁｭｳ20mg｢ﾄｰﾜ｣</v>
      </c>
      <c r="E767" s="15">
        <f>薬品マスタリスト_20260130100542!C765</f>
        <v>25</v>
      </c>
      <c r="F767" s="206" t="str">
        <f>薬品マスタリスト_20260130100542!D765</f>
        <v>注射剤</v>
      </c>
      <c r="G767" s="208" t="str">
        <f>match_results!C764</f>
        <v>フロセミド注２０㎎「トーワ」</v>
      </c>
      <c r="H767" s="208">
        <f>match_results!D764</f>
        <v>262</v>
      </c>
      <c r="I767" s="218">
        <f>match_results!E764</f>
        <v>89.655172413793096</v>
      </c>
      <c r="J767" s="225"/>
      <c r="K767" s="15" t="str">
        <f ca="1">IF($J767="〇",OFFSET(集計!B$3,合体!$H767,0),"")</f>
        <v/>
      </c>
      <c r="L767" s="15" t="str">
        <f ca="1">IF($J767="〇",OFFSET(集計!C$3,合体!$H767,0),"")</f>
        <v/>
      </c>
      <c r="M767" s="202" t="str">
        <f ca="1">IF($J767="〇",OFFSET(集計!D$3,合体!$H767,0),"")</f>
        <v/>
      </c>
    </row>
    <row r="768" spans="2:13" x14ac:dyDescent="0.2">
      <c r="B768" s="201">
        <f t="shared" si="11"/>
        <v>764</v>
      </c>
      <c r="C768" s="15" t="str">
        <f>薬品マスタリスト_20260130100542!A766</f>
        <v>プロタノールＳ錠１５ｍｇ</v>
      </c>
      <c r="D768" s="15" t="str">
        <f>薬品マスタリスト_20260130100542!B766</f>
        <v>ﾌﾟﾛﾀﾉｰﾙSｼﾞｮｳ15mg</v>
      </c>
      <c r="E768" s="15">
        <f>薬品マスタリスト_20260130100542!C766</f>
        <v>1</v>
      </c>
      <c r="F768" s="206" t="str">
        <f>薬品マスタリスト_20260130100542!D766</f>
        <v>錠剤</v>
      </c>
      <c r="G768" s="208" t="str">
        <f>match_results!C765</f>
        <v>プロタノールＳ錠１５ｍｇ</v>
      </c>
      <c r="H768" s="208">
        <f>match_results!D765</f>
        <v>301</v>
      </c>
      <c r="I768" s="218">
        <f>match_results!E765</f>
        <v>100</v>
      </c>
      <c r="J768" s="225" t="s">
        <v>3917</v>
      </c>
      <c r="K768" s="15">
        <f ca="1">IF($J768="〇",OFFSET(集計!B$3,合体!$H768,0),"")</f>
        <v>20</v>
      </c>
      <c r="L768" s="15">
        <f ca="1">IF($J768="〇",OFFSET(集計!C$3,合体!$H768,0),"")</f>
        <v>233</v>
      </c>
      <c r="M768" s="202">
        <f ca="1">IF($J768="〇",OFFSET(集計!D$3,合体!$H768,0),"")</f>
        <v>4660</v>
      </c>
    </row>
    <row r="769" spans="2:13" x14ac:dyDescent="0.2">
      <c r="B769" s="201">
        <f t="shared" si="11"/>
        <v>765</v>
      </c>
      <c r="C769" s="15" t="str">
        <f>薬品マスタリスト_20260130100542!A767</f>
        <v>ブロチゾラム錠０．２５ｍｇ「トーワ」</v>
      </c>
      <c r="D769" s="15" t="str">
        <f>薬品マスタリスト_20260130100542!B767</f>
        <v>ﾌﾞﾛﾁｿﾞﾗﾑｼﾞｮｳ0.25mg｢ﾄｰﾜ｣</v>
      </c>
      <c r="E769" s="15">
        <f>薬品マスタリスト_20260130100542!C767</f>
        <v>1</v>
      </c>
      <c r="F769" s="206" t="str">
        <f>薬品マスタリスト_20260130100542!D767</f>
        <v>錠剤</v>
      </c>
      <c r="G769" s="208" t="str">
        <f>match_results!C766</f>
        <v>ブロチゾラム錠０．２５ｍｇ</v>
      </c>
      <c r="H769" s="208">
        <f>match_results!D766</f>
        <v>553</v>
      </c>
      <c r="I769" s="218">
        <f>match_results!E766</f>
        <v>83.870967741935402</v>
      </c>
      <c r="J769" s="225"/>
      <c r="K769" s="15" t="str">
        <f ca="1">IF($J769="〇",OFFSET(集計!B$3,合体!$H769,0),"")</f>
        <v/>
      </c>
      <c r="L769" s="15" t="str">
        <f ca="1">IF($J769="〇",OFFSET(集計!C$3,合体!$H769,0),"")</f>
        <v/>
      </c>
      <c r="M769" s="202" t="str">
        <f ca="1">IF($J769="〇",OFFSET(集計!D$3,合体!$H769,0),"")</f>
        <v/>
      </c>
    </row>
    <row r="770" spans="2:13" x14ac:dyDescent="0.2">
      <c r="B770" s="201">
        <f t="shared" si="11"/>
        <v>766</v>
      </c>
      <c r="C770" s="15" t="str">
        <f>薬品マスタリスト_20260130100542!A768</f>
        <v>ブロチゾラム錠０．２５ｍｇ「ヨシトミ」</v>
      </c>
      <c r="D770" s="15" t="str">
        <f>薬品マスタリスト_20260130100542!B768</f>
        <v>ﾌﾞﾛﾁｿﾞﾗﾑｼﾞﾖｳ0.25MGﾖｼﾄﾐ</v>
      </c>
      <c r="E770" s="15">
        <f>薬品マスタリスト_20260130100542!C768</f>
        <v>1</v>
      </c>
      <c r="F770" s="206" t="str">
        <f>薬品マスタリスト_20260130100542!D768</f>
        <v>錠剤</v>
      </c>
      <c r="G770" s="208" t="str">
        <f>match_results!C767</f>
        <v>ブロチゾラム錠０．２５ｍｇ</v>
      </c>
      <c r="H770" s="208">
        <f>match_results!D767</f>
        <v>553</v>
      </c>
      <c r="I770" s="218">
        <f>match_results!E767</f>
        <v>81.25</v>
      </c>
      <c r="J770" s="225"/>
      <c r="K770" s="15" t="str">
        <f ca="1">IF($J770="〇",OFFSET(集計!B$3,合体!$H770,0),"")</f>
        <v/>
      </c>
      <c r="L770" s="15" t="str">
        <f ca="1">IF($J770="〇",OFFSET(集計!C$3,合体!$H770,0),"")</f>
        <v/>
      </c>
      <c r="M770" s="202" t="str">
        <f ca="1">IF($J770="〇",OFFSET(集計!D$3,合体!$H770,0),"")</f>
        <v/>
      </c>
    </row>
    <row r="771" spans="2:13" x14ac:dyDescent="0.2">
      <c r="B771" s="201">
        <f t="shared" si="11"/>
        <v>767</v>
      </c>
      <c r="C771" s="15" t="str">
        <f>薬品マスタリスト_20260130100542!A769</f>
        <v>プロトピック軟膏０．１％</v>
      </c>
      <c r="D771" s="15" t="str">
        <f>薬品マスタリスト_20260130100542!B769</f>
        <v>ﾌﾟﾛﾄﾋﾟｯｸﾅﾝｺｳ0.1%</v>
      </c>
      <c r="E771" s="15">
        <f>薬品マスタリスト_20260130100542!C769</f>
        <v>14</v>
      </c>
      <c r="F771" s="206" t="str">
        <f>薬品マスタリスト_20260130100542!D769</f>
        <v>軟膏</v>
      </c>
      <c r="G771" s="208" t="str">
        <f>match_results!C768</f>
        <v>ロコイド軟膏０．１％</v>
      </c>
      <c r="H771" s="208">
        <f>match_results!D768</f>
        <v>172</v>
      </c>
      <c r="I771" s="218">
        <f>match_results!E768</f>
        <v>63.636363636363598</v>
      </c>
      <c r="J771" s="225"/>
      <c r="K771" s="15" t="str">
        <f ca="1">IF($J771="〇",OFFSET(集計!B$3,合体!$H771,0),"")</f>
        <v/>
      </c>
      <c r="L771" s="15" t="str">
        <f ca="1">IF($J771="〇",OFFSET(集計!C$3,合体!$H771,0),"")</f>
        <v/>
      </c>
      <c r="M771" s="202" t="str">
        <f ca="1">IF($J771="〇",OFFSET(集計!D$3,合体!$H771,0),"")</f>
        <v/>
      </c>
    </row>
    <row r="772" spans="2:13" x14ac:dyDescent="0.2">
      <c r="B772" s="201">
        <f t="shared" si="11"/>
        <v>768</v>
      </c>
      <c r="C772" s="15" t="str">
        <f>薬品マスタリスト_20260130100542!A770</f>
        <v>ブロナンセリン錠２ｍｇ「ＤＳＰＢ」</v>
      </c>
      <c r="D772" s="15" t="str">
        <f>薬品マスタリスト_20260130100542!B770</f>
        <v>ﾌﾞﾛﾅﾝｾﾘﾝｼﾞｮｳ2mg｢DSPB｣</v>
      </c>
      <c r="E772" s="15">
        <f>薬品マスタリスト_20260130100542!C770</f>
        <v>1</v>
      </c>
      <c r="F772" s="206" t="str">
        <f>薬品マスタリスト_20260130100542!D770</f>
        <v>錠剤</v>
      </c>
      <c r="G772" s="208" t="str">
        <f>match_results!C769</f>
        <v>ブロナンセリン散２％「ＤＳＰＢ］</v>
      </c>
      <c r="H772" s="208">
        <f>match_results!D769</f>
        <v>536</v>
      </c>
      <c r="I772" s="218">
        <f>match_results!E769</f>
        <v>78.787878787878697</v>
      </c>
      <c r="J772" s="225"/>
      <c r="K772" s="15" t="str">
        <f ca="1">IF($J772="〇",OFFSET(集計!B$3,合体!$H772,0),"")</f>
        <v/>
      </c>
      <c r="L772" s="15" t="str">
        <f ca="1">IF($J772="〇",OFFSET(集計!C$3,合体!$H772,0),"")</f>
        <v/>
      </c>
      <c r="M772" s="202" t="str">
        <f ca="1">IF($J772="〇",OFFSET(集計!D$3,合体!$H772,0),"")</f>
        <v/>
      </c>
    </row>
    <row r="773" spans="2:13" x14ac:dyDescent="0.2">
      <c r="B773" s="201">
        <f t="shared" si="11"/>
        <v>769</v>
      </c>
      <c r="C773" s="15" t="str">
        <f>薬品マスタリスト_20260130100542!A771</f>
        <v>ブロナンセリン錠４ｍｇ「ＤＳＰＢ」</v>
      </c>
      <c r="D773" s="15" t="str">
        <f>薬品マスタリスト_20260130100542!B771</f>
        <v>ﾌﾞﾛﾅﾝｾﾘﾝｼﾞｮｳ4mg｢DSPB｣</v>
      </c>
      <c r="E773" s="15">
        <f>薬品マスタリスト_20260130100542!C771</f>
        <v>1</v>
      </c>
      <c r="F773" s="206" t="str">
        <f>薬品マスタリスト_20260130100542!D771</f>
        <v>錠剤</v>
      </c>
      <c r="G773" s="208" t="str">
        <f>match_results!C770</f>
        <v>ブロナンセリン錠４ｍｇ</v>
      </c>
      <c r="H773" s="208">
        <f>match_results!D770</f>
        <v>622</v>
      </c>
      <c r="I773" s="218">
        <f>match_results!E770</f>
        <v>78.571428571428498</v>
      </c>
      <c r="J773" s="225"/>
      <c r="K773" s="15" t="str">
        <f ca="1">IF($J773="〇",OFFSET(集計!B$3,合体!$H773,0),"")</f>
        <v/>
      </c>
      <c r="L773" s="15" t="str">
        <f ca="1">IF($J773="〇",OFFSET(集計!C$3,合体!$H773,0),"")</f>
        <v/>
      </c>
      <c r="M773" s="202" t="str">
        <f ca="1">IF($J773="〇",OFFSET(集計!D$3,合体!$H773,0),"")</f>
        <v/>
      </c>
    </row>
    <row r="774" spans="2:13" x14ac:dyDescent="0.2">
      <c r="B774" s="201">
        <f t="shared" si="11"/>
        <v>770</v>
      </c>
      <c r="C774" s="15" t="str">
        <f>薬品マスタリスト_20260130100542!A772</f>
        <v>ブロナンセリン錠８ｍｇ「ＤＳＰＢ」</v>
      </c>
      <c r="D774" s="15" t="str">
        <f>薬品マスタリスト_20260130100542!B772</f>
        <v>ﾌﾞﾛﾅﾝｾﾘﾝｼﾞｮｳ8mg｢DSPB｣</v>
      </c>
      <c r="E774" s="15">
        <f>薬品マスタリスト_20260130100542!C772</f>
        <v>1</v>
      </c>
      <c r="F774" s="206" t="str">
        <f>薬品マスタリスト_20260130100542!D772</f>
        <v>錠剤</v>
      </c>
      <c r="G774" s="208" t="str">
        <f>match_results!C771</f>
        <v>ブロナンセリン錠８ｍｇ</v>
      </c>
      <c r="H774" s="208">
        <f>match_results!D771</f>
        <v>645</v>
      </c>
      <c r="I774" s="218">
        <f>match_results!E771</f>
        <v>78.571428571428498</v>
      </c>
      <c r="J774" s="225"/>
      <c r="K774" s="15" t="str">
        <f ca="1">IF($J774="〇",OFFSET(集計!B$3,合体!$H774,0),"")</f>
        <v/>
      </c>
      <c r="L774" s="15" t="str">
        <f ca="1">IF($J774="〇",OFFSET(集計!C$3,合体!$H774,0),"")</f>
        <v/>
      </c>
      <c r="M774" s="202" t="str">
        <f ca="1">IF($J774="〇",OFFSET(集計!D$3,合体!$H774,0),"")</f>
        <v/>
      </c>
    </row>
    <row r="775" spans="2:13" x14ac:dyDescent="0.2">
      <c r="B775" s="201">
        <f t="shared" ref="B775:B838" si="12">B774+1</f>
        <v>771</v>
      </c>
      <c r="C775" s="15" t="str">
        <f>薬品マスタリスト_20260130100542!A773</f>
        <v>ブロナンセリン散２％「ＤＳＰＢ」</v>
      </c>
      <c r="D775" s="15" t="str">
        <f>薬品マスタリスト_20260130100542!B773</f>
        <v>ﾌﾞﾛﾅﾝｾﾘﾝｻﾝ2%｢DSPB｣</v>
      </c>
      <c r="E775" s="15">
        <f>薬品マスタリスト_20260130100542!C773</f>
        <v>3</v>
      </c>
      <c r="F775" s="206" t="str">
        <f>薬品マスタリスト_20260130100542!D773</f>
        <v>散</v>
      </c>
      <c r="G775" s="208" t="str">
        <f>match_results!C772</f>
        <v>ブロナンセリン散２％「ＤＳＰＢ］</v>
      </c>
      <c r="H775" s="208">
        <f>match_results!D772</f>
        <v>536</v>
      </c>
      <c r="I775" s="218">
        <f>match_results!E772</f>
        <v>93.75</v>
      </c>
      <c r="J775" s="225"/>
      <c r="K775" s="15" t="str">
        <f ca="1">IF($J775="〇",OFFSET(集計!B$3,合体!$H775,0),"")</f>
        <v/>
      </c>
      <c r="L775" s="15" t="str">
        <f ca="1">IF($J775="〇",OFFSET(集計!C$3,合体!$H775,0),"")</f>
        <v/>
      </c>
      <c r="M775" s="202" t="str">
        <f ca="1">IF($J775="〇",OFFSET(集計!D$3,合体!$H775,0),"")</f>
        <v/>
      </c>
    </row>
    <row r="776" spans="2:13" x14ac:dyDescent="0.2">
      <c r="B776" s="201">
        <f t="shared" si="12"/>
        <v>772</v>
      </c>
      <c r="C776" s="15" t="str">
        <f>薬品マスタリスト_20260130100542!A774</f>
        <v>ブロナック点眼液</v>
      </c>
      <c r="D776" s="15" t="str">
        <f>薬品マスタリスト_20260130100542!B774</f>
        <v>ﾌﾞﾛﾅﾂｸﾃﾝｶﾞﾝｴｷ</v>
      </c>
      <c r="E776" s="15">
        <f>薬品マスタリスト_20260130100542!C774</f>
        <v>21</v>
      </c>
      <c r="F776" s="206" t="str">
        <f>薬品マスタリスト_20260130100542!D774</f>
        <v>点眼剤</v>
      </c>
      <c r="G776" s="208" t="str">
        <f>match_results!C773</f>
        <v>ブロナック点眼０．１％</v>
      </c>
      <c r="H776" s="208">
        <f>match_results!D773</f>
        <v>241</v>
      </c>
      <c r="I776" s="218">
        <f>match_results!E773</f>
        <v>73.684210526315795</v>
      </c>
      <c r="J776" s="225"/>
      <c r="K776" s="15" t="str">
        <f ca="1">IF($J776="〇",OFFSET(集計!B$3,合体!$H776,0),"")</f>
        <v/>
      </c>
      <c r="L776" s="15" t="str">
        <f ca="1">IF($J776="〇",OFFSET(集計!C$3,合体!$H776,0),"")</f>
        <v/>
      </c>
      <c r="M776" s="202" t="str">
        <f ca="1">IF($J776="〇",OFFSET(集計!D$3,合体!$H776,0),"")</f>
        <v/>
      </c>
    </row>
    <row r="777" spans="2:13" x14ac:dyDescent="0.2">
      <c r="B777" s="201">
        <f t="shared" si="12"/>
        <v>773</v>
      </c>
      <c r="C777" s="15" t="str">
        <f>薬品マスタリスト_20260130100542!A775</f>
        <v>プロピベリン塩酸塩錠１０ｍｇ「ＮＩＧ」</v>
      </c>
      <c r="D777" s="15" t="str">
        <f>薬品マスタリスト_20260130100542!B775</f>
        <v>ﾌﾟﾛﾋﾟﾍﾞﾘﾝｴﾝｻﾝｴﾝｼﾞｮｳ10mg｢NIG｣</v>
      </c>
      <c r="E777" s="15">
        <f>薬品マスタリスト_20260130100542!C775</f>
        <v>1</v>
      </c>
      <c r="F777" s="206" t="str">
        <f>薬品マスタリスト_20260130100542!D775</f>
        <v>錠剤</v>
      </c>
      <c r="G777" s="208" t="str">
        <f>match_results!C774</f>
        <v>プロピベリン錠（１０）</v>
      </c>
      <c r="H777" s="208">
        <f>match_results!D774</f>
        <v>353</v>
      </c>
      <c r="I777" s="218">
        <f>match_results!E774</f>
        <v>60</v>
      </c>
      <c r="J777" s="225"/>
      <c r="K777" s="15" t="str">
        <f ca="1">IF($J777="〇",OFFSET(集計!B$3,合体!$H777,0),"")</f>
        <v/>
      </c>
      <c r="L777" s="15" t="str">
        <f ca="1">IF($J777="〇",OFFSET(集計!C$3,合体!$H777,0),"")</f>
        <v/>
      </c>
      <c r="M777" s="202" t="str">
        <f ca="1">IF($J777="〇",OFFSET(集計!D$3,合体!$H777,0),"")</f>
        <v/>
      </c>
    </row>
    <row r="778" spans="2:13" x14ac:dyDescent="0.2">
      <c r="B778" s="201">
        <f t="shared" si="12"/>
        <v>774</v>
      </c>
      <c r="C778" s="15" t="str">
        <f>薬品マスタリスト_20260130100542!A776</f>
        <v>プロプラノロール塩酸塩錠１０ｍｇ「日医工」</v>
      </c>
      <c r="D778" s="15" t="str">
        <f>薬品マスタリスト_20260130100542!B776</f>
        <v>ﾌﾟﾛﾌﾟﾗﾉﾛｰﾙｴﾝｻﾝｴﾝｼﾞｮｳ10mg｢ﾆﾁｲｺｳ｣</v>
      </c>
      <c r="E778" s="15">
        <f>薬品マスタリスト_20260130100542!C776</f>
        <v>1</v>
      </c>
      <c r="F778" s="206" t="str">
        <f>薬品マスタリスト_20260130100542!D776</f>
        <v>錠剤</v>
      </c>
      <c r="G778" s="208" t="str">
        <f>match_results!C775</f>
        <v>アロプリノール錠１００ｍｇ</v>
      </c>
      <c r="H778" s="208">
        <f>match_results!D775</f>
        <v>520</v>
      </c>
      <c r="I778" s="218">
        <f>match_results!E775</f>
        <v>58.823529411764703</v>
      </c>
      <c r="J778" s="225"/>
      <c r="K778" s="15" t="str">
        <f ca="1">IF($J778="〇",OFFSET(集計!B$3,合体!$H778,0),"")</f>
        <v/>
      </c>
      <c r="L778" s="15" t="str">
        <f ca="1">IF($J778="〇",OFFSET(集計!C$3,合体!$H778,0),"")</f>
        <v/>
      </c>
      <c r="M778" s="202" t="str">
        <f ca="1">IF($J778="〇",OFFSET(集計!D$3,合体!$H778,0),"")</f>
        <v/>
      </c>
    </row>
    <row r="779" spans="2:13" x14ac:dyDescent="0.2">
      <c r="B779" s="201">
        <f t="shared" si="12"/>
        <v>775</v>
      </c>
      <c r="C779" s="15" t="str">
        <f>薬品マスタリスト_20260130100542!A777</f>
        <v>プロマックＤ錠７５</v>
      </c>
      <c r="D779" s="15" t="str">
        <f>薬品マスタリスト_20260130100542!B777</f>
        <v>ﾌﾟﾛﾏｯｸDｼﾞｮｳ75</v>
      </c>
      <c r="E779" s="15">
        <f>薬品マスタリスト_20260130100542!C777</f>
        <v>1</v>
      </c>
      <c r="F779" s="206" t="str">
        <f>薬品マスタリスト_20260130100542!D777</f>
        <v>錠剤</v>
      </c>
      <c r="G779" s="208" t="str">
        <f>match_results!C776</f>
        <v>プロマックＤ錠７５　</v>
      </c>
      <c r="H779" s="208">
        <f>match_results!D776</f>
        <v>311</v>
      </c>
      <c r="I779" s="218">
        <f>match_results!E776</f>
        <v>100</v>
      </c>
      <c r="J779" s="225" t="s">
        <v>3917</v>
      </c>
      <c r="K779" s="15">
        <f ca="1">IF($J779="〇",OFFSET(集計!B$3,合体!$H779,0),"")</f>
        <v>15.4</v>
      </c>
      <c r="L779" s="15">
        <f ca="1">IF($J779="〇",OFFSET(集計!C$3,合体!$H779,0),"")</f>
        <v>322.30769230769232</v>
      </c>
      <c r="M779" s="202">
        <f ca="1">IF($J779="〇",OFFSET(集計!D$3,合体!$H779,0),"")</f>
        <v>4963.5384615384619</v>
      </c>
    </row>
    <row r="780" spans="2:13" x14ac:dyDescent="0.2">
      <c r="B780" s="201">
        <f t="shared" si="12"/>
        <v>776</v>
      </c>
      <c r="C780" s="15" t="str">
        <f>薬品マスタリスト_20260130100542!A778</f>
        <v>ブロムペリドール錠３ｍｇ「アメル」</v>
      </c>
      <c r="D780" s="15" t="str">
        <f>薬品マスタリスト_20260130100542!B778</f>
        <v>ﾌﾞﾛﾑﾍﾟﾘﾄﾞｰﾙｼﾞｮｳ3mg｢ｱﾒﾙ｣</v>
      </c>
      <c r="E780" s="15">
        <f>薬品マスタリスト_20260130100542!C778</f>
        <v>1</v>
      </c>
      <c r="F780" s="206" t="str">
        <f>薬品マスタリスト_20260130100542!D778</f>
        <v>錠剤</v>
      </c>
      <c r="G780" s="208" t="str">
        <f>match_results!C777</f>
        <v>ブロムペリドール錠３ＭＧ</v>
      </c>
      <c r="H780" s="208">
        <f>match_results!D777</f>
        <v>59</v>
      </c>
      <c r="I780" s="218">
        <f>match_results!E777</f>
        <v>68.965517241379303</v>
      </c>
      <c r="J780" s="225"/>
      <c r="K780" s="15" t="str">
        <f ca="1">IF($J780="〇",OFFSET(集計!B$3,合体!$H780,0),"")</f>
        <v/>
      </c>
      <c r="L780" s="15" t="str">
        <f ca="1">IF($J780="〇",OFFSET(集計!C$3,合体!$H780,0),"")</f>
        <v/>
      </c>
      <c r="M780" s="202" t="str">
        <f ca="1">IF($J780="〇",OFFSET(集計!D$3,合体!$H780,0),"")</f>
        <v/>
      </c>
    </row>
    <row r="781" spans="2:13" x14ac:dyDescent="0.2">
      <c r="B781" s="201">
        <f t="shared" si="12"/>
        <v>777</v>
      </c>
      <c r="C781" s="15" t="str">
        <f>薬品マスタリスト_20260130100542!A779</f>
        <v>ブロムヘキシン塩酸塩錠４ｍｇ「トーワ」</v>
      </c>
      <c r="D781" s="15" t="str">
        <f>薬品マスタリスト_20260130100542!B779</f>
        <v>ﾌﾞﾛﾑﾍｷｼﾝｴﾝｻﾝｴﾝｼﾞｮｳ4mg｢ﾄｰﾜ｣</v>
      </c>
      <c r="E781" s="15">
        <f>薬品マスタリスト_20260130100542!C779</f>
        <v>1</v>
      </c>
      <c r="F781" s="206" t="str">
        <f>薬品マスタリスト_20260130100542!D779</f>
        <v>錠剤</v>
      </c>
      <c r="G781" s="208" t="str">
        <f>match_results!C778</f>
        <v>ブロムヘキシン塩酸塩注射液４ｍｇ</v>
      </c>
      <c r="H781" s="208">
        <f>match_results!D778</f>
        <v>159</v>
      </c>
      <c r="I781" s="218">
        <f>match_results!E778</f>
        <v>74.285714285714207</v>
      </c>
      <c r="J781" s="225"/>
      <c r="K781" s="15" t="str">
        <f ca="1">IF($J781="〇",OFFSET(集計!B$3,合体!$H781,0),"")</f>
        <v/>
      </c>
      <c r="L781" s="15" t="str">
        <f ca="1">IF($J781="〇",OFFSET(集計!C$3,合体!$H781,0),"")</f>
        <v/>
      </c>
      <c r="M781" s="202" t="str">
        <f ca="1">IF($J781="〇",OFFSET(集計!D$3,合体!$H781,0),"")</f>
        <v/>
      </c>
    </row>
    <row r="782" spans="2:13" x14ac:dyDescent="0.2">
      <c r="B782" s="201">
        <f t="shared" si="12"/>
        <v>778</v>
      </c>
      <c r="C782" s="15" t="str">
        <f>薬品マスタリスト_20260130100542!A780</f>
        <v>ブロムペリドール細粒１％「アメル」</v>
      </c>
      <c r="D782" s="15" t="str">
        <f>薬品マスタリスト_20260130100542!B780</f>
        <v>ﾌﾞﾛﾑﾍﾟﾘﾄﾞ-ﾙｻｲﾘﾕｳ1%ｱﾒﾙ</v>
      </c>
      <c r="E782" s="15">
        <f>薬品マスタリスト_20260130100542!C780</f>
        <v>4</v>
      </c>
      <c r="F782" s="206" t="str">
        <f>薬品マスタリスト_20260130100542!D780</f>
        <v>細粒</v>
      </c>
      <c r="G782" s="208" t="str">
        <f>match_results!C779</f>
        <v>ブロムペリドール細粒１％</v>
      </c>
      <c r="H782" s="208">
        <f>match_results!D779</f>
        <v>174</v>
      </c>
      <c r="I782" s="218">
        <f>match_results!E779</f>
        <v>82.758620689655103</v>
      </c>
      <c r="J782" s="225"/>
      <c r="K782" s="15" t="str">
        <f ca="1">IF($J782="〇",OFFSET(集計!B$3,合体!$H782,0),"")</f>
        <v/>
      </c>
      <c r="L782" s="15" t="str">
        <f ca="1">IF($J782="〇",OFFSET(集計!C$3,合体!$H782,0),"")</f>
        <v/>
      </c>
      <c r="M782" s="202" t="str">
        <f ca="1">IF($J782="〇",OFFSET(集計!D$3,合体!$H782,0),"")</f>
        <v/>
      </c>
    </row>
    <row r="783" spans="2:13" x14ac:dyDescent="0.2">
      <c r="B783" s="201">
        <f t="shared" si="12"/>
        <v>779</v>
      </c>
      <c r="C783" s="15" t="str">
        <f>薬品マスタリスト_20260130100542!A781</f>
        <v>ブロムヘキシン塩酸塩０．２％吸入液</v>
      </c>
      <c r="D783" s="15" t="str">
        <f>薬品マスタリスト_20260130100542!B781</f>
        <v>ﾌﾞﾛﾑﾍｷｼﾝｴﾝｻﾝｴﾝ0.2%ｷﾕｳﾆﾕｳｴｷ</v>
      </c>
      <c r="E783" s="15">
        <f>薬品マスタリスト_20260130100542!C781</f>
        <v>10</v>
      </c>
      <c r="F783" s="206" t="str">
        <f>薬品マスタリスト_20260130100542!D781</f>
        <v>吸入剤</v>
      </c>
      <c r="G783" s="208" t="str">
        <f>match_results!C780</f>
        <v>ブロムヘキシン吸入液０．２％</v>
      </c>
      <c r="H783" s="208">
        <f>match_results!D780</f>
        <v>28</v>
      </c>
      <c r="I783" s="218">
        <f>match_results!E780</f>
        <v>70.967741935483801</v>
      </c>
      <c r="J783" s="225"/>
      <c r="K783" s="15" t="str">
        <f ca="1">IF($J783="〇",OFFSET(集計!B$3,合体!$H783,0),"")</f>
        <v/>
      </c>
      <c r="L783" s="15" t="str">
        <f ca="1">IF($J783="〇",OFFSET(集計!C$3,合体!$H783,0),"")</f>
        <v/>
      </c>
      <c r="M783" s="202" t="str">
        <f ca="1">IF($J783="〇",OFFSET(集計!D$3,合体!$H783,0),"")</f>
        <v/>
      </c>
    </row>
    <row r="784" spans="2:13" x14ac:dyDescent="0.2">
      <c r="B784" s="201">
        <f t="shared" si="12"/>
        <v>780</v>
      </c>
      <c r="C784" s="15" t="str">
        <f>薬品マスタリスト_20260130100542!A782</f>
        <v>ブロムヘキシン塩酸塩注射液４ｍｇ「タイヨー」</v>
      </c>
      <c r="D784" s="15" t="str">
        <f>薬品マスタリスト_20260130100542!B782</f>
        <v>ﾌﾞﾛﾑﾍｷｼﾝｴﾝｻﾝｴﾝﾁﾕｳｼﾔｴｷ4MGﾀｲﾖ-</v>
      </c>
      <c r="E784" s="15">
        <f>薬品マスタリスト_20260130100542!C782</f>
        <v>25</v>
      </c>
      <c r="F784" s="206" t="str">
        <f>薬品マスタリスト_20260130100542!D782</f>
        <v>注射剤</v>
      </c>
      <c r="G784" s="208" t="str">
        <f>match_results!C781</f>
        <v>ブロムヘキシン塩酸塩注射液４ｍｇ</v>
      </c>
      <c r="H784" s="208">
        <f>match_results!D781</f>
        <v>159</v>
      </c>
      <c r="I784" s="218">
        <f>match_results!E781</f>
        <v>84.210526315789394</v>
      </c>
      <c r="J784" s="225"/>
      <c r="K784" s="15" t="str">
        <f ca="1">IF($J784="〇",OFFSET(集計!B$3,合体!$H784,0),"")</f>
        <v/>
      </c>
      <c r="L784" s="15" t="str">
        <f ca="1">IF($J784="〇",OFFSET(集計!C$3,合体!$H784,0),"")</f>
        <v/>
      </c>
      <c r="M784" s="202" t="str">
        <f ca="1">IF($J784="〇",OFFSET(集計!D$3,合体!$H784,0),"")</f>
        <v/>
      </c>
    </row>
    <row r="785" spans="2:13" x14ac:dyDescent="0.2">
      <c r="B785" s="201">
        <f t="shared" si="12"/>
        <v>781</v>
      </c>
      <c r="C785" s="15" t="str">
        <f>薬品マスタリスト_20260130100542!A783</f>
        <v>ブロメライン軟膏５万単位／ｇ＊（ジェイドルフ）</v>
      </c>
      <c r="D785" s="15" t="str">
        <f>薬品マスタリスト_20260130100542!B783</f>
        <v>ﾌﾞﾛﾒﾗｲﾝﾅﾝｺｳ5ﾏﾝﾀﾝｲ/Gｼﾞｴｲﾄﾞﾙﾌ</v>
      </c>
      <c r="E785" s="15">
        <f>薬品マスタリスト_20260130100542!C783</f>
        <v>14</v>
      </c>
      <c r="F785" s="206" t="str">
        <f>薬品マスタリスト_20260130100542!D783</f>
        <v>軟膏</v>
      </c>
      <c r="G785" s="208" t="str">
        <f>match_results!C782</f>
        <v>ビブラマイシン錠５０ｍｇ</v>
      </c>
      <c r="H785" s="208">
        <f>match_results!D782</f>
        <v>111</v>
      </c>
      <c r="I785" s="218">
        <f>match_results!E782</f>
        <v>34.285714285714199</v>
      </c>
      <c r="J785" s="225"/>
      <c r="K785" s="15" t="str">
        <f ca="1">IF($J785="〇",OFFSET(集計!B$3,合体!$H785,0),"")</f>
        <v/>
      </c>
      <c r="L785" s="15" t="str">
        <f ca="1">IF($J785="〇",OFFSET(集計!C$3,合体!$H785,0),"")</f>
        <v/>
      </c>
      <c r="M785" s="202" t="str">
        <f ca="1">IF($J785="〇",OFFSET(集計!D$3,合体!$H785,0),"")</f>
        <v/>
      </c>
    </row>
    <row r="786" spans="2:13" x14ac:dyDescent="0.2">
      <c r="B786" s="201">
        <f t="shared" si="12"/>
        <v>782</v>
      </c>
      <c r="C786" s="15" t="str">
        <f>薬品マスタリスト_20260130100542!A784</f>
        <v>ブロモクリプチン錠２．５ｍｇ「Ｆ」</v>
      </c>
      <c r="D786" s="15" t="str">
        <f>薬品マスタリスト_20260130100542!B784</f>
        <v>ﾌﾞﾛﾓｸﾘﾌﾟﾁﾝｼﾞｮｳ2.5mg｢F｣</v>
      </c>
      <c r="E786" s="15">
        <f>薬品マスタリスト_20260130100542!C784</f>
        <v>1</v>
      </c>
      <c r="F786" s="206" t="str">
        <f>薬品マスタリスト_20260130100542!D784</f>
        <v>錠剤</v>
      </c>
      <c r="G786" s="208" t="str">
        <f>match_results!C783</f>
        <v>ブロモクリプチン錠２．５ｍｇ</v>
      </c>
      <c r="H786" s="208">
        <f>match_results!D783</f>
        <v>65</v>
      </c>
      <c r="I786" s="218">
        <f>match_results!E783</f>
        <v>90.322580645161196</v>
      </c>
      <c r="J786" s="225"/>
      <c r="K786" s="15" t="str">
        <f ca="1">IF($J786="〇",OFFSET(集計!B$3,合体!$H786,0),"")</f>
        <v/>
      </c>
      <c r="L786" s="15" t="str">
        <f ca="1">IF($J786="〇",OFFSET(集計!C$3,合体!$H786,0),"")</f>
        <v/>
      </c>
      <c r="M786" s="202" t="str">
        <f ca="1">IF($J786="〇",OFFSET(集計!D$3,合体!$H786,0),"")</f>
        <v/>
      </c>
    </row>
    <row r="787" spans="2:13" x14ac:dyDescent="0.2">
      <c r="B787" s="201">
        <f t="shared" si="12"/>
        <v>783</v>
      </c>
      <c r="C787" s="15" t="str">
        <f>薬品マスタリスト_20260130100542!A785</f>
        <v>フロリードゲル経口用２％</v>
      </c>
      <c r="D787" s="15" t="str">
        <f>薬品マスタリスト_20260130100542!B785</f>
        <v>ﾌﾛﾘｰﾄﾞｹﾞﾙｹｲｺｳﾖｳ2%</v>
      </c>
      <c r="E787" s="15">
        <f>薬品マスタリスト_20260130100542!C785</f>
        <v>24</v>
      </c>
      <c r="F787" s="206" t="str">
        <f>薬品マスタリスト_20260130100542!D785</f>
        <v>その他</v>
      </c>
      <c r="G787" s="208" t="str">
        <f>match_results!C784</f>
        <v>ブロムペリドール細粒１％</v>
      </c>
      <c r="H787" s="208">
        <f>match_results!D784</f>
        <v>174</v>
      </c>
      <c r="I787" s="218">
        <f>match_results!E784</f>
        <v>41.6666666666666</v>
      </c>
      <c r="J787" s="225"/>
      <c r="K787" s="15" t="str">
        <f ca="1">IF($J787="〇",OFFSET(集計!B$3,合体!$H787,0),"")</f>
        <v/>
      </c>
      <c r="L787" s="15" t="str">
        <f ca="1">IF($J787="〇",OFFSET(集計!C$3,合体!$H787,0),"")</f>
        <v/>
      </c>
      <c r="M787" s="202" t="str">
        <f ca="1">IF($J787="〇",OFFSET(集計!D$3,合体!$H787,0),"")</f>
        <v/>
      </c>
    </row>
    <row r="788" spans="2:13" x14ac:dyDescent="0.2">
      <c r="B788" s="201">
        <f t="shared" si="12"/>
        <v>784</v>
      </c>
      <c r="C788" s="15" t="str">
        <f>薬品マスタリスト_20260130100542!A786</f>
        <v>ベオーバ錠５０ｍｇ</v>
      </c>
      <c r="D788" s="15" t="str">
        <f>薬品マスタリスト_20260130100542!B786</f>
        <v>ﾍﾞｵ-ﾊﾞｼﾞﾖｳ50MG</v>
      </c>
      <c r="E788" s="15">
        <f>薬品マスタリスト_20260130100542!C786</f>
        <v>1</v>
      </c>
      <c r="F788" s="206" t="str">
        <f>薬品マスタリスト_20260130100542!D786</f>
        <v>錠剤</v>
      </c>
      <c r="G788" s="208" t="str">
        <f>match_results!C785</f>
        <v>ベタニス錠５０ｍｇ</v>
      </c>
      <c r="H788" s="208">
        <f>match_results!D785</f>
        <v>639</v>
      </c>
      <c r="I788" s="218">
        <f>match_results!E785</f>
        <v>66.6666666666666</v>
      </c>
      <c r="J788" s="225"/>
      <c r="K788" s="15" t="str">
        <f ca="1">IF($J788="〇",OFFSET(集計!B$3,合体!$H788,0),"")</f>
        <v/>
      </c>
      <c r="L788" s="15" t="str">
        <f ca="1">IF($J788="〇",OFFSET(集計!C$3,合体!$H788,0),"")</f>
        <v/>
      </c>
      <c r="M788" s="202" t="str">
        <f ca="1">IF($J788="〇",OFFSET(集計!D$3,合体!$H788,0),"")</f>
        <v/>
      </c>
    </row>
    <row r="789" spans="2:13" x14ac:dyDescent="0.2">
      <c r="B789" s="201">
        <f t="shared" si="12"/>
        <v>785</v>
      </c>
      <c r="C789" s="15" t="str">
        <f>薬品マスタリスト_20260130100542!A787</f>
        <v>ベクルリー点滴静注用１００ｍｇ</v>
      </c>
      <c r="D789" s="15" t="str">
        <f>薬品マスタリスト_20260130100542!B787</f>
        <v>ﾍﾞｸﾙﾘｰﾃﾝﾃｷｼﾞｮｳﾁｭｳﾖｳ100mg</v>
      </c>
      <c r="E789" s="15">
        <f>薬品マスタリスト_20260130100542!C787</f>
        <v>25</v>
      </c>
      <c r="F789" s="206" t="str">
        <f>薬品マスタリスト_20260130100542!D787</f>
        <v>注射剤</v>
      </c>
      <c r="G789" s="208" t="str">
        <f>match_results!C786</f>
        <v>ベクルリー点滴静注用１００ｍｇ</v>
      </c>
      <c r="H789" s="208">
        <f>match_results!D786</f>
        <v>664</v>
      </c>
      <c r="I789" s="218">
        <f>match_results!E786</f>
        <v>100</v>
      </c>
      <c r="J789" s="225" t="s">
        <v>3917</v>
      </c>
      <c r="K789" s="15">
        <f ca="1">IF($J789="〇",OFFSET(集計!B$3,合体!$H789,0),"")</f>
        <v>41108</v>
      </c>
      <c r="L789" s="15">
        <f ca="1">IF($J789="〇",OFFSET(集計!C$3,合体!$H789,0),"")</f>
        <v>4</v>
      </c>
      <c r="M789" s="202">
        <f ca="1">IF($J789="〇",OFFSET(集計!D$3,合体!$H789,0),"")</f>
        <v>164432</v>
      </c>
    </row>
    <row r="790" spans="2:13" x14ac:dyDescent="0.2">
      <c r="B790" s="201">
        <f t="shared" si="12"/>
        <v>786</v>
      </c>
      <c r="C790" s="15" t="str">
        <f>薬品マスタリスト_20260130100542!A788</f>
        <v>ベサコリン散５％</v>
      </c>
      <c r="D790" s="15" t="str">
        <f>薬品マスタリスト_20260130100542!B788</f>
        <v>ﾍﾞｻｺﾘﾝｻﾝ5%</v>
      </c>
      <c r="E790" s="15">
        <f>薬品マスタリスト_20260130100542!C788</f>
        <v>3</v>
      </c>
      <c r="F790" s="206" t="str">
        <f>薬品マスタリスト_20260130100542!D788</f>
        <v>散</v>
      </c>
      <c r="G790" s="208" t="str">
        <f>match_results!C787</f>
        <v>ベサコリン散５％</v>
      </c>
      <c r="H790" s="208">
        <f>match_results!D787</f>
        <v>96</v>
      </c>
      <c r="I790" s="218">
        <f>match_results!E787</f>
        <v>100</v>
      </c>
      <c r="J790" s="225" t="s">
        <v>3917</v>
      </c>
      <c r="K790" s="15">
        <f ca="1">IF($J790="〇",OFFSET(集計!B$3,合体!$H790,0),"")</f>
        <v>8.1</v>
      </c>
      <c r="L790" s="15">
        <f ca="1">IF($J790="〇",OFFSET(集計!C$3,合体!$H790,0),"")</f>
        <v>170</v>
      </c>
      <c r="M790" s="202">
        <f ca="1">IF($J790="〇",OFFSET(集計!D$3,合体!$H790,0),"")</f>
        <v>1377</v>
      </c>
    </row>
    <row r="791" spans="2:13" x14ac:dyDescent="0.2">
      <c r="B791" s="201">
        <f t="shared" si="12"/>
        <v>787</v>
      </c>
      <c r="C791" s="15" t="str">
        <f>薬品マスタリスト_20260130100542!A789</f>
        <v>ベザトールＳＲ錠２００ｍｇ</v>
      </c>
      <c r="D791" s="15" t="str">
        <f>薬品マスタリスト_20260130100542!B789</f>
        <v>ﾍﾞｻﾞﾄｰﾙSRｼﾞｮｳ200mg</v>
      </c>
      <c r="E791" s="15">
        <f>薬品マスタリスト_20260130100542!C789</f>
        <v>1</v>
      </c>
      <c r="F791" s="206" t="str">
        <f>薬品マスタリスト_20260130100542!D789</f>
        <v>錠剤</v>
      </c>
      <c r="G791" s="208" t="str">
        <f>match_results!C788</f>
        <v>ベザフィブラートＳＲ錠２００ｍｇ</v>
      </c>
      <c r="H791" s="208">
        <f>match_results!D788</f>
        <v>328</v>
      </c>
      <c r="I791" s="218">
        <f>match_results!E788</f>
        <v>75.862068965517196</v>
      </c>
      <c r="J791" s="225"/>
      <c r="K791" s="15" t="str">
        <f ca="1">IF($J791="〇",OFFSET(集計!B$3,合体!$H791,0),"")</f>
        <v/>
      </c>
      <c r="L791" s="15" t="str">
        <f ca="1">IF($J791="〇",OFFSET(集計!C$3,合体!$H791,0),"")</f>
        <v/>
      </c>
      <c r="M791" s="202" t="str">
        <f ca="1">IF($J791="〇",OFFSET(集計!D$3,合体!$H791,0),"")</f>
        <v/>
      </c>
    </row>
    <row r="792" spans="2:13" x14ac:dyDescent="0.2">
      <c r="B792" s="201">
        <f t="shared" si="12"/>
        <v>788</v>
      </c>
      <c r="C792" s="15" t="str">
        <f>薬品マスタリスト_20260130100542!A790</f>
        <v>ベザフィブラートＳＲ錠２００ｍｇ「日医工」</v>
      </c>
      <c r="D792" s="15" t="str">
        <f>薬品マスタリスト_20260130100542!B790</f>
        <v>ﾍﾞｻﾞﾌｨﾌﾞﾗｰﾄSRｼﾞｮｳ200mg｢ﾆﾁｲｺｳ｣</v>
      </c>
      <c r="E792" s="15">
        <f>薬品マスタリスト_20260130100542!C790</f>
        <v>1</v>
      </c>
      <c r="F792" s="206" t="str">
        <f>薬品マスタリスト_20260130100542!D790</f>
        <v>錠剤</v>
      </c>
      <c r="G792" s="208" t="str">
        <f>match_results!C789</f>
        <v>ベザフィブラートＳＲ錠２００ｍｇ</v>
      </c>
      <c r="H792" s="208">
        <f>match_results!D789</f>
        <v>328</v>
      </c>
      <c r="I792" s="218">
        <f>match_results!E789</f>
        <v>86.486486486486399</v>
      </c>
      <c r="J792" s="225"/>
      <c r="K792" s="15" t="str">
        <f ca="1">IF($J792="〇",OFFSET(集計!B$3,合体!$H792,0),"")</f>
        <v/>
      </c>
      <c r="L792" s="15" t="str">
        <f ca="1">IF($J792="〇",OFFSET(集計!C$3,合体!$H792,0),"")</f>
        <v/>
      </c>
      <c r="M792" s="202" t="str">
        <f ca="1">IF($J792="〇",OFFSET(集計!D$3,合体!$H792,0),"")</f>
        <v/>
      </c>
    </row>
    <row r="793" spans="2:13" x14ac:dyDescent="0.2">
      <c r="B793" s="201">
        <f t="shared" si="12"/>
        <v>789</v>
      </c>
      <c r="C793" s="15" t="str">
        <f>薬品マスタリスト_20260130100542!A791</f>
        <v>ベシケア錠５ｍｇ</v>
      </c>
      <c r="D793" s="15" t="str">
        <f>薬品マスタリスト_20260130100542!B791</f>
        <v>ﾍﾞｼｹｱｼﾞｮｳ5mg</v>
      </c>
      <c r="E793" s="15">
        <f>薬品マスタリスト_20260130100542!C791</f>
        <v>1</v>
      </c>
      <c r="F793" s="206" t="str">
        <f>薬品マスタリスト_20260130100542!D791</f>
        <v>錠剤</v>
      </c>
      <c r="G793" s="208" t="str">
        <f>match_results!C790</f>
        <v>フォシーガ錠５ｍｇ</v>
      </c>
      <c r="H793" s="208">
        <f>match_results!D790</f>
        <v>573</v>
      </c>
      <c r="I793" s="218">
        <f>match_results!E790</f>
        <v>58.823529411764703</v>
      </c>
      <c r="J793" s="225"/>
      <c r="K793" s="15" t="str">
        <f ca="1">IF($J793="〇",OFFSET(集計!B$3,合体!$H793,0),"")</f>
        <v/>
      </c>
      <c r="L793" s="15" t="str">
        <f ca="1">IF($J793="〇",OFFSET(集計!C$3,合体!$H793,0),"")</f>
        <v/>
      </c>
      <c r="M793" s="202" t="str">
        <f ca="1">IF($J793="〇",OFFSET(集計!D$3,合体!$H793,0),"")</f>
        <v/>
      </c>
    </row>
    <row r="794" spans="2:13" x14ac:dyDescent="0.2">
      <c r="B794" s="201">
        <f t="shared" si="12"/>
        <v>790</v>
      </c>
      <c r="C794" s="15" t="str">
        <f>薬品マスタリスト_20260130100542!A792</f>
        <v>ベタナミン錠１０ｍｇ</v>
      </c>
      <c r="D794" s="15" t="str">
        <f>薬品マスタリスト_20260130100542!B792</f>
        <v>ﾍﾞﾀﾅﾐﾝｼﾞﾖｳ10MG</v>
      </c>
      <c r="E794" s="15">
        <f>薬品マスタリスト_20260130100542!C792</f>
        <v>1</v>
      </c>
      <c r="F794" s="206" t="str">
        <f>薬品マスタリスト_20260130100542!D792</f>
        <v>錠剤</v>
      </c>
      <c r="G794" s="208" t="str">
        <f>match_results!C791</f>
        <v>ベタナミン（１０）</v>
      </c>
      <c r="H794" s="208">
        <f>match_results!D791</f>
        <v>44</v>
      </c>
      <c r="I794" s="218">
        <f>match_results!E791</f>
        <v>73.684210526315795</v>
      </c>
      <c r="J794" s="225"/>
      <c r="K794" s="15" t="str">
        <f ca="1">IF($J794="〇",OFFSET(集計!B$3,合体!$H794,0),"")</f>
        <v/>
      </c>
      <c r="L794" s="15" t="str">
        <f ca="1">IF($J794="〇",OFFSET(集計!C$3,合体!$H794,0),"")</f>
        <v/>
      </c>
      <c r="M794" s="202" t="str">
        <f ca="1">IF($J794="〇",OFFSET(集計!D$3,合体!$H794,0),"")</f>
        <v/>
      </c>
    </row>
    <row r="795" spans="2:13" x14ac:dyDescent="0.2">
      <c r="B795" s="201">
        <f t="shared" si="12"/>
        <v>791</v>
      </c>
      <c r="C795" s="15" t="str">
        <f>薬品マスタリスト_20260130100542!A793</f>
        <v>ベタニス錠５０ｍｇ</v>
      </c>
      <c r="D795" s="15" t="str">
        <f>薬品マスタリスト_20260130100542!B793</f>
        <v>ﾍﾞﾀﾆｽｼﾞｮｳ50mg</v>
      </c>
      <c r="E795" s="15">
        <f>薬品マスタリスト_20260130100542!C793</f>
        <v>1</v>
      </c>
      <c r="F795" s="206" t="str">
        <f>薬品マスタリスト_20260130100542!D793</f>
        <v>錠剤</v>
      </c>
      <c r="G795" s="208" t="str">
        <f>match_results!C792</f>
        <v>ベタニス錠５０ｍｇ</v>
      </c>
      <c r="H795" s="208">
        <f>match_results!D792</f>
        <v>639</v>
      </c>
      <c r="I795" s="218">
        <f>match_results!E792</f>
        <v>100</v>
      </c>
      <c r="J795" s="225" t="s">
        <v>3917</v>
      </c>
      <c r="K795" s="15">
        <f ca="1">IF($J795="〇",OFFSET(集計!B$3,合体!$H795,0),"")</f>
        <v>126.71</v>
      </c>
      <c r="L795" s="15">
        <f ca="1">IF($J795="〇",OFFSET(集計!C$3,合体!$H795,0),"")</f>
        <v>516</v>
      </c>
      <c r="M795" s="202">
        <f ca="1">IF($J795="〇",OFFSET(集計!D$3,合体!$H795,0),"")</f>
        <v>65382.359999999993</v>
      </c>
    </row>
    <row r="796" spans="2:13" x14ac:dyDescent="0.2">
      <c r="B796" s="201">
        <f t="shared" si="12"/>
        <v>792</v>
      </c>
      <c r="C796" s="15" t="str">
        <f>薬品マスタリスト_20260130100542!A794</f>
        <v>ベタメタゾン吉草酸エステルローション０．１２％「イワキ」</v>
      </c>
      <c r="D796" s="15" t="str">
        <f>薬品マスタリスト_20260130100542!B794</f>
        <v>ﾍﾞﾀﾒﾀｿﾞﾝｷｯｿｳｻﾝｴｽﾃﾙﾛｰｼｮﾝ0.12%｢ｲﾜｷ｣</v>
      </c>
      <c r="E796" s="15">
        <f>薬品マスタリスト_20260130100542!C794</f>
        <v>17</v>
      </c>
      <c r="F796" s="206" t="str">
        <f>薬品マスタリスト_20260130100542!D794</f>
        <v>外用液剤</v>
      </c>
      <c r="G796" s="208" t="str">
        <f>match_results!C793</f>
        <v>ベタメタゾン吉草酸ローション</v>
      </c>
      <c r="H796" s="208">
        <f>match_results!D793</f>
        <v>61</v>
      </c>
      <c r="I796" s="218">
        <f>match_results!E793</f>
        <v>66.6666666666666</v>
      </c>
      <c r="J796" s="225"/>
      <c r="K796" s="15" t="str">
        <f ca="1">IF($J796="〇",OFFSET(集計!B$3,合体!$H796,0),"")</f>
        <v/>
      </c>
      <c r="L796" s="15" t="str">
        <f ca="1">IF($J796="〇",OFFSET(集計!C$3,合体!$H796,0),"")</f>
        <v/>
      </c>
      <c r="M796" s="202" t="str">
        <f ca="1">IF($J796="〇",OFFSET(集計!D$3,合体!$H796,0),"")</f>
        <v/>
      </c>
    </row>
    <row r="797" spans="2:13" x14ac:dyDescent="0.2">
      <c r="B797" s="201">
        <f t="shared" si="12"/>
        <v>793</v>
      </c>
      <c r="C797" s="15" t="str">
        <f>薬品マスタリスト_20260130100542!A795</f>
        <v>ベナパスタ軟膏４％</v>
      </c>
      <c r="D797" s="15" t="str">
        <f>薬品マスタリスト_20260130100542!B795</f>
        <v>ﾍﾞﾅﾊﾟｽﾀﾅﾝｺｳ4%</v>
      </c>
      <c r="E797" s="15">
        <f>薬品マスタリスト_20260130100542!C795</f>
        <v>14</v>
      </c>
      <c r="F797" s="206" t="str">
        <f>薬品マスタリスト_20260130100542!D795</f>
        <v>軟膏</v>
      </c>
      <c r="G797" s="208" t="str">
        <f>match_results!C794</f>
        <v>デパス細粒１％</v>
      </c>
      <c r="H797" s="208">
        <f>match_results!D794</f>
        <v>293</v>
      </c>
      <c r="I797" s="218">
        <f>match_results!E794</f>
        <v>37.5</v>
      </c>
      <c r="J797" s="225"/>
      <c r="K797" s="15" t="str">
        <f ca="1">IF($J797="〇",OFFSET(集計!B$3,合体!$H797,0),"")</f>
        <v/>
      </c>
      <c r="L797" s="15" t="str">
        <f ca="1">IF($J797="〇",OFFSET(集計!C$3,合体!$H797,0),"")</f>
        <v/>
      </c>
      <c r="M797" s="202" t="str">
        <f ca="1">IF($J797="〇",OFFSET(集計!D$3,合体!$H797,0),"")</f>
        <v/>
      </c>
    </row>
    <row r="798" spans="2:13" x14ac:dyDescent="0.2">
      <c r="B798" s="201">
        <f t="shared" si="12"/>
        <v>794</v>
      </c>
      <c r="C798" s="15" t="str">
        <f>薬品マスタリスト_20260130100542!A796</f>
        <v>献血ベニロン－Ｉ静注用２５００ｍｇ</v>
      </c>
      <c r="D798" s="15" t="str">
        <f>薬品マスタリスト_20260130100542!B796</f>
        <v>ｹﾝｹﾂﾍﾞﾆﾛﾝ-Iｼﾞｮｳﾁｭｳﾖｳ2500mg</v>
      </c>
      <c r="E798" s="15">
        <f>薬品マスタリスト_20260130100542!C796</f>
        <v>25</v>
      </c>
      <c r="F798" s="206" t="str">
        <f>薬品マスタリスト_20260130100542!D796</f>
        <v>注射剤</v>
      </c>
      <c r="G798" s="208" t="str">
        <f>match_results!C795</f>
        <v>ベクルリー点滴静注用１００ｍｇ</v>
      </c>
      <c r="H798" s="208">
        <f>match_results!D795</f>
        <v>664</v>
      </c>
      <c r="I798" s="218">
        <f>match_results!E795</f>
        <v>50</v>
      </c>
      <c r="J798" s="225"/>
      <c r="K798" s="15" t="str">
        <f ca="1">IF($J798="〇",OFFSET(集計!B$3,合体!$H798,0),"")</f>
        <v/>
      </c>
      <c r="L798" s="15" t="str">
        <f ca="1">IF($J798="〇",OFFSET(集計!C$3,合体!$H798,0),"")</f>
        <v/>
      </c>
      <c r="M798" s="202" t="str">
        <f ca="1">IF($J798="〇",OFFSET(集計!D$3,合体!$H798,0),"")</f>
        <v/>
      </c>
    </row>
    <row r="799" spans="2:13" x14ac:dyDescent="0.2">
      <c r="B799" s="201">
        <f t="shared" si="12"/>
        <v>795</v>
      </c>
      <c r="C799" s="15" t="str">
        <f>薬品マスタリスト_20260130100542!A797</f>
        <v>ヘパリンＮａ注５千単位／５ｍＬ「モチダ」</v>
      </c>
      <c r="D799" s="15" t="str">
        <f>薬品マスタリスト_20260130100542!B797</f>
        <v>ﾍﾊﾟﾘﾝNaﾁｭｳ5ｾﾝﾀﾝｲ/5mL｢ﾓﾁﾀﾞ｣</v>
      </c>
      <c r="E799" s="15">
        <f>薬品マスタリスト_20260130100542!C797</f>
        <v>25</v>
      </c>
      <c r="F799" s="206" t="str">
        <f>薬品マスタリスト_20260130100542!D797</f>
        <v>注射剤</v>
      </c>
      <c r="G799" s="208" t="str">
        <f>match_results!C796</f>
        <v>ヘパリンＮａ注５０００単位「モチダ」</v>
      </c>
      <c r="H799" s="208">
        <f>match_results!D796</f>
        <v>94</v>
      </c>
      <c r="I799" s="218">
        <f>match_results!E796</f>
        <v>78.947368421052602</v>
      </c>
      <c r="J799" s="225"/>
      <c r="K799" s="15" t="str">
        <f ca="1">IF($J799="〇",OFFSET(集計!B$3,合体!$H799,0),"")</f>
        <v/>
      </c>
      <c r="L799" s="15" t="str">
        <f ca="1">IF($J799="〇",OFFSET(集計!C$3,合体!$H799,0),"")</f>
        <v/>
      </c>
      <c r="M799" s="202" t="str">
        <f ca="1">IF($J799="〇",OFFSET(集計!D$3,合体!$H799,0),"")</f>
        <v/>
      </c>
    </row>
    <row r="800" spans="2:13" x14ac:dyDescent="0.2">
      <c r="B800" s="201">
        <f t="shared" si="12"/>
        <v>796</v>
      </c>
      <c r="C800" s="15" t="str">
        <f>薬品マスタリスト_20260130100542!A798</f>
        <v>ヘパリンＮａロック用１０単位／ｍＬシリンジ「オーツカ」１０ｍＬ</v>
      </c>
      <c r="D800" s="15" t="str">
        <f>薬品マスタリスト_20260130100542!B798</f>
        <v>ﾍﾊﾟﾘﾝNaﾛｯｸﾖｳ10ﾀﾝｲ/mLｼﾘﾝｼﾞ｢ｵｰﾂｶ｣10mL</v>
      </c>
      <c r="E800" s="15">
        <f>薬品マスタリスト_20260130100542!C798</f>
        <v>25</v>
      </c>
      <c r="F800" s="206" t="str">
        <f>薬品マスタリスト_20260130100542!D798</f>
        <v>注射剤</v>
      </c>
      <c r="G800" s="208" t="str">
        <f>match_results!C797</f>
        <v>ヘパリンＮａロック用１０単位</v>
      </c>
      <c r="H800" s="208">
        <f>match_results!D797</f>
        <v>63</v>
      </c>
      <c r="I800" s="218">
        <f>match_results!E797</f>
        <v>62.2222222222222</v>
      </c>
      <c r="J800" s="225"/>
      <c r="K800" s="15" t="str">
        <f ca="1">IF($J800="〇",OFFSET(集計!B$3,合体!$H800,0),"")</f>
        <v/>
      </c>
      <c r="L800" s="15" t="str">
        <f ca="1">IF($J800="〇",OFFSET(集計!C$3,合体!$H800,0),"")</f>
        <v/>
      </c>
      <c r="M800" s="202" t="str">
        <f ca="1">IF($J800="〇",OFFSET(集計!D$3,合体!$H800,0),"")</f>
        <v/>
      </c>
    </row>
    <row r="801" spans="2:13" x14ac:dyDescent="0.2">
      <c r="B801" s="201">
        <f t="shared" si="12"/>
        <v>797</v>
      </c>
      <c r="C801" s="15" t="str">
        <f>薬品マスタリスト_20260130100542!A799</f>
        <v>ヘパリン類似物質外用泡状スプレー０．３％「日本臓器」</v>
      </c>
      <c r="D801" s="15" t="str">
        <f>薬品マスタリスト_20260130100542!B799</f>
        <v>ﾍﾊﾟﾘﾝﾙｲｼﾞﾌﾞｯｼﾂｶﾞｲﾖｳ泡ｼﾞｮｳｽﾌﾟﾚｰ0.3%｢ﾆﾎﾝｿﾞｳｷ｣</v>
      </c>
      <c r="E801" s="15">
        <f>薬品マスタリスト_20260130100542!C799</f>
        <v>18</v>
      </c>
      <c r="F801" s="206" t="str">
        <f>薬品マスタリスト_20260130100542!D799</f>
        <v>噴霧剤</v>
      </c>
      <c r="G801" s="208" t="str">
        <f>match_results!C798</f>
        <v>ヘパリン類似外用泡スプレー</v>
      </c>
      <c r="H801" s="208">
        <f>match_results!D798</f>
        <v>362</v>
      </c>
      <c r="I801" s="218">
        <f>match_results!E798</f>
        <v>66.6666666666666</v>
      </c>
      <c r="J801" s="225"/>
      <c r="K801" s="15" t="str">
        <f ca="1">IF($J801="〇",OFFSET(集計!B$3,合体!$H801,0),"")</f>
        <v/>
      </c>
      <c r="L801" s="15" t="str">
        <f ca="1">IF($J801="〇",OFFSET(集計!C$3,合体!$H801,0),"")</f>
        <v/>
      </c>
      <c r="M801" s="202" t="str">
        <f ca="1">IF($J801="〇",OFFSET(集計!D$3,合体!$H801,0),"")</f>
        <v/>
      </c>
    </row>
    <row r="802" spans="2:13" x14ac:dyDescent="0.2">
      <c r="B802" s="201">
        <f t="shared" si="12"/>
        <v>798</v>
      </c>
      <c r="C802" s="15" t="str">
        <f>薬品マスタリスト_20260130100542!A800</f>
        <v>ヘパリン類似物質外用スプレー０．３％「サトウ」</v>
      </c>
      <c r="D802" s="15" t="str">
        <f>薬品マスタリスト_20260130100542!B800</f>
        <v>ﾍﾊﾟﾘﾝﾙｲｼﾞﾌﾞｯｼﾂｶﾞｲﾖｳｽﾌﾟﾚｰ0.3%｢ｻﾄｳ｣</v>
      </c>
      <c r="E802" s="15">
        <f>薬品マスタリスト_20260130100542!C800</f>
        <v>18</v>
      </c>
      <c r="F802" s="206" t="str">
        <f>薬品マスタリスト_20260130100542!D800</f>
        <v>噴霧剤</v>
      </c>
      <c r="G802" s="208" t="str">
        <f>match_results!C799</f>
        <v>ヘパリン類似外用スプレー</v>
      </c>
      <c r="H802" s="208">
        <f>match_results!D799</f>
        <v>642</v>
      </c>
      <c r="I802" s="218">
        <f>match_results!E799</f>
        <v>68.571428571428498</v>
      </c>
      <c r="J802" s="225"/>
      <c r="K802" s="15" t="str">
        <f ca="1">IF($J802="〇",OFFSET(集計!B$3,合体!$H802,0),"")</f>
        <v/>
      </c>
      <c r="L802" s="15" t="str">
        <f ca="1">IF($J802="〇",OFFSET(集計!C$3,合体!$H802,0),"")</f>
        <v/>
      </c>
      <c r="M802" s="202" t="str">
        <f ca="1">IF($J802="〇",OFFSET(集計!D$3,合体!$H802,0),"")</f>
        <v/>
      </c>
    </row>
    <row r="803" spans="2:13" x14ac:dyDescent="0.2">
      <c r="B803" s="201">
        <f t="shared" si="12"/>
        <v>799</v>
      </c>
      <c r="C803" s="15" t="str">
        <f>薬品マスタリスト_20260130100542!A801</f>
        <v>ヘパリン類似物質油性クリーム０．３％「日医工」</v>
      </c>
      <c r="D803" s="15" t="str">
        <f>薬品マスタリスト_20260130100542!B801</f>
        <v>ﾍﾊﾟﾘﾝﾙｲｼﾞﾌﾞﾂｼﾂﾕｾｲｸﾘ-ﾑ0.3%ﾆﾁｲｺｳ</v>
      </c>
      <c r="E803" s="15">
        <f>薬品マスタリスト_20260130100542!C801</f>
        <v>14</v>
      </c>
      <c r="F803" s="206" t="str">
        <f>薬品マスタリスト_20260130100542!D801</f>
        <v>軟膏</v>
      </c>
      <c r="G803" s="208" t="str">
        <f>match_results!C800</f>
        <v>ヘパリン類似油性クリーム０．３％</v>
      </c>
      <c r="H803" s="208">
        <f>match_results!D800</f>
        <v>89</v>
      </c>
      <c r="I803" s="218">
        <f>match_results!E800</f>
        <v>82.051282051282001</v>
      </c>
      <c r="J803" s="225"/>
      <c r="K803" s="15" t="str">
        <f ca="1">IF($J803="〇",OFFSET(集計!B$3,合体!$H803,0),"")</f>
        <v/>
      </c>
      <c r="L803" s="15" t="str">
        <f ca="1">IF($J803="〇",OFFSET(集計!C$3,合体!$H803,0),"")</f>
        <v/>
      </c>
      <c r="M803" s="202" t="str">
        <f ca="1">IF($J803="〇",OFFSET(集計!D$3,合体!$H803,0),"")</f>
        <v/>
      </c>
    </row>
    <row r="804" spans="2:13" x14ac:dyDescent="0.2">
      <c r="B804" s="201">
        <f t="shared" si="12"/>
        <v>800</v>
      </c>
      <c r="C804" s="15" t="str">
        <f>薬品マスタリスト_20260130100542!A802</f>
        <v>ベピオゲル２．５％</v>
      </c>
      <c r="D804" s="15" t="str">
        <f>薬品マスタリスト_20260130100542!B802</f>
        <v>ﾍﾞﾋﾟｵｹﾞﾙ2.5%</v>
      </c>
      <c r="E804" s="15">
        <f>薬品マスタリスト_20260130100542!C802</f>
        <v>16</v>
      </c>
      <c r="F804" s="206" t="str">
        <f>薬品マスタリスト_20260130100542!D802</f>
        <v>ゼリー（ゲル）</v>
      </c>
      <c r="G804" s="208" t="str">
        <f>match_results!C801</f>
        <v>ノベルジン錠２５ｍｇ</v>
      </c>
      <c r="H804" s="208">
        <f>match_results!D801</f>
        <v>564</v>
      </c>
      <c r="I804" s="218">
        <f>match_results!E801</f>
        <v>42.105263157894697</v>
      </c>
      <c r="J804" s="225"/>
      <c r="K804" s="15" t="str">
        <f ca="1">IF($J804="〇",OFFSET(集計!B$3,合体!$H804,0),"")</f>
        <v/>
      </c>
      <c r="L804" s="15" t="str">
        <f ca="1">IF($J804="〇",OFFSET(集計!C$3,合体!$H804,0),"")</f>
        <v/>
      </c>
      <c r="M804" s="202" t="str">
        <f ca="1">IF($J804="〇",OFFSET(集計!D$3,合体!$H804,0),"")</f>
        <v/>
      </c>
    </row>
    <row r="805" spans="2:13" x14ac:dyDescent="0.2">
      <c r="B805" s="201">
        <f t="shared" si="12"/>
        <v>801</v>
      </c>
      <c r="C805" s="15" t="str">
        <f>薬品マスタリスト_20260130100542!A803</f>
        <v>ヘブスブリンＩＨ静注１０００単位</v>
      </c>
      <c r="D805" s="15" t="str">
        <f>薬品マスタリスト_20260130100542!B803</f>
        <v>ﾍﾌﾞｽﾌﾞﾘﾝIHｼﾞｮｳﾁｭｳ1000ﾀﾝｲ</v>
      </c>
      <c r="E805" s="15">
        <f>薬品マスタリスト_20260130100542!C803</f>
        <v>25</v>
      </c>
      <c r="F805" s="206" t="str">
        <f>薬品マスタリスト_20260130100542!D803</f>
        <v>注射剤</v>
      </c>
      <c r="G805" s="208" t="str">
        <f>match_results!C802</f>
        <v>ヘブスブリンＩＨ静注１０００単位　５ｍＬＸ１瓶</v>
      </c>
      <c r="H805" s="208">
        <f>match_results!D802</f>
        <v>590</v>
      </c>
      <c r="I805" s="218">
        <f>match_results!E802</f>
        <v>82.051282051282001</v>
      </c>
      <c r="J805" s="225"/>
      <c r="K805" s="15" t="str">
        <f ca="1">IF($J805="〇",OFFSET(集計!B$3,合体!$H805,0),"")</f>
        <v/>
      </c>
      <c r="L805" s="15" t="str">
        <f ca="1">IF($J805="〇",OFFSET(集計!C$3,合体!$H805,0),"")</f>
        <v/>
      </c>
      <c r="M805" s="202" t="str">
        <f ca="1">IF($J805="〇",OFFSET(集計!D$3,合体!$H805,0),"")</f>
        <v/>
      </c>
    </row>
    <row r="806" spans="2:13" x14ac:dyDescent="0.2">
      <c r="B806" s="201">
        <f t="shared" si="12"/>
        <v>802</v>
      </c>
      <c r="C806" s="15" t="str">
        <f>薬品マスタリスト_20260130100542!A804</f>
        <v>ベプリコール錠５０ｍｇ</v>
      </c>
      <c r="D806" s="15" t="str">
        <f>薬品マスタリスト_20260130100542!B804</f>
        <v>ﾍﾞﾌﾟﾘｺｰﾙｼﾞｮｳ50mg</v>
      </c>
      <c r="E806" s="15">
        <f>薬品マスタリスト_20260130100542!C804</f>
        <v>1</v>
      </c>
      <c r="F806" s="206" t="str">
        <f>薬品マスタリスト_20260130100542!D804</f>
        <v>錠剤</v>
      </c>
      <c r="G806" s="208" t="str">
        <f>match_results!C803</f>
        <v>ベプリコール錠</v>
      </c>
      <c r="H806" s="208">
        <f>match_results!D803</f>
        <v>220</v>
      </c>
      <c r="I806" s="218">
        <f>match_results!E803</f>
        <v>77.7777777777777</v>
      </c>
      <c r="J806" s="225"/>
      <c r="K806" s="15" t="str">
        <f ca="1">IF($J806="〇",OFFSET(集計!B$3,合体!$H806,0),"")</f>
        <v/>
      </c>
      <c r="L806" s="15" t="str">
        <f ca="1">IF($J806="〇",OFFSET(集計!C$3,合体!$H806,0),"")</f>
        <v/>
      </c>
      <c r="M806" s="202" t="str">
        <f ca="1">IF($J806="〇",OFFSET(集計!D$3,合体!$H806,0),"")</f>
        <v/>
      </c>
    </row>
    <row r="807" spans="2:13" x14ac:dyDescent="0.2">
      <c r="B807" s="201">
        <f t="shared" si="12"/>
        <v>803</v>
      </c>
      <c r="C807" s="15" t="str">
        <f>薬品マスタリスト_20260130100542!A805</f>
        <v>ペミロラストＫ点眼液０．１％「ＴＳ」</v>
      </c>
      <c r="D807" s="15" t="str">
        <f>薬品マスタリスト_20260130100542!B805</f>
        <v>ﾍﾟﾐﾛﾗｽﾄKﾃﾝｶﾞﾝｴｷ0.1%TS</v>
      </c>
      <c r="E807" s="15">
        <f>薬品マスタリスト_20260130100542!C805</f>
        <v>21</v>
      </c>
      <c r="F807" s="206" t="str">
        <f>薬品マスタリスト_20260130100542!D805</f>
        <v>点眼剤</v>
      </c>
      <c r="G807" s="208" t="str">
        <f>match_results!C804</f>
        <v>ブロナック点眼０．１％</v>
      </c>
      <c r="H807" s="208">
        <f>match_results!D804</f>
        <v>241</v>
      </c>
      <c r="I807" s="218">
        <f>match_results!E804</f>
        <v>48.275862068965502</v>
      </c>
      <c r="J807" s="225"/>
      <c r="K807" s="15" t="str">
        <f ca="1">IF($J807="〇",OFFSET(集計!B$3,合体!$H807,0),"")</f>
        <v/>
      </c>
      <c r="L807" s="15" t="str">
        <f ca="1">IF($J807="〇",OFFSET(集計!C$3,合体!$H807,0),"")</f>
        <v/>
      </c>
      <c r="M807" s="202" t="str">
        <f ca="1">IF($J807="〇",OFFSET(集計!D$3,合体!$H807,0),"")</f>
        <v/>
      </c>
    </row>
    <row r="808" spans="2:13" x14ac:dyDescent="0.2">
      <c r="B808" s="201">
        <f t="shared" si="12"/>
        <v>804</v>
      </c>
      <c r="C808" s="15" t="str">
        <f>薬品マスタリスト_20260130100542!A806</f>
        <v>ヘモレックス軟膏</v>
      </c>
      <c r="D808" s="15" t="str">
        <f>薬品マスタリスト_20260130100542!B806</f>
        <v>ﾍﾓﾚｯｸｽﾅﾝｺｳ</v>
      </c>
      <c r="E808" s="15">
        <f>薬品マスタリスト_20260130100542!C806</f>
        <v>14</v>
      </c>
      <c r="F808" s="206" t="str">
        <f>薬品マスタリスト_20260130100542!D806</f>
        <v>軟膏</v>
      </c>
      <c r="G808" s="208" t="str">
        <f>match_results!C805</f>
        <v>ヘモレックス軟膏　２ｇ／本</v>
      </c>
      <c r="H808" s="208">
        <f>match_results!D805</f>
        <v>343</v>
      </c>
      <c r="I808" s="218">
        <f>match_results!E805</f>
        <v>76.190476190476105</v>
      </c>
      <c r="J808" s="225"/>
      <c r="K808" s="15" t="str">
        <f ca="1">IF($J808="〇",OFFSET(集計!B$3,合体!$H808,0),"")</f>
        <v/>
      </c>
      <c r="L808" s="15" t="str">
        <f ca="1">IF($J808="〇",OFFSET(集計!C$3,合体!$H808,0),"")</f>
        <v/>
      </c>
      <c r="M808" s="202" t="str">
        <f ca="1">IF($J808="〇",OFFSET(集計!D$3,合体!$H808,0),"")</f>
        <v/>
      </c>
    </row>
    <row r="809" spans="2:13" x14ac:dyDescent="0.2">
      <c r="B809" s="201">
        <f t="shared" si="12"/>
        <v>805</v>
      </c>
      <c r="C809" s="15" t="str">
        <f>薬品マスタリスト_20260130100542!A807</f>
        <v>ベラプロストＮａ錠２０μｇ「トーワ」</v>
      </c>
      <c r="D809" s="15" t="str">
        <f>薬品マスタリスト_20260130100542!B807</f>
        <v>ﾍﾞﾗﾌﾟﾛｽﾄNaｼﾞｮｳ20μg｢ﾄｰﾜ｣</v>
      </c>
      <c r="E809" s="15">
        <f>薬品マスタリスト_20260130100542!C807</f>
        <v>1</v>
      </c>
      <c r="F809" s="206" t="str">
        <f>薬品マスタリスト_20260130100542!D807</f>
        <v>錠剤</v>
      </c>
      <c r="G809" s="208" t="str">
        <f>match_results!C806</f>
        <v>ベラプロスト錠２０μｇ</v>
      </c>
      <c r="H809" s="208">
        <f>match_results!D806</f>
        <v>205</v>
      </c>
      <c r="I809" s="218">
        <f>match_results!E806</f>
        <v>75.862068965517196</v>
      </c>
      <c r="J809" s="225"/>
      <c r="K809" s="15" t="str">
        <f ca="1">IF($J809="〇",OFFSET(集計!B$3,合体!$H809,0),"")</f>
        <v/>
      </c>
      <c r="L809" s="15" t="str">
        <f ca="1">IF($J809="〇",OFFSET(集計!C$3,合体!$H809,0),"")</f>
        <v/>
      </c>
      <c r="M809" s="202" t="str">
        <f ca="1">IF($J809="〇",OFFSET(集計!D$3,合体!$H809,0),"")</f>
        <v/>
      </c>
    </row>
    <row r="810" spans="2:13" x14ac:dyDescent="0.2">
      <c r="B810" s="201">
        <f t="shared" si="12"/>
        <v>806</v>
      </c>
      <c r="C810" s="15" t="str">
        <f>薬品マスタリスト_20260130100542!A808</f>
        <v>ペルサンチン錠２５ｍｇ</v>
      </c>
      <c r="D810" s="15" t="str">
        <f>薬品マスタリスト_20260130100542!B808</f>
        <v>ﾍﾟﾙｻﾝﾁﾝｼﾞｮｳ25mg</v>
      </c>
      <c r="E810" s="15">
        <f>薬品マスタリスト_20260130100542!C808</f>
        <v>1</v>
      </c>
      <c r="F810" s="206" t="str">
        <f>薬品マスタリスト_20260130100542!D808</f>
        <v>錠剤</v>
      </c>
      <c r="G810" s="208" t="str">
        <f>match_results!C807</f>
        <v>ボルタレン錠２５ｍｇ　</v>
      </c>
      <c r="H810" s="208">
        <f>match_results!D807</f>
        <v>57</v>
      </c>
      <c r="I810" s="218">
        <f>match_results!E807</f>
        <v>66.6666666666666</v>
      </c>
      <c r="J810" s="225"/>
      <c r="K810" s="15" t="str">
        <f ca="1">IF($J810="〇",OFFSET(集計!B$3,合体!$H810,0),"")</f>
        <v/>
      </c>
      <c r="L810" s="15" t="str">
        <f ca="1">IF($J810="〇",OFFSET(集計!C$3,合体!$H810,0),"")</f>
        <v/>
      </c>
      <c r="M810" s="202" t="str">
        <f ca="1">IF($J810="〇",OFFSET(集計!D$3,合体!$H810,0),"")</f>
        <v/>
      </c>
    </row>
    <row r="811" spans="2:13" x14ac:dyDescent="0.2">
      <c r="B811" s="201">
        <f t="shared" si="12"/>
        <v>807</v>
      </c>
      <c r="C811" s="15" t="str">
        <f>薬品マスタリスト_20260130100542!A809</f>
        <v>ペルジピン注射液２ｍｇ</v>
      </c>
      <c r="D811" s="15" t="str">
        <f>薬品マスタリスト_20260130100542!B809</f>
        <v>ﾍﾟﾙｼﾞﾋﾟﾝﾁﾕｳｼﾔｴｷ2MG</v>
      </c>
      <c r="E811" s="15">
        <f>薬品マスタリスト_20260130100542!C809</f>
        <v>25</v>
      </c>
      <c r="F811" s="206" t="str">
        <f>薬品マスタリスト_20260130100542!D809</f>
        <v>注射剤</v>
      </c>
      <c r="G811" s="208" t="str">
        <f>match_results!C808</f>
        <v>ペルジピン注</v>
      </c>
      <c r="H811" s="208">
        <f>match_results!D808</f>
        <v>113</v>
      </c>
      <c r="I811" s="218">
        <f>match_results!E808</f>
        <v>70.588235294117595</v>
      </c>
      <c r="J811" s="225"/>
      <c r="K811" s="15" t="str">
        <f ca="1">IF($J811="〇",OFFSET(集計!B$3,合体!$H811,0),"")</f>
        <v/>
      </c>
      <c r="L811" s="15" t="str">
        <f ca="1">IF($J811="〇",OFFSET(集計!C$3,合体!$H811,0),"")</f>
        <v/>
      </c>
      <c r="M811" s="202" t="str">
        <f ca="1">IF($J811="〇",OFFSET(集計!D$3,合体!$H811,0),"")</f>
        <v/>
      </c>
    </row>
    <row r="812" spans="2:13" x14ac:dyDescent="0.2">
      <c r="B812" s="201">
        <f t="shared" si="12"/>
        <v>808</v>
      </c>
      <c r="C812" s="15" t="str">
        <f>薬品マスタリスト_20260130100542!A810</f>
        <v>ベルソムラ錠１５ｍｇ</v>
      </c>
      <c r="D812" s="15" t="str">
        <f>薬品マスタリスト_20260130100542!B810</f>
        <v>ﾍﾞﾙｿﾑﾗｼﾞｮｳ15mg</v>
      </c>
      <c r="E812" s="15">
        <f>薬品マスタリスト_20260130100542!C810</f>
        <v>1</v>
      </c>
      <c r="F812" s="206" t="str">
        <f>薬品マスタリスト_20260130100542!D810</f>
        <v>錠剤</v>
      </c>
      <c r="G812" s="208" t="str">
        <f>match_results!C809</f>
        <v>ベルソムラ錠１５ｍｇ</v>
      </c>
      <c r="H812" s="208">
        <f>match_results!D809</f>
        <v>400</v>
      </c>
      <c r="I812" s="218">
        <f>match_results!E809</f>
        <v>100</v>
      </c>
      <c r="J812" s="225" t="s">
        <v>3917</v>
      </c>
      <c r="K812" s="15">
        <f ca="1">IF($J812="〇",OFFSET(集計!B$3,合体!$H812,0),"")</f>
        <v>77.63</v>
      </c>
      <c r="L812" s="15">
        <f ca="1">IF($J812="〇",OFFSET(集計!C$3,合体!$H812,0),"")</f>
        <v>100</v>
      </c>
      <c r="M812" s="202">
        <f ca="1">IF($J812="〇",OFFSET(集計!D$3,合体!$H812,0),"")</f>
        <v>7763</v>
      </c>
    </row>
    <row r="813" spans="2:13" x14ac:dyDescent="0.2">
      <c r="B813" s="201">
        <f t="shared" si="12"/>
        <v>809</v>
      </c>
      <c r="C813" s="15" t="str">
        <f>薬品マスタリスト_20260130100542!A811</f>
        <v>ベルソムラ錠２０ｍｇ</v>
      </c>
      <c r="D813" s="15" t="str">
        <f>薬品マスタリスト_20260130100542!B811</f>
        <v>ﾍﾞﾙｿﾑﾗｼﾞｮｳ20mg</v>
      </c>
      <c r="E813" s="15">
        <f>薬品マスタリスト_20260130100542!C811</f>
        <v>1</v>
      </c>
      <c r="F813" s="206" t="str">
        <f>薬品マスタリスト_20260130100542!D811</f>
        <v>錠剤</v>
      </c>
      <c r="G813" s="208" t="str">
        <f>match_results!C810</f>
        <v>ベルソムラ錠２０ｍｇ</v>
      </c>
      <c r="H813" s="208">
        <f>match_results!D810</f>
        <v>516</v>
      </c>
      <c r="I813" s="218">
        <f>match_results!E810</f>
        <v>100</v>
      </c>
      <c r="J813" s="225" t="s">
        <v>3917</v>
      </c>
      <c r="K813" s="15">
        <f ca="1">IF($J813="〇",OFFSET(集計!B$3,合体!$H813,0),"")</f>
        <v>93.96</v>
      </c>
      <c r="L813" s="15">
        <f ca="1">IF($J813="〇",OFFSET(集計!C$3,合体!$H813,0),"")</f>
        <v>167</v>
      </c>
      <c r="M813" s="202">
        <f ca="1">IF($J813="〇",OFFSET(集計!D$3,合体!$H813,0),"")</f>
        <v>15691.32</v>
      </c>
    </row>
    <row r="814" spans="2:13" x14ac:dyDescent="0.2">
      <c r="B814" s="201">
        <f t="shared" si="12"/>
        <v>810</v>
      </c>
      <c r="C814" s="15" t="str">
        <f>薬品マスタリスト_20260130100542!A812</f>
        <v>ヘルベッサー錠３０</v>
      </c>
      <c r="D814" s="15" t="str">
        <f>薬品マスタリスト_20260130100542!B812</f>
        <v>ﾍﾙﾍﾞｯｻｰｼﾞｮｳ30</v>
      </c>
      <c r="E814" s="15">
        <f>薬品マスタリスト_20260130100542!C812</f>
        <v>1</v>
      </c>
      <c r="F814" s="206" t="str">
        <f>薬品マスタリスト_20260130100542!D812</f>
        <v>錠剤</v>
      </c>
      <c r="G814" s="208" t="str">
        <f>match_results!C811</f>
        <v>ヘルベッサー錠　３０</v>
      </c>
      <c r="H814" s="208">
        <f>match_results!D811</f>
        <v>264</v>
      </c>
      <c r="I814" s="218">
        <f>match_results!E811</f>
        <v>94.736842105263094</v>
      </c>
      <c r="J814" s="225"/>
      <c r="K814" s="15" t="str">
        <f ca="1">IF($J814="〇",OFFSET(集計!B$3,合体!$H814,0),"")</f>
        <v/>
      </c>
      <c r="L814" s="15" t="str">
        <f ca="1">IF($J814="〇",OFFSET(集計!C$3,合体!$H814,0),"")</f>
        <v/>
      </c>
      <c r="M814" s="202" t="str">
        <f ca="1">IF($J814="〇",OFFSET(集計!D$3,合体!$H814,0),"")</f>
        <v/>
      </c>
    </row>
    <row r="815" spans="2:13" x14ac:dyDescent="0.2">
      <c r="B815" s="201">
        <f t="shared" si="12"/>
        <v>811</v>
      </c>
      <c r="C815" s="15" t="str">
        <f>薬品マスタリスト_20260130100542!A813</f>
        <v>ヘルベッサー注射用５０</v>
      </c>
      <c r="D815" s="15" t="str">
        <f>薬品マスタリスト_20260130100542!B813</f>
        <v>ﾍﾙﾍﾞﾂｻ-ﾁﾕｳｼﾔﾖｳ50</v>
      </c>
      <c r="E815" s="15">
        <f>薬品マスタリスト_20260130100542!C813</f>
        <v>25</v>
      </c>
      <c r="F815" s="206" t="str">
        <f>薬品マスタリスト_20260130100542!D813</f>
        <v>注射剤</v>
      </c>
      <c r="G815" s="208" t="str">
        <f>match_results!C812</f>
        <v>ヘルベッサー注</v>
      </c>
      <c r="H815" s="208">
        <f>match_results!D812</f>
        <v>505</v>
      </c>
      <c r="I815" s="218">
        <f>match_results!E812</f>
        <v>77.7777777777777</v>
      </c>
      <c r="J815" s="225"/>
      <c r="K815" s="15" t="str">
        <f ca="1">IF($J815="〇",OFFSET(集計!B$3,合体!$H815,0),"")</f>
        <v/>
      </c>
      <c r="L815" s="15" t="str">
        <f ca="1">IF($J815="〇",OFFSET(集計!C$3,合体!$H815,0),"")</f>
        <v/>
      </c>
      <c r="M815" s="202" t="str">
        <f ca="1">IF($J815="〇",OFFSET(集計!D$3,合体!$H815,0),"")</f>
        <v/>
      </c>
    </row>
    <row r="816" spans="2:13" x14ac:dyDescent="0.2">
      <c r="B816" s="201">
        <f t="shared" si="12"/>
        <v>812</v>
      </c>
      <c r="C816" s="15" t="str">
        <f>薬品マスタリスト_20260130100542!A814</f>
        <v>ベンザリン錠５</v>
      </c>
      <c r="D816" s="15" t="str">
        <f>薬品マスタリスト_20260130100542!B814</f>
        <v>ﾍﾞﾝｻﾞﾘﾝｼﾞｮｳ5</v>
      </c>
      <c r="E816" s="15">
        <f>薬品マスタリスト_20260130100542!C814</f>
        <v>1</v>
      </c>
      <c r="F816" s="206" t="str">
        <f>薬品マスタリスト_20260130100542!D814</f>
        <v>錠剤</v>
      </c>
      <c r="G816" s="208" t="str">
        <f>match_results!C813</f>
        <v>ベンザリン錠</v>
      </c>
      <c r="H816" s="208">
        <f>match_results!D813</f>
        <v>509</v>
      </c>
      <c r="I816" s="218">
        <f>match_results!E813</f>
        <v>92.307692307692307</v>
      </c>
      <c r="J816" s="225"/>
      <c r="K816" s="15" t="str">
        <f ca="1">IF($J816="〇",OFFSET(集計!B$3,合体!$H816,0),"")</f>
        <v/>
      </c>
      <c r="L816" s="15" t="str">
        <f ca="1">IF($J816="〇",OFFSET(集計!C$3,合体!$H816,0),"")</f>
        <v/>
      </c>
      <c r="M816" s="202" t="str">
        <f ca="1">IF($J816="〇",OFFSET(集計!D$3,合体!$H816,0),"")</f>
        <v/>
      </c>
    </row>
    <row r="817" spans="2:13" x14ac:dyDescent="0.2">
      <c r="B817" s="201">
        <f t="shared" si="12"/>
        <v>813</v>
      </c>
      <c r="C817" s="15" t="str">
        <f>薬品マスタリスト_20260130100542!A815</f>
        <v>ベンザリン細粒１％</v>
      </c>
      <c r="D817" s="15" t="str">
        <f>薬品マスタリスト_20260130100542!B815</f>
        <v>ﾍﾞﾝｻﾞﾘﾝｻｲﾘﾕｳ1%</v>
      </c>
      <c r="E817" s="15">
        <f>薬品マスタリスト_20260130100542!C815</f>
        <v>4</v>
      </c>
      <c r="F817" s="206" t="str">
        <f>薬品マスタリスト_20260130100542!D815</f>
        <v>細粒</v>
      </c>
      <c r="G817" s="208" t="str">
        <f>match_results!C814</f>
        <v>ベンザリン細粒</v>
      </c>
      <c r="H817" s="208">
        <f>match_results!D814</f>
        <v>152</v>
      </c>
      <c r="I817" s="218">
        <f>match_results!E814</f>
        <v>87.5</v>
      </c>
      <c r="J817" s="225"/>
      <c r="K817" s="15" t="str">
        <f ca="1">IF($J817="〇",OFFSET(集計!B$3,合体!$H817,0),"")</f>
        <v/>
      </c>
      <c r="L817" s="15" t="str">
        <f ca="1">IF($J817="〇",OFFSET(集計!C$3,合体!$H817,0),"")</f>
        <v/>
      </c>
      <c r="M817" s="202" t="str">
        <f ca="1">IF($J817="〇",OFFSET(集計!D$3,合体!$H817,0),"")</f>
        <v/>
      </c>
    </row>
    <row r="818" spans="2:13" x14ac:dyDescent="0.2">
      <c r="B818" s="201">
        <f t="shared" si="12"/>
        <v>814</v>
      </c>
      <c r="C818" s="15" t="str">
        <f>薬品マスタリスト_20260130100542!A816</f>
        <v>ペンタサ顆粒９４％</v>
      </c>
      <c r="D818" s="15" t="str">
        <f>薬品マスタリスト_20260130100542!B816</f>
        <v>ﾍﾟﾝﾀｻｶﾘﾕｳ94%</v>
      </c>
      <c r="E818" s="15">
        <f>薬品マスタリスト_20260130100542!C816</f>
        <v>5</v>
      </c>
      <c r="F818" s="206" t="str">
        <f>薬品マスタリスト_20260130100542!D816</f>
        <v>顆粒</v>
      </c>
      <c r="G818" s="208" t="str">
        <f>match_results!C815</f>
        <v>トロペロン細粒１％</v>
      </c>
      <c r="H818" s="208">
        <f>match_results!D815</f>
        <v>459</v>
      </c>
      <c r="I818" s="218">
        <f>match_results!E815</f>
        <v>44.4444444444444</v>
      </c>
      <c r="J818" s="225"/>
      <c r="K818" s="15" t="str">
        <f ca="1">IF($J818="〇",OFFSET(集計!B$3,合体!$H818,0),"")</f>
        <v/>
      </c>
      <c r="L818" s="15" t="str">
        <f ca="1">IF($J818="〇",OFFSET(集計!C$3,合体!$H818,0),"")</f>
        <v/>
      </c>
      <c r="M818" s="202" t="str">
        <f ca="1">IF($J818="〇",OFFSET(集計!D$3,合体!$H818,0),"")</f>
        <v/>
      </c>
    </row>
    <row r="819" spans="2:13" x14ac:dyDescent="0.2">
      <c r="B819" s="201">
        <f t="shared" si="12"/>
        <v>815</v>
      </c>
      <c r="C819" s="15" t="str">
        <f>薬品マスタリスト_20260130100542!A817</f>
        <v>ペントシリン注射用１ｇ</v>
      </c>
      <c r="D819" s="15" t="str">
        <f>薬品マスタリスト_20260130100542!B817</f>
        <v>ﾍﾟﾝﾄｼﾘﾝﾁｭｳｼｬﾖｳ1g</v>
      </c>
      <c r="E819" s="15">
        <f>薬品マスタリスト_20260130100542!C817</f>
        <v>25</v>
      </c>
      <c r="F819" s="206" t="str">
        <f>薬品マスタリスト_20260130100542!D817</f>
        <v>注射剤</v>
      </c>
      <c r="G819" s="208" t="str">
        <f>match_results!C816</f>
        <v>ペントシリン注射用１ｇ</v>
      </c>
      <c r="H819" s="208">
        <f>match_results!D816</f>
        <v>623</v>
      </c>
      <c r="I819" s="218">
        <f>match_results!E816</f>
        <v>100</v>
      </c>
      <c r="J819" s="225" t="s">
        <v>3917</v>
      </c>
      <c r="K819" s="15">
        <f ca="1">IF($J819="〇",OFFSET(集計!B$3,合体!$H819,0),"")</f>
        <v>290.5</v>
      </c>
      <c r="L819" s="15">
        <f ca="1">IF($J819="〇",OFFSET(集計!C$3,合体!$H819,0),"")</f>
        <v>156</v>
      </c>
      <c r="M819" s="202">
        <f ca="1">IF($J819="〇",OFFSET(集計!D$3,合体!$H819,0),"")</f>
        <v>45318</v>
      </c>
    </row>
    <row r="820" spans="2:13" x14ac:dyDescent="0.2">
      <c r="B820" s="201">
        <f t="shared" si="12"/>
        <v>816</v>
      </c>
      <c r="C820" s="15" t="str">
        <f>薬品マスタリスト_20260130100542!A818</f>
        <v>ボアラ軟膏０．１２％</v>
      </c>
      <c r="D820" s="15" t="str">
        <f>薬品マスタリスト_20260130100542!B818</f>
        <v>ﾎﾞｱﾗﾅﾝｺｳ0.12%</v>
      </c>
      <c r="E820" s="15">
        <f>薬品マスタリスト_20260130100542!C818</f>
        <v>14</v>
      </c>
      <c r="F820" s="206" t="str">
        <f>薬品マスタリスト_20260130100542!D818</f>
        <v>軟膏</v>
      </c>
      <c r="G820" s="208" t="str">
        <f>match_results!C817</f>
        <v>ボアラ軟膏</v>
      </c>
      <c r="H820" s="208">
        <f>match_results!D817</f>
        <v>265</v>
      </c>
      <c r="I820" s="218">
        <f>match_results!E817</f>
        <v>66.6666666666666</v>
      </c>
      <c r="J820" s="225"/>
      <c r="K820" s="15" t="str">
        <f ca="1">IF($J820="〇",OFFSET(集計!B$3,合体!$H820,0),"")</f>
        <v/>
      </c>
      <c r="L820" s="15" t="str">
        <f ca="1">IF($J820="〇",OFFSET(集計!C$3,合体!$H820,0),"")</f>
        <v/>
      </c>
      <c r="M820" s="202" t="str">
        <f ca="1">IF($J820="〇",OFFSET(集計!D$3,合体!$H820,0),"")</f>
        <v/>
      </c>
    </row>
    <row r="821" spans="2:13" x14ac:dyDescent="0.2">
      <c r="B821" s="201">
        <f t="shared" si="12"/>
        <v>817</v>
      </c>
      <c r="C821" s="15" t="str">
        <f>薬品マスタリスト_20260130100542!A819</f>
        <v>ボグリボースＯＤ錠０．２ｍｇ「日医工」</v>
      </c>
      <c r="D821" s="15" t="str">
        <f>薬品マスタリスト_20260130100542!B819</f>
        <v>ﾎﾞｸﾞﾘﾎﾞｰｽODｼﾞｮｳ0.2mg｢ﾆﾁｲｺｳ｣</v>
      </c>
      <c r="E821" s="15">
        <f>薬品マスタリスト_20260130100542!C819</f>
        <v>1</v>
      </c>
      <c r="F821" s="206" t="str">
        <f>薬品マスタリスト_20260130100542!D819</f>
        <v>錠剤</v>
      </c>
      <c r="G821" s="208" t="str">
        <f>match_results!C818</f>
        <v>ボグリボースＯＤ錠０．２ｍｇ「トーワ」</v>
      </c>
      <c r="H821" s="208">
        <f>match_results!D818</f>
        <v>572</v>
      </c>
      <c r="I821" s="218">
        <f>match_results!E818</f>
        <v>84.210526315789394</v>
      </c>
      <c r="J821" s="225"/>
      <c r="K821" s="15" t="str">
        <f ca="1">IF($J821="〇",OFFSET(集計!B$3,合体!$H821,0),"")</f>
        <v/>
      </c>
      <c r="L821" s="15" t="str">
        <f ca="1">IF($J821="〇",OFFSET(集計!C$3,合体!$H821,0),"")</f>
        <v/>
      </c>
      <c r="M821" s="202" t="str">
        <f ca="1">IF($J821="〇",OFFSET(集計!D$3,合体!$H821,0),"")</f>
        <v/>
      </c>
    </row>
    <row r="822" spans="2:13" x14ac:dyDescent="0.2">
      <c r="B822" s="201">
        <f t="shared" si="12"/>
        <v>818</v>
      </c>
      <c r="C822" s="15" t="str">
        <f>薬品マスタリスト_20260130100542!A820</f>
        <v>ボグリボースＯＤ錠０．２ｍｇ「トーワ」</v>
      </c>
      <c r="D822" s="15" t="str">
        <f>薬品マスタリスト_20260130100542!B820</f>
        <v>ﾎﾞｸﾞﾘﾎﾞ-ｽODｼﾞﾖｳ0.2MGﾄ-ﾜ</v>
      </c>
      <c r="E822" s="15">
        <f>薬品マスタリスト_20260130100542!C820</f>
        <v>1</v>
      </c>
      <c r="F822" s="206" t="str">
        <f>薬品マスタリスト_20260130100542!D820</f>
        <v>錠剤</v>
      </c>
      <c r="G822" s="208" t="str">
        <f>match_results!C819</f>
        <v>ボグリボースＯＤ錠０．２ｍｇ「トーワ」</v>
      </c>
      <c r="H822" s="208">
        <f>match_results!D819</f>
        <v>572</v>
      </c>
      <c r="I822" s="218">
        <f>match_results!E819</f>
        <v>100</v>
      </c>
      <c r="J822" s="225" t="s">
        <v>3917</v>
      </c>
      <c r="K822" s="15">
        <f ca="1">IF($J822="〇",OFFSET(集計!B$3,合体!$H822,0),"")</f>
        <v>8.5</v>
      </c>
      <c r="L822" s="15">
        <f ca="1">IF($J822="〇",OFFSET(集計!C$3,合体!$H822,0),"")</f>
        <v>3014.2857142857142</v>
      </c>
      <c r="M822" s="202">
        <f ca="1">IF($J822="〇",OFFSET(集計!D$3,合体!$H822,0),"")</f>
        <v>25621.428571428572</v>
      </c>
    </row>
    <row r="823" spans="2:13" x14ac:dyDescent="0.2">
      <c r="B823" s="201">
        <f t="shared" si="12"/>
        <v>819</v>
      </c>
      <c r="C823" s="15" t="str">
        <f>薬品マスタリスト_20260130100542!A821</f>
        <v>ホスホマイシンナトリウム静注用２ｇ「日医工」</v>
      </c>
      <c r="D823" s="15" t="str">
        <f>薬品マスタリスト_20260130100542!B821</f>
        <v>ﾎｽﾎﾏｲｼﾝﾅﾄﾘｳﾑｼﾞｮｳﾁｭｳﾖｳ2g｢ﾆﾁｲｺｳ｣</v>
      </c>
      <c r="E823" s="15">
        <f>薬品マスタリスト_20260130100542!C821</f>
        <v>25</v>
      </c>
      <c r="F823" s="206" t="str">
        <f>薬品マスタリスト_20260130100542!D821</f>
        <v>注射剤</v>
      </c>
      <c r="G823" s="208" t="str">
        <f>match_results!C820</f>
        <v>ホスホマイシンナトリウム静注用２ｇ</v>
      </c>
      <c r="H823" s="208">
        <f>match_results!D820</f>
        <v>652</v>
      </c>
      <c r="I823" s="218">
        <f>match_results!E820</f>
        <v>87.179487179487097</v>
      </c>
      <c r="J823" s="225"/>
      <c r="K823" s="15" t="str">
        <f ca="1">IF($J823="〇",OFFSET(集計!B$3,合体!$H823,0),"")</f>
        <v/>
      </c>
      <c r="L823" s="15" t="str">
        <f ca="1">IF($J823="〇",OFFSET(集計!C$3,合体!$H823,0),"")</f>
        <v/>
      </c>
      <c r="M823" s="202" t="str">
        <f ca="1">IF($J823="〇",OFFSET(集計!D$3,合体!$H823,0),"")</f>
        <v/>
      </c>
    </row>
    <row r="824" spans="2:13" x14ac:dyDescent="0.2">
      <c r="B824" s="201">
        <f t="shared" si="12"/>
        <v>820</v>
      </c>
      <c r="C824" s="15" t="str">
        <f>薬品マスタリスト_20260130100542!A822</f>
        <v>ホスミシンＳ耳科用３％</v>
      </c>
      <c r="D824" s="15" t="str">
        <f>薬品マスタリスト_20260130100542!B822</f>
        <v>ﾎｽﾐｼﾝSｼﾞｶﾖｳ3%</v>
      </c>
      <c r="E824" s="15">
        <f>薬品マスタリスト_20260130100542!C822</f>
        <v>22</v>
      </c>
      <c r="F824" s="206" t="str">
        <f>薬品マスタリスト_20260130100542!D822</f>
        <v>点耳薬</v>
      </c>
      <c r="G824" s="208" t="str">
        <f>match_results!C821</f>
        <v>スミスリンローション</v>
      </c>
      <c r="H824" s="208">
        <f>match_results!D821</f>
        <v>531</v>
      </c>
      <c r="I824" s="218">
        <f>match_results!E821</f>
        <v>38.095238095238003</v>
      </c>
      <c r="J824" s="225"/>
      <c r="K824" s="15" t="str">
        <f ca="1">IF($J824="〇",OFFSET(集計!B$3,合体!$H824,0),"")</f>
        <v/>
      </c>
      <c r="L824" s="15" t="str">
        <f ca="1">IF($J824="〇",OFFSET(集計!C$3,合体!$H824,0),"")</f>
        <v/>
      </c>
      <c r="M824" s="202" t="str">
        <f ca="1">IF($J824="〇",OFFSET(集計!D$3,合体!$H824,0),"")</f>
        <v/>
      </c>
    </row>
    <row r="825" spans="2:13" x14ac:dyDescent="0.2">
      <c r="B825" s="201">
        <f t="shared" si="12"/>
        <v>821</v>
      </c>
      <c r="C825" s="15" t="str">
        <f>薬品マスタリスト_20260130100542!A823</f>
        <v>ボスミン注１ｍｇ</v>
      </c>
      <c r="D825" s="15" t="str">
        <f>薬品マスタリスト_20260130100542!B823</f>
        <v>ﾎﾞｽﾐﾝﾁｭｳ1mg</v>
      </c>
      <c r="E825" s="15">
        <f>薬品マスタリスト_20260130100542!C823</f>
        <v>25</v>
      </c>
      <c r="F825" s="206" t="str">
        <f>薬品マスタリスト_20260130100542!D823</f>
        <v>注射剤</v>
      </c>
      <c r="G825" s="208" t="str">
        <f>match_results!C822</f>
        <v>ボスミン注</v>
      </c>
      <c r="H825" s="208">
        <f>match_results!D822</f>
        <v>296</v>
      </c>
      <c r="I825" s="218">
        <f>match_results!E822</f>
        <v>76.923076923076906</v>
      </c>
      <c r="J825" s="225"/>
      <c r="K825" s="15" t="str">
        <f ca="1">IF($J825="〇",OFFSET(集計!B$3,合体!$H825,0),"")</f>
        <v/>
      </c>
      <c r="L825" s="15" t="str">
        <f ca="1">IF($J825="〇",OFFSET(集計!C$3,合体!$H825,0),"")</f>
        <v/>
      </c>
      <c r="M825" s="202" t="str">
        <f ca="1">IF($J825="〇",OFFSET(集計!D$3,合体!$H825,0),"")</f>
        <v/>
      </c>
    </row>
    <row r="826" spans="2:13" x14ac:dyDescent="0.2">
      <c r="B826" s="201">
        <f t="shared" si="12"/>
        <v>822</v>
      </c>
      <c r="C826" s="15" t="str">
        <f>薬品マスタリスト_20260130100542!A824</f>
        <v>ホスリボン配合顆粒</v>
      </c>
      <c r="D826" s="15" t="str">
        <f>薬品マスタリスト_20260130100542!B824</f>
        <v>ﾎｽﾘﾎﾞﾝﾊｲｺﾞｳｶﾘｭｳ</v>
      </c>
      <c r="E826" s="15">
        <f>薬品マスタリスト_20260130100542!C824</f>
        <v>3</v>
      </c>
      <c r="F826" s="206" t="str">
        <f>薬品マスタリスト_20260130100542!D824</f>
        <v>散</v>
      </c>
      <c r="G826" s="208" t="str">
        <f>match_results!C823</f>
        <v>マーズレンＳ配合顆粒</v>
      </c>
      <c r="H826" s="208">
        <f>match_results!D823</f>
        <v>482</v>
      </c>
      <c r="I826" s="218">
        <f>match_results!E823</f>
        <v>52.631578947368403</v>
      </c>
      <c r="J826" s="225"/>
      <c r="K826" s="15" t="str">
        <f ca="1">IF($J826="〇",OFFSET(集計!B$3,合体!$H826,0),"")</f>
        <v/>
      </c>
      <c r="L826" s="15" t="str">
        <f ca="1">IF($J826="〇",OFFSET(集計!C$3,合体!$H826,0),"")</f>
        <v/>
      </c>
      <c r="M826" s="202" t="str">
        <f ca="1">IF($J826="〇",OFFSET(集計!D$3,合体!$H826,0),"")</f>
        <v/>
      </c>
    </row>
    <row r="827" spans="2:13" x14ac:dyDescent="0.2">
      <c r="B827" s="201">
        <f t="shared" si="12"/>
        <v>823</v>
      </c>
      <c r="C827" s="15" t="str">
        <f>薬品マスタリスト_20260130100542!A825</f>
        <v>ポタコールＲ輸液250?</v>
      </c>
      <c r="D827" s="15" t="str">
        <f>薬品マスタリスト_20260130100542!B825</f>
        <v>ﾎﾟﾀｺｰﾙRﾕｴｷ</v>
      </c>
      <c r="E827" s="15">
        <f>薬品マスタリスト_20260130100542!C825</f>
        <v>25</v>
      </c>
      <c r="F827" s="206" t="str">
        <f>薬品マスタリスト_20260130100542!D825</f>
        <v>注射剤</v>
      </c>
      <c r="G827" s="208" t="str">
        <f>match_results!C824</f>
        <v>ポタコ－ルＲ輸液２５０ｍｌ</v>
      </c>
      <c r="H827" s="208">
        <f>match_results!D824</f>
        <v>508</v>
      </c>
      <c r="I827" s="218">
        <f>match_results!E824</f>
        <v>56</v>
      </c>
      <c r="J827" s="225"/>
      <c r="K827" s="15" t="str">
        <f ca="1">IF($J827="〇",OFFSET(集計!B$3,合体!$H827,0),"")</f>
        <v/>
      </c>
      <c r="L827" s="15" t="str">
        <f ca="1">IF($J827="〇",OFFSET(集計!C$3,合体!$H827,0),"")</f>
        <v/>
      </c>
      <c r="M827" s="202" t="str">
        <f ca="1">IF($J827="〇",OFFSET(集計!D$3,合体!$H827,0),"")</f>
        <v/>
      </c>
    </row>
    <row r="828" spans="2:13" x14ac:dyDescent="0.2">
      <c r="B828" s="201">
        <f t="shared" si="12"/>
        <v>824</v>
      </c>
      <c r="C828" s="15" t="str">
        <f>薬品マスタリスト_20260130100542!A826</f>
        <v>ポタコールＲ輸液500?</v>
      </c>
      <c r="D828" s="15" t="str">
        <f>薬品マスタリスト_20260130100542!B826</f>
        <v>ﾎﾟﾀｺｰﾙRﾕｴｷ</v>
      </c>
      <c r="E828" s="15">
        <f>薬品マスタリスト_20260130100542!C826</f>
        <v>25</v>
      </c>
      <c r="F828" s="206" t="str">
        <f>薬品マスタリスト_20260130100542!D826</f>
        <v>注射剤</v>
      </c>
      <c r="G828" s="208" t="str">
        <f>match_results!C825</f>
        <v>ポタコ－ルＲ輸液２５０ｍｌ</v>
      </c>
      <c r="H828" s="208">
        <f>match_results!D825</f>
        <v>508</v>
      </c>
      <c r="I828" s="218">
        <f>match_results!E825</f>
        <v>56</v>
      </c>
      <c r="J828" s="225"/>
      <c r="K828" s="15" t="str">
        <f ca="1">IF($J828="〇",OFFSET(集計!B$3,合体!$H828,0),"")</f>
        <v/>
      </c>
      <c r="L828" s="15" t="str">
        <f ca="1">IF($J828="〇",OFFSET(集計!C$3,合体!$H828,0),"")</f>
        <v/>
      </c>
      <c r="M828" s="202" t="str">
        <f ca="1">IF($J828="〇",OFFSET(集計!D$3,合体!$H828,0),"")</f>
        <v/>
      </c>
    </row>
    <row r="829" spans="2:13" x14ac:dyDescent="0.2">
      <c r="B829" s="201">
        <f t="shared" si="12"/>
        <v>825</v>
      </c>
      <c r="C829" s="15" t="str">
        <f>薬品マスタリスト_20260130100542!A827</f>
        <v>ポビドンヨードガーグル液７％「ケンエー」</v>
      </c>
      <c r="D829" s="15" t="str">
        <f>薬品マスタリスト_20260130100542!B827</f>
        <v>ﾎﾟﾋﾞﾄﾞﾝﾖｰﾄﾞｶﾞｰｸﾞﾙｴｷ7%｢ｹﾝｴｰ｣</v>
      </c>
      <c r="E829" s="15">
        <f>薬品マスタリスト_20260130100542!C827</f>
        <v>9</v>
      </c>
      <c r="F829" s="206" t="str">
        <f>薬品マスタリスト_20260130100542!D827</f>
        <v>含漱剤</v>
      </c>
      <c r="G829" s="208" t="str">
        <f>match_results!C826</f>
        <v>ポピドンヨードガーグル７％　３０ｍｌ</v>
      </c>
      <c r="H829" s="208">
        <f>match_results!D826</f>
        <v>190</v>
      </c>
      <c r="I829" s="218">
        <f>match_results!E826</f>
        <v>63.157894736842103</v>
      </c>
      <c r="J829" s="225"/>
      <c r="K829" s="15" t="str">
        <f ca="1">IF($J829="〇",OFFSET(集計!B$3,合体!$H829,0),"")</f>
        <v/>
      </c>
      <c r="L829" s="15" t="str">
        <f ca="1">IF($J829="〇",OFFSET(集計!C$3,合体!$H829,0),"")</f>
        <v/>
      </c>
      <c r="M829" s="202" t="str">
        <f ca="1">IF($J829="〇",OFFSET(集計!D$3,合体!$H829,0),"")</f>
        <v/>
      </c>
    </row>
    <row r="830" spans="2:13" x14ac:dyDescent="0.2">
      <c r="B830" s="201">
        <f t="shared" si="12"/>
        <v>826</v>
      </c>
      <c r="C830" s="15" t="str">
        <f>薬品マスタリスト_20260130100542!A828</f>
        <v>ポビドンヨード外用液１０％「ＶＴＲＳ」</v>
      </c>
      <c r="D830" s="15" t="str">
        <f>薬品マスタリスト_20260130100542!B828</f>
        <v>ﾎﾟﾋﾞﾄﾞﾝﾖｰﾄﾞｶﾞｲﾖｳｴｷ10%｢VTRS｣</v>
      </c>
      <c r="E830" s="15">
        <f>薬品マスタリスト_20260130100542!C828</f>
        <v>17</v>
      </c>
      <c r="F830" s="206" t="str">
        <f>薬品マスタリスト_20260130100542!D828</f>
        <v>外用液剤</v>
      </c>
      <c r="G830" s="208" t="str">
        <f>match_results!C827</f>
        <v>ポビドンヨード外用液　１０％　２５０ｍｌ</v>
      </c>
      <c r="H830" s="208">
        <f>match_results!D827</f>
        <v>16</v>
      </c>
      <c r="I830" s="218">
        <f>match_results!E827</f>
        <v>66.6666666666666</v>
      </c>
      <c r="J830" s="225"/>
      <c r="K830" s="15" t="str">
        <f ca="1">IF($J830="〇",OFFSET(集計!B$3,合体!$H830,0),"")</f>
        <v/>
      </c>
      <c r="L830" s="15" t="str">
        <f ca="1">IF($J830="〇",OFFSET(集計!C$3,合体!$H830,0),"")</f>
        <v/>
      </c>
      <c r="M830" s="202" t="str">
        <f ca="1">IF($J830="〇",OFFSET(集計!D$3,合体!$H830,0),"")</f>
        <v/>
      </c>
    </row>
    <row r="831" spans="2:13" x14ac:dyDescent="0.2">
      <c r="B831" s="201">
        <f t="shared" si="12"/>
        <v>827</v>
      </c>
      <c r="C831" s="15" t="str">
        <f>薬品マスタリスト_20260130100542!A829</f>
        <v>ﾎﾟﾋﾞﾄﾞﾝﾖｰﾄﾞｹﾞﾙ10%</v>
      </c>
      <c r="D831" s="15" t="str">
        <f>薬品マスタリスト_20260130100542!B829</f>
        <v>ﾎﾟﾋﾞﾄﾞﾝﾖｰﾄﾞｹﾞﾙ10%</v>
      </c>
      <c r="E831" s="15">
        <f>薬品マスタリスト_20260130100542!C829</f>
        <v>24</v>
      </c>
      <c r="F831" s="206" t="str">
        <f>薬品マスタリスト_20260130100542!D829</f>
        <v>その他</v>
      </c>
      <c r="G831" s="208" t="str">
        <f>match_results!C828</f>
        <v>アキネトン細粒１％</v>
      </c>
      <c r="H831" s="208">
        <f>match_results!D828</f>
        <v>1</v>
      </c>
      <c r="I831" s="218">
        <f>match_results!E828</f>
        <v>0</v>
      </c>
      <c r="J831" s="225"/>
      <c r="K831" s="15" t="str">
        <f ca="1">IF($J831="〇",OFFSET(集計!B$3,合体!$H831,0),"")</f>
        <v/>
      </c>
      <c r="L831" s="15" t="str">
        <f ca="1">IF($J831="〇",OFFSET(集計!C$3,合体!$H831,0),"")</f>
        <v/>
      </c>
      <c r="M831" s="202" t="str">
        <f ca="1">IF($J831="〇",OFFSET(集計!D$3,合体!$H831,0),"")</f>
        <v/>
      </c>
    </row>
    <row r="832" spans="2:13" x14ac:dyDescent="0.2">
      <c r="B832" s="201">
        <f t="shared" si="12"/>
        <v>828</v>
      </c>
      <c r="C832" s="15" t="str">
        <f>薬品マスタリスト_20260130100542!A830</f>
        <v>ポララミン注５ｍｇ</v>
      </c>
      <c r="D832" s="15" t="str">
        <f>薬品マスタリスト_20260130100542!B830</f>
        <v>ﾎﾟﾗﾗﾐﾝﾁｭｳ5mg</v>
      </c>
      <c r="E832" s="15">
        <f>薬品マスタリスト_20260130100542!C830</f>
        <v>25</v>
      </c>
      <c r="F832" s="206" t="str">
        <f>薬品マスタリスト_20260130100542!D830</f>
        <v>注射剤</v>
      </c>
      <c r="G832" s="208" t="str">
        <f>match_results!C829</f>
        <v>ポララミン注５㎎</v>
      </c>
      <c r="H832" s="208">
        <f>match_results!D829</f>
        <v>24</v>
      </c>
      <c r="I832" s="218">
        <f>match_results!E829</f>
        <v>82.352941176470495</v>
      </c>
      <c r="J832" s="225"/>
      <c r="K832" s="15" t="str">
        <f ca="1">IF($J832="〇",OFFSET(集計!B$3,合体!$H832,0),"")</f>
        <v/>
      </c>
      <c r="L832" s="15" t="str">
        <f ca="1">IF($J832="〇",OFFSET(集計!C$3,合体!$H832,0),"")</f>
        <v/>
      </c>
      <c r="M832" s="202" t="str">
        <f ca="1">IF($J832="〇",OFFSET(集計!D$3,合体!$H832,0),"")</f>
        <v/>
      </c>
    </row>
    <row r="833" spans="2:13" x14ac:dyDescent="0.2">
      <c r="B833" s="201">
        <f t="shared" si="12"/>
        <v>829</v>
      </c>
      <c r="C833" s="15" t="str">
        <f>薬品マスタリスト_20260130100542!A831</f>
        <v>ポリスチレンスルホン酸Ｃａ経口ゼリー２０％分包２５ｇ「三和」</v>
      </c>
      <c r="D833" s="15" t="str">
        <f>薬品マスタリスト_20260130100542!B831</f>
        <v>ﾎﾟﾘｽﾁﾚﾝｽﾙﾎﾝｻﾝCaｹｲｺｳｾﾞﾘｰ20%ﾌﾞﾝﾎﾟｳ25g｢ｻﾝﾜ｣</v>
      </c>
      <c r="E833" s="15">
        <f>薬品マスタリスト_20260130100542!C831</f>
        <v>16</v>
      </c>
      <c r="F833" s="206" t="str">
        <f>薬品マスタリスト_20260130100542!D831</f>
        <v>ゼリー（ゲル）</v>
      </c>
      <c r="G833" s="208" t="str">
        <f>match_results!C830</f>
        <v>ポリスチレンスルホン酸ゼリー</v>
      </c>
      <c r="H833" s="208">
        <f>match_results!D830</f>
        <v>271</v>
      </c>
      <c r="I833" s="218">
        <f>match_results!E830</f>
        <v>63.636363636363598</v>
      </c>
      <c r="J833" s="225"/>
      <c r="K833" s="15" t="str">
        <f ca="1">IF($J833="〇",OFFSET(集計!B$3,合体!$H833,0),"")</f>
        <v/>
      </c>
      <c r="L833" s="15" t="str">
        <f ca="1">IF($J833="〇",OFFSET(集計!C$3,合体!$H833,0),"")</f>
        <v/>
      </c>
      <c r="M833" s="202" t="str">
        <f ca="1">IF($J833="〇",OFFSET(集計!D$3,合体!$H833,0),"")</f>
        <v/>
      </c>
    </row>
    <row r="834" spans="2:13" x14ac:dyDescent="0.2">
      <c r="B834" s="201">
        <f t="shared" si="12"/>
        <v>830</v>
      </c>
      <c r="C834" s="15" t="str">
        <f>薬品マスタリスト_20260130100542!A832</f>
        <v>ホーリット錠２０ｍｇ</v>
      </c>
      <c r="D834" s="15" t="str">
        <f>薬品マスタリスト_20260130100542!B832</f>
        <v>ﾎｰﾘｯﾄｼﾞｮｳ20mg</v>
      </c>
      <c r="E834" s="15">
        <f>薬品マスタリスト_20260130100542!C832</f>
        <v>1</v>
      </c>
      <c r="F834" s="206" t="str">
        <f>薬品マスタリスト_20260130100542!D832</f>
        <v>錠剤</v>
      </c>
      <c r="G834" s="208" t="str">
        <f>match_results!C831</f>
        <v>ノウリアスト錠２０ｍｇ</v>
      </c>
      <c r="H834" s="208">
        <f>match_results!D831</f>
        <v>621</v>
      </c>
      <c r="I834" s="218">
        <f>match_results!E831</f>
        <v>66.6666666666666</v>
      </c>
      <c r="J834" s="225"/>
      <c r="K834" s="15" t="str">
        <f ca="1">IF($J834="〇",OFFSET(集計!B$3,合体!$H834,0),"")</f>
        <v/>
      </c>
      <c r="L834" s="15" t="str">
        <f ca="1">IF($J834="〇",OFFSET(集計!C$3,合体!$H834,0),"")</f>
        <v/>
      </c>
      <c r="M834" s="202" t="str">
        <f ca="1">IF($J834="〇",OFFSET(集計!D$3,合体!$H834,0),"")</f>
        <v/>
      </c>
    </row>
    <row r="835" spans="2:13" x14ac:dyDescent="0.2">
      <c r="B835" s="201">
        <f t="shared" si="12"/>
        <v>831</v>
      </c>
      <c r="C835" s="15" t="str">
        <f>薬品マスタリスト_20260130100542!A833</f>
        <v>ホーリット散１０％</v>
      </c>
      <c r="D835" s="15" t="str">
        <f>薬品マスタリスト_20260130100542!B833</f>
        <v>ﾎｰﾘｯﾄｻﾝ10%</v>
      </c>
      <c r="E835" s="15">
        <f>薬品マスタリスト_20260130100542!C833</f>
        <v>3</v>
      </c>
      <c r="F835" s="206" t="str">
        <f>薬品マスタリスト_20260130100542!D833</f>
        <v>散</v>
      </c>
      <c r="G835" s="208" t="str">
        <f>match_results!C832</f>
        <v>ウレパールクリーム１０％</v>
      </c>
      <c r="H835" s="208">
        <f>match_results!D832</f>
        <v>36</v>
      </c>
      <c r="I835" s="218">
        <f>match_results!E832</f>
        <v>47.619047619047599</v>
      </c>
      <c r="J835" s="225"/>
      <c r="K835" s="15" t="str">
        <f ca="1">IF($J835="〇",OFFSET(集計!B$3,合体!$H835,0),"")</f>
        <v/>
      </c>
      <c r="L835" s="15" t="str">
        <f ca="1">IF($J835="〇",OFFSET(集計!C$3,合体!$H835,0),"")</f>
        <v/>
      </c>
      <c r="M835" s="202" t="str">
        <f ca="1">IF($J835="〇",OFFSET(集計!D$3,合体!$H835,0),"")</f>
        <v/>
      </c>
    </row>
    <row r="836" spans="2:13" x14ac:dyDescent="0.2">
      <c r="B836" s="201">
        <f t="shared" si="12"/>
        <v>832</v>
      </c>
      <c r="C836" s="15" t="str">
        <f>薬品マスタリスト_20260130100542!A834</f>
        <v>ホーリンＶ腟用錠１ｍｇ</v>
      </c>
      <c r="D836" s="15" t="str">
        <f>薬品マスタリスト_20260130100542!B834</f>
        <v>ﾎｰﾘﾝVﾁﾂﾖｳｼﾞｮｳ1mg</v>
      </c>
      <c r="E836" s="15">
        <f>薬品マスタリスト_20260130100542!C834</f>
        <v>11</v>
      </c>
      <c r="F836" s="206" t="str">
        <f>薬品マスタリスト_20260130100542!D834</f>
        <v>膣錠</v>
      </c>
      <c r="G836" s="208" t="str">
        <f>match_results!C833</f>
        <v>ホーリンＶ膣用錠１ｍｇ</v>
      </c>
      <c r="H836" s="208">
        <f>match_results!D833</f>
        <v>233</v>
      </c>
      <c r="I836" s="218">
        <f>match_results!E833</f>
        <v>90.909090909090907</v>
      </c>
      <c r="J836" s="225"/>
      <c r="K836" s="15" t="str">
        <f ca="1">IF($J836="〇",OFFSET(集計!B$3,合体!$H836,0),"")</f>
        <v/>
      </c>
      <c r="L836" s="15" t="str">
        <f ca="1">IF($J836="〇",OFFSET(集計!C$3,合体!$H836,0),"")</f>
        <v/>
      </c>
      <c r="M836" s="202" t="str">
        <f ca="1">IF($J836="〇",OFFSET(集計!D$3,合体!$H836,0),"")</f>
        <v/>
      </c>
    </row>
    <row r="837" spans="2:13" x14ac:dyDescent="0.2">
      <c r="B837" s="201">
        <f t="shared" si="12"/>
        <v>833</v>
      </c>
      <c r="C837" s="15" t="str">
        <f>薬品マスタリスト_20260130100542!A835</f>
        <v>ボルタレン錠２５ｍｇ</v>
      </c>
      <c r="D837" s="15" t="str">
        <f>薬品マスタリスト_20260130100542!B835</f>
        <v>ﾎﾞﾙﾀﾚﾝｼﾞｮｳ25mg</v>
      </c>
      <c r="E837" s="15">
        <f>薬品マスタリスト_20260130100542!C835</f>
        <v>1</v>
      </c>
      <c r="F837" s="206" t="str">
        <f>薬品マスタリスト_20260130100542!D835</f>
        <v>錠剤</v>
      </c>
      <c r="G837" s="208" t="str">
        <f>match_results!C834</f>
        <v>ボルタレン錠２５ｍｇ　</v>
      </c>
      <c r="H837" s="208">
        <f>match_results!D834</f>
        <v>57</v>
      </c>
      <c r="I837" s="218">
        <f>match_results!E834</f>
        <v>100</v>
      </c>
      <c r="J837" s="225" t="s">
        <v>3917</v>
      </c>
      <c r="K837" s="15">
        <f ca="1">IF($J837="〇",OFFSET(集計!B$3,合体!$H837,0),"")</f>
        <v>6.54</v>
      </c>
      <c r="L837" s="15">
        <f ca="1">IF($J837="〇",OFFSET(集計!C$3,合体!$H837,0),"")</f>
        <v>107</v>
      </c>
      <c r="M837" s="202">
        <f ca="1">IF($J837="〇",OFFSET(集計!D$3,合体!$H837,0),"")</f>
        <v>699.78</v>
      </c>
    </row>
    <row r="838" spans="2:13" x14ac:dyDescent="0.2">
      <c r="B838" s="201">
        <f t="shared" si="12"/>
        <v>834</v>
      </c>
      <c r="C838" s="15" t="str">
        <f>薬品マスタリスト_20260130100542!A836</f>
        <v>マイザー軟膏０．０５％</v>
      </c>
      <c r="D838" s="15" t="str">
        <f>薬品マスタリスト_20260130100542!B836</f>
        <v>ﾏｲｻﾞｰﾅﾝｺｳ0.05%</v>
      </c>
      <c r="E838" s="15">
        <f>薬品マスタリスト_20260130100542!C836</f>
        <v>14</v>
      </c>
      <c r="F838" s="206" t="str">
        <f>薬品マスタリスト_20260130100542!D836</f>
        <v>軟膏</v>
      </c>
      <c r="G838" s="208" t="str">
        <f>match_results!C835</f>
        <v>マイザー軟膏</v>
      </c>
      <c r="H838" s="208">
        <f>match_results!D835</f>
        <v>163</v>
      </c>
      <c r="I838" s="218">
        <f>match_results!E835</f>
        <v>70.588235294117595</v>
      </c>
      <c r="J838" s="225"/>
      <c r="K838" s="15" t="str">
        <f ca="1">IF($J838="〇",OFFSET(集計!B$3,合体!$H838,0),"")</f>
        <v/>
      </c>
      <c r="L838" s="15" t="str">
        <f ca="1">IF($J838="〇",OFFSET(集計!C$3,合体!$H838,0),"")</f>
        <v/>
      </c>
      <c r="M838" s="202" t="str">
        <f ca="1">IF($J838="〇",OFFSET(集計!D$3,合体!$H838,0),"")</f>
        <v/>
      </c>
    </row>
    <row r="839" spans="2:13" x14ac:dyDescent="0.2">
      <c r="B839" s="201">
        <f t="shared" ref="B839:B902" si="13">B838+1</f>
        <v>835</v>
      </c>
      <c r="C839" s="15" t="str">
        <f>薬品マスタリスト_20260130100542!A837</f>
        <v>マイスリー錠５ｍｇ</v>
      </c>
      <c r="D839" s="15" t="str">
        <f>薬品マスタリスト_20260130100542!B837</f>
        <v>ﾏｲｽﾘｰｼﾞｮｳ5mg</v>
      </c>
      <c r="E839" s="15">
        <f>薬品マスタリスト_20260130100542!C837</f>
        <v>1</v>
      </c>
      <c r="F839" s="206" t="str">
        <f>薬品マスタリスト_20260130100542!D837</f>
        <v>錠剤</v>
      </c>
      <c r="G839" s="208" t="str">
        <f>match_results!C836</f>
        <v>マイスリー錠５ｍｇ　</v>
      </c>
      <c r="H839" s="208">
        <f>match_results!D836</f>
        <v>419</v>
      </c>
      <c r="I839" s="218">
        <f>match_results!E836</f>
        <v>100</v>
      </c>
      <c r="J839" s="225" t="s">
        <v>3917</v>
      </c>
      <c r="K839" s="15">
        <f ca="1">IF($J839="〇",OFFSET(集計!B$3,合体!$H839,0),"")</f>
        <v>17</v>
      </c>
      <c r="L839" s="15">
        <f ca="1">IF($J839="〇",OFFSET(集計!C$3,合体!$H839,0),"")</f>
        <v>507.44444444444446</v>
      </c>
      <c r="M839" s="202">
        <f ca="1">IF($J839="〇",OFFSET(集計!D$3,合体!$H839,0),"")</f>
        <v>8626.5555555555566</v>
      </c>
    </row>
    <row r="840" spans="2:13" x14ac:dyDescent="0.2">
      <c r="B840" s="201">
        <f t="shared" si="13"/>
        <v>836</v>
      </c>
      <c r="C840" s="15" t="str">
        <f>薬品マスタリスト_20260130100542!A838</f>
        <v>マイスタン錠５ｍｇ</v>
      </c>
      <c r="D840" s="15" t="str">
        <f>薬品マスタリスト_20260130100542!B838</f>
        <v>ﾏｲｽﾀﾝｼﾞｮｳ5mg</v>
      </c>
      <c r="E840" s="15">
        <f>薬品マスタリスト_20260130100542!C838</f>
        <v>1</v>
      </c>
      <c r="F840" s="206" t="str">
        <f>薬品マスタリスト_20260130100542!D838</f>
        <v>錠剤</v>
      </c>
      <c r="G840" s="208" t="str">
        <f>match_results!C837</f>
        <v>マイスタン錠５ｍｇ</v>
      </c>
      <c r="H840" s="208">
        <f>match_results!D837</f>
        <v>488</v>
      </c>
      <c r="I840" s="218">
        <f>match_results!E837</f>
        <v>100</v>
      </c>
      <c r="J840" s="225" t="s">
        <v>3917</v>
      </c>
      <c r="K840" s="15">
        <f ca="1">IF($J840="〇",OFFSET(集計!B$3,合体!$H840,0),"")</f>
        <v>14.07</v>
      </c>
      <c r="L840" s="15">
        <f ca="1">IF($J840="〇",OFFSET(集計!C$3,合体!$H840,0),"")</f>
        <v>900</v>
      </c>
      <c r="M840" s="202">
        <f ca="1">IF($J840="〇",OFFSET(集計!D$3,合体!$H840,0),"")</f>
        <v>12663</v>
      </c>
    </row>
    <row r="841" spans="2:13" x14ac:dyDescent="0.2">
      <c r="B841" s="201">
        <f t="shared" si="13"/>
        <v>837</v>
      </c>
      <c r="C841" s="15" t="str">
        <f>薬品マスタリスト_20260130100542!A839</f>
        <v>マヴィレット配合錠</v>
      </c>
      <c r="D841" s="15" t="str">
        <f>薬品マスタリスト_20260130100542!B839</f>
        <v>ﾏｳﾞｨﾚｯﾄﾊｲｺﾞｳｼﾞｮｳ</v>
      </c>
      <c r="E841" s="15">
        <f>薬品マスタリスト_20260130100542!C839</f>
        <v>1</v>
      </c>
      <c r="F841" s="206" t="str">
        <f>薬品マスタリスト_20260130100542!D839</f>
        <v>錠剤</v>
      </c>
      <c r="G841" s="208" t="str">
        <f>match_results!C838</f>
        <v>セレスタミン配合錠</v>
      </c>
      <c r="H841" s="208">
        <f>match_results!D838</f>
        <v>30</v>
      </c>
      <c r="I841" s="218">
        <f>match_results!E838</f>
        <v>44.4444444444444</v>
      </c>
      <c r="J841" s="225"/>
      <c r="K841" s="15" t="str">
        <f ca="1">IF($J841="〇",OFFSET(集計!B$3,合体!$H841,0),"")</f>
        <v/>
      </c>
      <c r="L841" s="15" t="str">
        <f ca="1">IF($J841="〇",OFFSET(集計!C$3,合体!$H841,0),"")</f>
        <v/>
      </c>
      <c r="M841" s="202" t="str">
        <f ca="1">IF($J841="〇",OFFSET(集計!D$3,合体!$H841,0),"")</f>
        <v/>
      </c>
    </row>
    <row r="842" spans="2:13" x14ac:dyDescent="0.2">
      <c r="B842" s="201">
        <f t="shared" si="13"/>
        <v>838</v>
      </c>
      <c r="C842" s="15" t="str">
        <f>薬品マスタリスト_20260130100542!A840</f>
        <v>マグミット錠３３０ｍｇ</v>
      </c>
      <c r="D842" s="15" t="str">
        <f>薬品マスタリスト_20260130100542!B840</f>
        <v>ﾏｸﾞﾐｯﾄｼﾞｮｳ330mg</v>
      </c>
      <c r="E842" s="15">
        <f>薬品マスタリスト_20260130100542!C840</f>
        <v>1</v>
      </c>
      <c r="F842" s="206" t="str">
        <f>薬品マスタリスト_20260130100542!D840</f>
        <v>錠剤</v>
      </c>
      <c r="G842" s="208" t="str">
        <f>match_results!C839</f>
        <v>マグミット錠３３０ｍｇ</v>
      </c>
      <c r="H842" s="208">
        <f>match_results!D839</f>
        <v>500</v>
      </c>
      <c r="I842" s="218">
        <f>match_results!E839</f>
        <v>100</v>
      </c>
      <c r="J842" s="225" t="s">
        <v>3917</v>
      </c>
      <c r="K842" s="15">
        <f ca="1">IF($J842="〇",OFFSET(集計!B$3,合体!$H842,0),"")</f>
        <v>3.42</v>
      </c>
      <c r="L842" s="15">
        <f ca="1">IF($J842="〇",OFFSET(集計!C$3,合体!$H842,0),"")</f>
        <v>4082.8947368421054</v>
      </c>
      <c r="M842" s="202">
        <f ca="1">IF($J842="〇",OFFSET(集計!D$3,合体!$H842,0),"")</f>
        <v>13963.5</v>
      </c>
    </row>
    <row r="843" spans="2:13" x14ac:dyDescent="0.2">
      <c r="B843" s="201">
        <f t="shared" si="13"/>
        <v>839</v>
      </c>
      <c r="C843" s="15" t="str">
        <f>薬品マスタリスト_20260130100542!A841</f>
        <v>マグミット錠５００ｍｇ</v>
      </c>
      <c r="D843" s="15" t="str">
        <f>薬品マスタリスト_20260130100542!B841</f>
        <v>ﾏｸﾞﾐｯﾄｼﾞｮｳ500mg</v>
      </c>
      <c r="E843" s="15">
        <f>薬品マスタリスト_20260130100542!C841</f>
        <v>1</v>
      </c>
      <c r="F843" s="206" t="str">
        <f>薬品マスタリスト_20260130100542!D841</f>
        <v>錠剤</v>
      </c>
      <c r="G843" s="208" t="str">
        <f>match_results!C840</f>
        <v>マグミット錠５００ｍｇ</v>
      </c>
      <c r="H843" s="208">
        <f>match_results!D840</f>
        <v>434</v>
      </c>
      <c r="I843" s="218">
        <f>match_results!E840</f>
        <v>100</v>
      </c>
      <c r="J843" s="225" t="s">
        <v>3917</v>
      </c>
      <c r="K843" s="15">
        <f ca="1">IF($J843="〇",OFFSET(集計!B$3,合体!$H843,0),"")</f>
        <v>3.42</v>
      </c>
      <c r="L843" s="15">
        <f ca="1">IF($J843="〇",OFFSET(集計!C$3,合体!$H843,0),"")</f>
        <v>2688.9310344827586</v>
      </c>
      <c r="M843" s="202">
        <f ca="1">IF($J843="〇",OFFSET(集計!D$3,合体!$H843,0),"")</f>
        <v>9196.1441379310345</v>
      </c>
    </row>
    <row r="844" spans="2:13" x14ac:dyDescent="0.2">
      <c r="B844" s="201">
        <f t="shared" si="13"/>
        <v>840</v>
      </c>
      <c r="C844" s="15" t="str">
        <f>薬品マスタリスト_20260130100542!A842</f>
        <v>マーズレンＳ配合顆粒</v>
      </c>
      <c r="D844" s="15" t="str">
        <f>薬品マスタリスト_20260130100542!B842</f>
        <v>ﾏｰｽﾞﾚﾝSﾊｲｺﾞｳｶﾘｭｳ</v>
      </c>
      <c r="E844" s="15">
        <f>薬品マスタリスト_20260130100542!C842</f>
        <v>3</v>
      </c>
      <c r="F844" s="206" t="str">
        <f>薬品マスタリスト_20260130100542!D842</f>
        <v>散</v>
      </c>
      <c r="G844" s="208" t="str">
        <f>match_results!C841</f>
        <v>マーズレンＳ配合顆粒</v>
      </c>
      <c r="H844" s="208">
        <f>match_results!D841</f>
        <v>482</v>
      </c>
      <c r="I844" s="218">
        <f>match_results!E841</f>
        <v>100</v>
      </c>
      <c r="J844" s="225" t="s">
        <v>3917</v>
      </c>
      <c r="K844" s="15">
        <f ca="1">IF($J844="〇",OFFSET(集計!B$3,合体!$H844,0),"")</f>
        <v>9.35</v>
      </c>
      <c r="L844" s="15">
        <f ca="1">IF($J844="〇",OFFSET(集計!C$3,合体!$H844,0),"")</f>
        <v>1324</v>
      </c>
      <c r="M844" s="202">
        <f ca="1">IF($J844="〇",OFFSET(集計!D$3,合体!$H844,0),"")</f>
        <v>12379.4</v>
      </c>
    </row>
    <row r="845" spans="2:13" x14ac:dyDescent="0.2">
      <c r="B845" s="201">
        <f t="shared" si="13"/>
        <v>841</v>
      </c>
      <c r="C845" s="15" t="str">
        <f>薬品マスタリスト_20260130100542!A843</f>
        <v>マーデュオックス軟膏</v>
      </c>
      <c r="D845" s="15" t="str">
        <f>薬品マスタリスト_20260130100542!B843</f>
        <v>ﾏｰﾃﾞｭｵｯｸｽﾅﾝｺｳ</v>
      </c>
      <c r="E845" s="15">
        <f>薬品マスタリスト_20260130100542!C843</f>
        <v>14</v>
      </c>
      <c r="F845" s="206" t="str">
        <f>薬品マスタリスト_20260130100542!D843</f>
        <v>軟膏</v>
      </c>
      <c r="G845" s="208" t="str">
        <f>match_results!C842</f>
        <v>マイザー軟膏</v>
      </c>
      <c r="H845" s="208">
        <f>match_results!D842</f>
        <v>163</v>
      </c>
      <c r="I845" s="218">
        <f>match_results!E842</f>
        <v>50</v>
      </c>
      <c r="J845" s="225"/>
      <c r="K845" s="15" t="str">
        <f ca="1">IF($J845="〇",OFFSET(集計!B$3,合体!$H845,0),"")</f>
        <v/>
      </c>
      <c r="L845" s="15" t="str">
        <f ca="1">IF($J845="〇",OFFSET(集計!C$3,合体!$H845,0),"")</f>
        <v/>
      </c>
      <c r="M845" s="202" t="str">
        <f ca="1">IF($J845="〇",OFFSET(集計!D$3,合体!$H845,0),"")</f>
        <v/>
      </c>
    </row>
    <row r="846" spans="2:13" x14ac:dyDescent="0.2">
      <c r="B846" s="201">
        <f t="shared" si="13"/>
        <v>842</v>
      </c>
      <c r="C846" s="15" t="str">
        <f>薬品マスタリスト_20260130100542!A844</f>
        <v>マドパー配合錠Ｌ１００</v>
      </c>
      <c r="D846" s="15" t="str">
        <f>薬品マスタリスト_20260130100542!B844</f>
        <v>ﾏﾄﾞﾊﾟ-ﾊｲｺﾞｳｼﾞﾖｳL100</v>
      </c>
      <c r="E846" s="15">
        <f>薬品マスタリスト_20260130100542!C844</f>
        <v>1</v>
      </c>
      <c r="F846" s="206" t="str">
        <f>薬品マスタリスト_20260130100542!D844</f>
        <v>錠剤</v>
      </c>
      <c r="G846" s="208" t="str">
        <f>match_results!C843</f>
        <v>ネオドパストン配合錠Ｌ</v>
      </c>
      <c r="H846" s="208">
        <f>match_results!D843</f>
        <v>495</v>
      </c>
      <c r="I846" s="218">
        <f>match_results!E843</f>
        <v>54.545454545454497</v>
      </c>
      <c r="J846" s="225"/>
      <c r="K846" s="15" t="str">
        <f ca="1">IF($J846="〇",OFFSET(集計!B$3,合体!$H846,0),"")</f>
        <v/>
      </c>
      <c r="L846" s="15" t="str">
        <f ca="1">IF($J846="〇",OFFSET(集計!C$3,合体!$H846,0),"")</f>
        <v/>
      </c>
      <c r="M846" s="202" t="str">
        <f ca="1">IF($J846="〇",OFFSET(集計!D$3,合体!$H846,0),"")</f>
        <v/>
      </c>
    </row>
    <row r="847" spans="2:13" x14ac:dyDescent="0.2">
      <c r="B847" s="201">
        <f t="shared" si="13"/>
        <v>843</v>
      </c>
      <c r="C847" s="15" t="str">
        <f>薬品マスタリスト_20260130100542!A845</f>
        <v>マプロチリン塩酸塩錠１０ｍｇ「アメル」</v>
      </c>
      <c r="D847" s="15" t="str">
        <f>薬品マスタリスト_20260130100542!B845</f>
        <v>ﾏﾌﾟﾛﾁﾘﾝｴﾝｻﾝｴﾝｼﾞｮｳ10mg｢ｱﾒﾙ｣</v>
      </c>
      <c r="E847" s="15">
        <f>薬品マスタリスト_20260130100542!C845</f>
        <v>1</v>
      </c>
      <c r="F847" s="206" t="str">
        <f>薬品マスタリスト_20260130100542!D845</f>
        <v>錠剤</v>
      </c>
      <c r="G847" s="208" t="str">
        <f>match_results!C844</f>
        <v>カルバマゼピン錠　１００ｍｇ「アメル」</v>
      </c>
      <c r="H847" s="208">
        <f>match_results!D844</f>
        <v>307</v>
      </c>
      <c r="I847" s="218">
        <f>match_results!E844</f>
        <v>63.157894736842103</v>
      </c>
      <c r="J847" s="225"/>
      <c r="K847" s="15" t="str">
        <f ca="1">IF($J847="〇",OFFSET(集計!B$3,合体!$H847,0),"")</f>
        <v/>
      </c>
      <c r="L847" s="15" t="str">
        <f ca="1">IF($J847="〇",OFFSET(集計!C$3,合体!$H847,0),"")</f>
        <v/>
      </c>
      <c r="M847" s="202" t="str">
        <f ca="1">IF($J847="〇",OFFSET(集計!D$3,合体!$H847,0),"")</f>
        <v/>
      </c>
    </row>
    <row r="848" spans="2:13" x14ac:dyDescent="0.2">
      <c r="B848" s="201">
        <f t="shared" si="13"/>
        <v>844</v>
      </c>
      <c r="C848" s="15" t="str">
        <f>薬品マスタリスト_20260130100542!A846</f>
        <v>マプロチリン塩酸塩錠２５ｍｇ「アメル」</v>
      </c>
      <c r="D848" s="15" t="str">
        <f>薬品マスタリスト_20260130100542!B846</f>
        <v>ﾏﾌﾟﾛﾁﾘﾝｴﾝｻﾝｴﾝｼﾞｮｳ25mg｢ｱﾒﾙ｣</v>
      </c>
      <c r="E848" s="15">
        <f>薬品マスタリスト_20260130100542!C846</f>
        <v>1</v>
      </c>
      <c r="F848" s="206" t="str">
        <f>薬品マスタリスト_20260130100542!D846</f>
        <v>錠剤</v>
      </c>
      <c r="G848" s="208" t="str">
        <f>match_results!C845</f>
        <v>マプロチリン錠２５ＭＧ</v>
      </c>
      <c r="H848" s="208">
        <f>match_results!D845</f>
        <v>277</v>
      </c>
      <c r="I848" s="218">
        <f>match_results!E845</f>
        <v>60</v>
      </c>
      <c r="J848" s="225"/>
      <c r="K848" s="15" t="str">
        <f ca="1">IF($J848="〇",OFFSET(集計!B$3,合体!$H848,0),"")</f>
        <v/>
      </c>
      <c r="L848" s="15" t="str">
        <f ca="1">IF($J848="〇",OFFSET(集計!C$3,合体!$H848,0),"")</f>
        <v/>
      </c>
      <c r="M848" s="202" t="str">
        <f ca="1">IF($J848="〇",OFFSET(集計!D$3,合体!$H848,0),"")</f>
        <v/>
      </c>
    </row>
    <row r="849" spans="2:13" x14ac:dyDescent="0.2">
      <c r="B849" s="201">
        <f t="shared" si="13"/>
        <v>845</v>
      </c>
      <c r="C849" s="15" t="str">
        <f>薬品マスタリスト_20260130100542!A847</f>
        <v>ミカファンギンＮａ点滴静注用５０ｍｇ「サワイ」</v>
      </c>
      <c r="D849" s="15" t="str">
        <f>薬品マスタリスト_20260130100542!B847</f>
        <v>ﾐｶﾌｧﾝｷﾞﾝNaﾃﾝﾃｷｼﾞｮｳﾁｭｳﾖｳ50mg｢ｻﾜｲ｣</v>
      </c>
      <c r="E849" s="15">
        <f>薬品マスタリスト_20260130100542!C847</f>
        <v>25</v>
      </c>
      <c r="F849" s="206" t="str">
        <f>薬品マスタリスト_20260130100542!D847</f>
        <v>注射剤</v>
      </c>
      <c r="G849" s="208" t="str">
        <f>match_results!C846</f>
        <v>ミルタザピン錠１５ｍｇ「サワイ」</v>
      </c>
      <c r="H849" s="208">
        <f>match_results!D846</f>
        <v>635</v>
      </c>
      <c r="I849" s="218">
        <f>match_results!E846</f>
        <v>51.282051282051199</v>
      </c>
      <c r="J849" s="225"/>
      <c r="K849" s="15" t="str">
        <f ca="1">IF($J849="〇",OFFSET(集計!B$3,合体!$H849,0),"")</f>
        <v/>
      </c>
      <c r="L849" s="15" t="str">
        <f ca="1">IF($J849="〇",OFFSET(集計!C$3,合体!$H849,0),"")</f>
        <v/>
      </c>
      <c r="M849" s="202" t="str">
        <f ca="1">IF($J849="〇",OFFSET(集計!D$3,合体!$H849,0),"")</f>
        <v/>
      </c>
    </row>
    <row r="850" spans="2:13" x14ac:dyDescent="0.2">
      <c r="B850" s="201">
        <f t="shared" si="13"/>
        <v>846</v>
      </c>
      <c r="C850" s="15" t="str">
        <f>薬品マスタリスト_20260130100542!A848</f>
        <v>ミケルナ配合点眼液</v>
      </c>
      <c r="D850" s="15" t="str">
        <f>薬品マスタリスト_20260130100542!B848</f>
        <v>ﾐｹﾙﾅﾊｲｺﾞｳﾃﾝｶﾞﾝｴｷ</v>
      </c>
      <c r="E850" s="15">
        <f>薬品マスタリスト_20260130100542!C848</f>
        <v>21</v>
      </c>
      <c r="F850" s="206" t="str">
        <f>薬品マスタリスト_20260130100542!D848</f>
        <v>点眼剤</v>
      </c>
      <c r="G850" s="208" t="str">
        <f>match_results!C847</f>
        <v>コソプト配合点眼</v>
      </c>
      <c r="H850" s="208">
        <f>match_results!D847</f>
        <v>522</v>
      </c>
      <c r="I850" s="218">
        <f>match_results!E847</f>
        <v>47.058823529411697</v>
      </c>
      <c r="J850" s="225"/>
      <c r="K850" s="15" t="str">
        <f ca="1">IF($J850="〇",OFFSET(集計!B$3,合体!$H850,0),"")</f>
        <v/>
      </c>
      <c r="L850" s="15" t="str">
        <f ca="1">IF($J850="〇",OFFSET(集計!C$3,合体!$H850,0),"")</f>
        <v/>
      </c>
      <c r="M850" s="202" t="str">
        <f ca="1">IF($J850="〇",OFFSET(集計!D$3,合体!$H850,0),"")</f>
        <v/>
      </c>
    </row>
    <row r="851" spans="2:13" x14ac:dyDescent="0.2">
      <c r="B851" s="201">
        <f t="shared" si="13"/>
        <v>847</v>
      </c>
      <c r="C851" s="15" t="str">
        <f>薬品マスタリスト_20260130100542!A849</f>
        <v>ミゾリビン錠５０ｍｇ「サワイ」</v>
      </c>
      <c r="D851" s="15" t="str">
        <f>薬品マスタリスト_20260130100542!B849</f>
        <v>ﾐｿﾞﾘﾋﾞﾝｼﾞｮｳ50mg｢ｻﾜｲ｣</v>
      </c>
      <c r="E851" s="15">
        <f>薬品マスタリスト_20260130100542!C849</f>
        <v>1</v>
      </c>
      <c r="F851" s="206" t="str">
        <f>薬品マスタリスト_20260130100542!D849</f>
        <v>錠剤</v>
      </c>
      <c r="G851" s="208" t="str">
        <f>match_results!C848</f>
        <v>ミルタザピン錠１５ｍｇ「サワイ」</v>
      </c>
      <c r="H851" s="208">
        <f>match_results!D848</f>
        <v>635</v>
      </c>
      <c r="I851" s="218">
        <f>match_results!E848</f>
        <v>70.967741935483801</v>
      </c>
      <c r="J851" s="225"/>
      <c r="K851" s="15" t="str">
        <f ca="1">IF($J851="〇",OFFSET(集計!B$3,合体!$H851,0),"")</f>
        <v/>
      </c>
      <c r="L851" s="15" t="str">
        <f ca="1">IF($J851="〇",OFFSET(集計!C$3,合体!$H851,0),"")</f>
        <v/>
      </c>
      <c r="M851" s="202" t="str">
        <f ca="1">IF($J851="〇",OFFSET(集計!D$3,合体!$H851,0),"")</f>
        <v/>
      </c>
    </row>
    <row r="852" spans="2:13" x14ac:dyDescent="0.2">
      <c r="B852" s="201">
        <f t="shared" si="13"/>
        <v>848</v>
      </c>
      <c r="C852" s="15" t="str">
        <f>薬品マスタリスト_20260130100542!A850</f>
        <v>ミチグリニドＣａ・ＯＤ錠１０ｍｇ「三和」</v>
      </c>
      <c r="D852" s="15" t="str">
        <f>薬品マスタリスト_20260130100542!B850</f>
        <v>ﾐﾁｸﾞﾘﾆﾄﾞCa･ODｼﾞｮｳ10mg｢ｻﾝﾜ｣</v>
      </c>
      <c r="E852" s="15">
        <f>薬品マスタリスト_20260130100542!C850</f>
        <v>1</v>
      </c>
      <c r="F852" s="206" t="str">
        <f>薬品マスタリスト_20260130100542!D850</f>
        <v>錠剤</v>
      </c>
      <c r="G852" s="208" t="str">
        <f>match_results!C849</f>
        <v>ミチグリニドＯＤ１０ｍｇ</v>
      </c>
      <c r="H852" s="208">
        <f>match_results!D849</f>
        <v>141</v>
      </c>
      <c r="I852" s="218">
        <f>match_results!E849</f>
        <v>75</v>
      </c>
      <c r="J852" s="225"/>
      <c r="K852" s="15" t="str">
        <f ca="1">IF($J852="〇",OFFSET(集計!B$3,合体!$H852,0),"")</f>
        <v/>
      </c>
      <c r="L852" s="15" t="str">
        <f ca="1">IF($J852="〇",OFFSET(集計!C$3,合体!$H852,0),"")</f>
        <v/>
      </c>
      <c r="M852" s="202" t="str">
        <f ca="1">IF($J852="〇",OFFSET(集計!D$3,合体!$H852,0),"")</f>
        <v/>
      </c>
    </row>
    <row r="853" spans="2:13" x14ac:dyDescent="0.2">
      <c r="B853" s="201">
        <f t="shared" si="13"/>
        <v>849</v>
      </c>
      <c r="C853" s="15" t="str">
        <f>薬品マスタリスト_20260130100542!A851</f>
        <v>ミドドリン塩酸塩錠２ｍｇ「トーワ」</v>
      </c>
      <c r="D853" s="15" t="str">
        <f>薬品マスタリスト_20260130100542!B851</f>
        <v>ﾐﾄﾞﾄﾞﾘﾝｴﾝｻﾝｴﾝｼﾞｮｳ2mg｢ﾄｰﾜ｣</v>
      </c>
      <c r="E853" s="15">
        <f>薬品マスタリスト_20260130100542!C851</f>
        <v>1</v>
      </c>
      <c r="F853" s="206" t="str">
        <f>薬品マスタリスト_20260130100542!D851</f>
        <v>錠剤</v>
      </c>
      <c r="G853" s="208" t="str">
        <f>match_results!C850</f>
        <v>ミドドリン塩酸塩錠２ｍｇ</v>
      </c>
      <c r="H853" s="208">
        <f>match_results!D850</f>
        <v>565</v>
      </c>
      <c r="I853" s="218">
        <f>match_results!E850</f>
        <v>82.758620689655103</v>
      </c>
      <c r="J853" s="225"/>
      <c r="K853" s="15" t="str">
        <f ca="1">IF($J853="〇",OFFSET(集計!B$3,合体!$H853,0),"")</f>
        <v/>
      </c>
      <c r="L853" s="15" t="str">
        <f ca="1">IF($J853="〇",OFFSET(集計!C$3,合体!$H853,0),"")</f>
        <v/>
      </c>
      <c r="M853" s="202" t="str">
        <f ca="1">IF($J853="〇",OFFSET(集計!D$3,合体!$H853,0),"")</f>
        <v/>
      </c>
    </row>
    <row r="854" spans="2:13" x14ac:dyDescent="0.2">
      <c r="B854" s="201">
        <f t="shared" si="13"/>
        <v>850</v>
      </c>
      <c r="C854" s="15" t="str">
        <f>薬品マスタリスト_20260130100542!A852</f>
        <v>ミドリンＰ点眼液（用時購入）</v>
      </c>
      <c r="D854" s="15" t="str">
        <f>薬品マスタリスト_20260130100542!B852</f>
        <v>ﾐﾄﾞﾘﾝPﾃﾝｶﾞﾝｴｷ</v>
      </c>
      <c r="E854" s="15">
        <f>薬品マスタリスト_20260130100542!C852</f>
        <v>21</v>
      </c>
      <c r="F854" s="206" t="str">
        <f>薬品マスタリスト_20260130100542!D852</f>
        <v>点眼剤</v>
      </c>
      <c r="G854" s="208" t="str">
        <f>match_results!C851</f>
        <v>アズレン点眼液</v>
      </c>
      <c r="H854" s="208">
        <f>match_results!D851</f>
        <v>106</v>
      </c>
      <c r="I854" s="218">
        <f>match_results!E851</f>
        <v>38.095238095238003</v>
      </c>
      <c r="J854" s="225"/>
      <c r="K854" s="15" t="str">
        <f ca="1">IF($J854="〇",OFFSET(集計!B$3,合体!$H854,0),"")</f>
        <v/>
      </c>
      <c r="L854" s="15" t="str">
        <f ca="1">IF($J854="〇",OFFSET(集計!C$3,合体!$H854,0),"")</f>
        <v/>
      </c>
      <c r="M854" s="202" t="str">
        <f ca="1">IF($J854="〇",OFFSET(集計!D$3,合体!$H854,0),"")</f>
        <v/>
      </c>
    </row>
    <row r="855" spans="2:13" x14ac:dyDescent="0.2">
      <c r="B855" s="201">
        <f t="shared" si="13"/>
        <v>851</v>
      </c>
      <c r="C855" s="15" t="str">
        <f>薬品マスタリスト_20260130100542!A853</f>
        <v>ミノサイクリン塩酸塩錠５０ｍｇ「日医工」</v>
      </c>
      <c r="D855" s="15" t="str">
        <f>薬品マスタリスト_20260130100542!B853</f>
        <v>ﾐﾉｻｲｸﾘﾝｴﾝｻﾝｴﾝｼﾞｮｳ50mg｢ﾆﾁｲｺｳ｣</v>
      </c>
      <c r="E855" s="15">
        <f>薬品マスタリスト_20260130100542!C853</f>
        <v>1</v>
      </c>
      <c r="F855" s="206" t="str">
        <f>薬品マスタリスト_20260130100542!D853</f>
        <v>錠剤</v>
      </c>
      <c r="G855" s="208" t="str">
        <f>match_results!C852</f>
        <v>ミドドリン塩酸塩錠２ｍｇ</v>
      </c>
      <c r="H855" s="208">
        <f>match_results!D852</f>
        <v>565</v>
      </c>
      <c r="I855" s="218">
        <f>match_results!E852</f>
        <v>56.25</v>
      </c>
      <c r="J855" s="225"/>
      <c r="K855" s="15" t="str">
        <f ca="1">IF($J855="〇",OFFSET(集計!B$3,合体!$H855,0),"")</f>
        <v/>
      </c>
      <c r="L855" s="15" t="str">
        <f ca="1">IF($J855="〇",OFFSET(集計!C$3,合体!$H855,0),"")</f>
        <v/>
      </c>
      <c r="M855" s="202" t="str">
        <f ca="1">IF($J855="〇",OFFSET(集計!D$3,合体!$H855,0),"")</f>
        <v/>
      </c>
    </row>
    <row r="856" spans="2:13" x14ac:dyDescent="0.2">
      <c r="B856" s="201">
        <f t="shared" si="13"/>
        <v>852</v>
      </c>
      <c r="C856" s="15" t="str">
        <f>薬品マスタリスト_20260130100542!A854</f>
        <v>ミノサイクリン塩酸塩点滴静注用１００ｍｇ「日医工」</v>
      </c>
      <c r="D856" s="15" t="str">
        <f>薬品マスタリスト_20260130100542!B854</f>
        <v>ﾐﾉｻｲｸﾘﾝｴﾝｻﾝｴﾝﾃﾝﾃｷｼﾞｮｳﾁｭｳﾖｳ100mg｢ﾆﾁｲｺｳ｣</v>
      </c>
      <c r="E856" s="15">
        <f>薬品マスタリスト_20260130100542!C854</f>
        <v>25</v>
      </c>
      <c r="F856" s="206" t="str">
        <f>薬品マスタリスト_20260130100542!D854</f>
        <v>注射剤</v>
      </c>
      <c r="G856" s="208" t="str">
        <f>match_results!C853</f>
        <v>ミノサイクリン塩酸塩点滴静注用１００ＭＧ</v>
      </c>
      <c r="H856" s="208">
        <f>match_results!D853</f>
        <v>17</v>
      </c>
      <c r="I856" s="218">
        <f>match_results!E853</f>
        <v>80</v>
      </c>
      <c r="J856" s="225"/>
      <c r="K856" s="15" t="str">
        <f ca="1">IF($J856="〇",OFFSET(集計!B$3,合体!$H856,0),"")</f>
        <v/>
      </c>
      <c r="L856" s="15" t="str">
        <f ca="1">IF($J856="〇",OFFSET(集計!C$3,合体!$H856,0),"")</f>
        <v/>
      </c>
      <c r="M856" s="202" t="str">
        <f ca="1">IF($J856="〇",OFFSET(集計!D$3,合体!$H856,0),"")</f>
        <v/>
      </c>
    </row>
    <row r="857" spans="2:13" x14ac:dyDescent="0.2">
      <c r="B857" s="201">
        <f t="shared" si="13"/>
        <v>853</v>
      </c>
      <c r="C857" s="15" t="str">
        <f>薬品マスタリスト_20260130100542!A855</f>
        <v>ミノドロン酸錠５０ｍｇ「ＪＧ」</v>
      </c>
      <c r="D857" s="15" t="str">
        <f>薬品マスタリスト_20260130100542!B855</f>
        <v>ﾐﾉﾄﾞﾛﾝｻﾝｼﾞｮｳ50mg｢JG｣</v>
      </c>
      <c r="E857" s="15">
        <f>薬品マスタリスト_20260130100542!C855</f>
        <v>1</v>
      </c>
      <c r="F857" s="206" t="str">
        <f>薬品マスタリスト_20260130100542!D855</f>
        <v>錠剤</v>
      </c>
      <c r="G857" s="208" t="str">
        <f>match_results!C854</f>
        <v>ロドピン錠５０ｍｇ　</v>
      </c>
      <c r="H857" s="208">
        <f>match_results!D854</f>
        <v>589</v>
      </c>
      <c r="I857" s="218">
        <f>match_results!E854</f>
        <v>58.3333333333333</v>
      </c>
      <c r="J857" s="225"/>
      <c r="K857" s="15" t="str">
        <f ca="1">IF($J857="〇",OFFSET(集計!B$3,合体!$H857,0),"")</f>
        <v/>
      </c>
      <c r="L857" s="15" t="str">
        <f ca="1">IF($J857="〇",OFFSET(集計!C$3,合体!$H857,0),"")</f>
        <v/>
      </c>
      <c r="M857" s="202" t="str">
        <f ca="1">IF($J857="〇",OFFSET(集計!D$3,合体!$H857,0),"")</f>
        <v/>
      </c>
    </row>
    <row r="858" spans="2:13" x14ac:dyDescent="0.2">
      <c r="B858" s="201">
        <f t="shared" si="13"/>
        <v>854</v>
      </c>
      <c r="C858" s="15" t="str">
        <f>薬品マスタリスト_20260130100542!A856</f>
        <v>ミルタザピン錠１５ｍｇ「明治」</v>
      </c>
      <c r="D858" s="15" t="str">
        <f>薬品マスタリスト_20260130100542!B856</f>
        <v>ﾐﾙﾀｻﾞﾋﾟﾝｼﾞｮｳ15mg｢ﾒｲｼﾞ｣</v>
      </c>
      <c r="E858" s="15">
        <f>薬品マスタリスト_20260130100542!C856</f>
        <v>1</v>
      </c>
      <c r="F858" s="206" t="str">
        <f>薬品マスタリスト_20260130100542!D856</f>
        <v>錠剤</v>
      </c>
      <c r="G858" s="208" t="str">
        <f>match_results!C855</f>
        <v>ミルタザピン錠１５ｍｇ「サワイ」</v>
      </c>
      <c r="H858" s="208">
        <f>match_results!D855</f>
        <v>635</v>
      </c>
      <c r="I858" s="218">
        <f>match_results!E855</f>
        <v>83.870967741935402</v>
      </c>
      <c r="J858" s="225"/>
      <c r="K858" s="15" t="str">
        <f ca="1">IF($J858="〇",OFFSET(集計!B$3,合体!$H858,0),"")</f>
        <v/>
      </c>
      <c r="L858" s="15" t="str">
        <f ca="1">IF($J858="〇",OFFSET(集計!C$3,合体!$H858,0),"")</f>
        <v/>
      </c>
      <c r="M858" s="202" t="str">
        <f ca="1">IF($J858="〇",OFFSET(集計!D$3,合体!$H858,0),"")</f>
        <v/>
      </c>
    </row>
    <row r="859" spans="2:13" x14ac:dyDescent="0.2">
      <c r="B859" s="201">
        <f t="shared" si="13"/>
        <v>855</v>
      </c>
      <c r="C859" s="15" t="str">
        <f>薬品マスタリスト_20260130100542!A857</f>
        <v>ミルタザピンＯＤ錠１５ｍｇ「サワイ」</v>
      </c>
      <c r="D859" s="15" t="str">
        <f>薬品マスタリスト_20260130100542!B857</f>
        <v>ﾐﾙﾀｻﾞﾋﾟﾝODｼﾞﾖｳ15MGｻﾜｲ</v>
      </c>
      <c r="E859" s="15">
        <f>薬品マスタリスト_20260130100542!C857</f>
        <v>1</v>
      </c>
      <c r="F859" s="206" t="str">
        <f>薬品マスタリスト_20260130100542!D857</f>
        <v>錠剤</v>
      </c>
      <c r="G859" s="208" t="str">
        <f>match_results!C856</f>
        <v>ミルタザピン錠１５ｍｇ「サワイ」</v>
      </c>
      <c r="H859" s="208">
        <f>match_results!D856</f>
        <v>635</v>
      </c>
      <c r="I859" s="218">
        <f>match_results!E856</f>
        <v>94.117647058823493</v>
      </c>
      <c r="J859" s="225"/>
      <c r="K859" s="15" t="str">
        <f ca="1">IF($J859="〇",OFFSET(集計!B$3,合体!$H859,0),"")</f>
        <v/>
      </c>
      <c r="L859" s="15" t="str">
        <f ca="1">IF($J859="〇",OFFSET(集計!C$3,合体!$H859,0),"")</f>
        <v/>
      </c>
      <c r="M859" s="202" t="str">
        <f ca="1">IF($J859="〇",OFFSET(集計!D$3,合体!$H859,0),"")</f>
        <v/>
      </c>
    </row>
    <row r="860" spans="2:13" x14ac:dyDescent="0.2">
      <c r="B860" s="201">
        <f t="shared" si="13"/>
        <v>856</v>
      </c>
      <c r="C860" s="15" t="str">
        <f>薬品マスタリスト_20260130100542!A858</f>
        <v>ムコスタ点眼液ＵＤ２％</v>
      </c>
      <c r="D860" s="15" t="str">
        <f>薬品マスタリスト_20260130100542!B858</f>
        <v>ﾑｺｽﾀﾃﾝｶﾞﾝｴｷUD2%</v>
      </c>
      <c r="E860" s="15">
        <f>薬品マスタリスト_20260130100542!C858</f>
        <v>21</v>
      </c>
      <c r="F860" s="206" t="str">
        <f>薬品マスタリスト_20260130100542!D858</f>
        <v>点眼剤</v>
      </c>
      <c r="G860" s="208" t="str">
        <f>match_results!C857</f>
        <v>ムコスタ点眼液</v>
      </c>
      <c r="H860" s="208">
        <f>match_results!D857</f>
        <v>273</v>
      </c>
      <c r="I860" s="218">
        <f>match_results!E857</f>
        <v>77.7777777777777</v>
      </c>
      <c r="J860" s="225"/>
      <c r="K860" s="15" t="str">
        <f ca="1">IF($J860="〇",OFFSET(集計!B$3,合体!$H860,0),"")</f>
        <v/>
      </c>
      <c r="L860" s="15" t="str">
        <f ca="1">IF($J860="〇",OFFSET(集計!C$3,合体!$H860,0),"")</f>
        <v/>
      </c>
      <c r="M860" s="202" t="str">
        <f ca="1">IF($J860="〇",OFFSET(集計!D$3,合体!$H860,0),"")</f>
        <v/>
      </c>
    </row>
    <row r="861" spans="2:13" x14ac:dyDescent="0.2">
      <c r="B861" s="201">
        <f t="shared" si="13"/>
        <v>857</v>
      </c>
      <c r="C861" s="15" t="str">
        <f>薬品マスタリスト_20260130100542!A859</f>
        <v>ムコスタ顆粒２０％</v>
      </c>
      <c r="D861" s="15" t="str">
        <f>薬品マスタリスト_20260130100542!B859</f>
        <v>ﾑｺｽﾀｶﾘｭｳ20%</v>
      </c>
      <c r="E861" s="15">
        <f>薬品マスタリスト_20260130100542!C859</f>
        <v>3</v>
      </c>
      <c r="F861" s="206" t="str">
        <f>薬品マスタリスト_20260130100542!D859</f>
        <v>散</v>
      </c>
      <c r="G861" s="208" t="str">
        <f>match_results!C858</f>
        <v>ムコスタ点眼液</v>
      </c>
      <c r="H861" s="208">
        <f>match_results!D858</f>
        <v>273</v>
      </c>
      <c r="I861" s="218">
        <f>match_results!E858</f>
        <v>50</v>
      </c>
      <c r="J861" s="225"/>
      <c r="K861" s="15" t="str">
        <f ca="1">IF($J861="〇",OFFSET(集計!B$3,合体!$H861,0),"")</f>
        <v/>
      </c>
      <c r="L861" s="15" t="str">
        <f ca="1">IF($J861="〇",OFFSET(集計!C$3,合体!$H861,0),"")</f>
        <v/>
      </c>
      <c r="M861" s="202" t="str">
        <f ca="1">IF($J861="〇",OFFSET(集計!D$3,合体!$H861,0),"")</f>
        <v/>
      </c>
    </row>
    <row r="862" spans="2:13" x14ac:dyDescent="0.2">
      <c r="B862" s="201">
        <f t="shared" si="13"/>
        <v>858</v>
      </c>
      <c r="C862" s="15" t="str">
        <f>薬品マスタリスト_20260130100542!A860</f>
        <v>ムコファジン点眼液</v>
      </c>
      <c r="D862" s="15" t="str">
        <f>薬品マスタリスト_20260130100542!B860</f>
        <v>ﾑｺﾌｧｼﾞﾝﾃﾝｶﾞﾝｴｷ</v>
      </c>
      <c r="E862" s="15">
        <f>薬品マスタリスト_20260130100542!C860</f>
        <v>21</v>
      </c>
      <c r="F862" s="206" t="str">
        <f>薬品マスタリスト_20260130100542!D860</f>
        <v>点眼剤</v>
      </c>
      <c r="G862" s="208" t="str">
        <f>match_results!C859</f>
        <v>ムコスタ点眼液</v>
      </c>
      <c r="H862" s="208">
        <f>match_results!D859</f>
        <v>273</v>
      </c>
      <c r="I862" s="218">
        <f>match_results!E859</f>
        <v>62.5</v>
      </c>
      <c r="J862" s="225"/>
      <c r="K862" s="15" t="str">
        <f ca="1">IF($J862="〇",OFFSET(集計!B$3,合体!$H862,0),"")</f>
        <v/>
      </c>
      <c r="L862" s="15" t="str">
        <f ca="1">IF($J862="〇",OFFSET(集計!C$3,合体!$H862,0),"")</f>
        <v/>
      </c>
      <c r="M862" s="202" t="str">
        <f ca="1">IF($J862="〇",OFFSET(集計!D$3,合体!$H862,0),"")</f>
        <v/>
      </c>
    </row>
    <row r="863" spans="2:13" x14ac:dyDescent="0.2">
      <c r="B863" s="201">
        <f t="shared" si="13"/>
        <v>859</v>
      </c>
      <c r="C863" s="15" t="str">
        <f>薬品マスタリスト_20260130100542!A861</f>
        <v>メイラックス錠１ｍｇ</v>
      </c>
      <c r="D863" s="15" t="str">
        <f>薬品マスタリスト_20260130100542!B861</f>
        <v>ﾒｲﾗｯｸｽｼﾞｮｳ1mg</v>
      </c>
      <c r="E863" s="15">
        <f>薬品マスタリスト_20260130100542!C861</f>
        <v>1</v>
      </c>
      <c r="F863" s="206" t="str">
        <f>薬品マスタリスト_20260130100542!D861</f>
        <v>錠剤</v>
      </c>
      <c r="G863" s="208" t="str">
        <f>match_results!C860</f>
        <v>メイラックス１ｍｇ</v>
      </c>
      <c r="H863" s="208">
        <f>match_results!D860</f>
        <v>354</v>
      </c>
      <c r="I863" s="218">
        <f>match_results!E860</f>
        <v>94.736842105263094</v>
      </c>
      <c r="J863" s="225"/>
      <c r="K863" s="15" t="str">
        <f ca="1">IF($J863="〇",OFFSET(集計!B$3,合体!$H863,0),"")</f>
        <v/>
      </c>
      <c r="L863" s="15" t="str">
        <f ca="1">IF($J863="〇",OFFSET(集計!C$3,合体!$H863,0),"")</f>
        <v/>
      </c>
      <c r="M863" s="202" t="str">
        <f ca="1">IF($J863="〇",OFFSET(集計!D$3,合体!$H863,0),"")</f>
        <v/>
      </c>
    </row>
    <row r="864" spans="2:13" x14ac:dyDescent="0.2">
      <c r="B864" s="201">
        <f t="shared" si="13"/>
        <v>860</v>
      </c>
      <c r="C864" s="15" t="str">
        <f>薬品マスタリスト_20260130100542!A862</f>
        <v>メイロン静注７％</v>
      </c>
      <c r="D864" s="15" t="str">
        <f>薬品マスタリスト_20260130100542!B862</f>
        <v>ﾒｲﾛﾝｼﾞｮｳﾁｭｳ7%</v>
      </c>
      <c r="E864" s="15">
        <f>薬品マスタリスト_20260130100542!C862</f>
        <v>25</v>
      </c>
      <c r="F864" s="206" t="str">
        <f>薬品マスタリスト_20260130100542!D862</f>
        <v>注射剤</v>
      </c>
      <c r="G864" s="208" t="str">
        <f>match_results!C861</f>
        <v>メイロン静注７％</v>
      </c>
      <c r="H864" s="208">
        <f>match_results!D861</f>
        <v>73</v>
      </c>
      <c r="I864" s="218">
        <f>match_results!E861</f>
        <v>100</v>
      </c>
      <c r="J864" s="225" t="s">
        <v>3917</v>
      </c>
      <c r="K864" s="15">
        <f ca="1">IF($J864="〇",OFFSET(集計!B$3,合体!$H864,0),"")</f>
        <v>89</v>
      </c>
      <c r="L864" s="15">
        <f ca="1">IF($J864="〇",OFFSET(集計!C$3,合体!$H864,0),"")</f>
        <v>11</v>
      </c>
      <c r="M864" s="202">
        <f ca="1">IF($J864="〇",OFFSET(集計!D$3,合体!$H864,0),"")</f>
        <v>979</v>
      </c>
    </row>
    <row r="865" spans="2:13" x14ac:dyDescent="0.2">
      <c r="B865" s="201">
        <f t="shared" si="13"/>
        <v>861</v>
      </c>
      <c r="C865" s="15" t="str">
        <f>薬品マスタリスト_20260130100542!A863</f>
        <v>メキシチールカプセル５０ｍｇ</v>
      </c>
      <c r="D865" s="15" t="str">
        <f>薬品マスタリスト_20260130100542!B863</f>
        <v>ﾒｷｼﾁｰﾙｶﾌﾟｾﾙ50mg</v>
      </c>
      <c r="E865" s="15">
        <f>薬品マスタリスト_20260130100542!C863</f>
        <v>2</v>
      </c>
      <c r="F865" s="206" t="str">
        <f>薬品マスタリスト_20260130100542!D863</f>
        <v>カプセル</v>
      </c>
      <c r="G865" s="208" t="str">
        <f>match_results!C862</f>
        <v>メキシチール塩酸塩カプセル５０</v>
      </c>
      <c r="H865" s="208">
        <f>match_results!D862</f>
        <v>246</v>
      </c>
      <c r="I865" s="218">
        <f>match_results!E862</f>
        <v>82.758620689655103</v>
      </c>
      <c r="J865" s="225"/>
      <c r="K865" s="15" t="str">
        <f ca="1">IF($J865="〇",OFFSET(集計!B$3,合体!$H865,0),"")</f>
        <v/>
      </c>
      <c r="L865" s="15" t="str">
        <f ca="1">IF($J865="〇",OFFSET(集計!C$3,合体!$H865,0),"")</f>
        <v/>
      </c>
      <c r="M865" s="202" t="str">
        <f ca="1">IF($J865="〇",OFFSET(集計!D$3,合体!$H865,0),"")</f>
        <v/>
      </c>
    </row>
    <row r="866" spans="2:13" x14ac:dyDescent="0.2">
      <c r="B866" s="201">
        <f t="shared" si="13"/>
        <v>862</v>
      </c>
      <c r="C866" s="15" t="str">
        <f>薬品マスタリスト_20260130100542!A864</f>
        <v>メコバラミン錠５００「トーワ」</v>
      </c>
      <c r="D866" s="15" t="str">
        <f>薬品マスタリスト_20260130100542!B864</f>
        <v>ﾒｺﾊﾞﾗﾐﾝｼﾞｮｳ500｢ﾄｰﾜ｣</v>
      </c>
      <c r="E866" s="15">
        <f>薬品マスタリスト_20260130100542!C864</f>
        <v>1</v>
      </c>
      <c r="F866" s="206" t="str">
        <f>薬品マスタリスト_20260130100542!D864</f>
        <v>錠剤</v>
      </c>
      <c r="G866" s="208" t="str">
        <f>match_results!C863</f>
        <v>メコバラミン錠５００「トーワ」</v>
      </c>
      <c r="H866" s="208">
        <f>match_results!D863</f>
        <v>548</v>
      </c>
      <c r="I866" s="218">
        <f>match_results!E863</f>
        <v>100</v>
      </c>
      <c r="J866" s="225" t="s">
        <v>3917</v>
      </c>
      <c r="K866" s="15">
        <f ca="1">IF($J866="〇",OFFSET(集計!B$3,合体!$H866,0),"")</f>
        <v>4.96</v>
      </c>
      <c r="L866" s="15">
        <f ca="1">IF($J866="〇",OFFSET(集計!C$3,合体!$H866,0),"")</f>
        <v>4336.8571428571431</v>
      </c>
      <c r="M866" s="202">
        <f ca="1">IF($J866="〇",OFFSET(集計!D$3,合体!$H866,0),"")</f>
        <v>21510.811428571429</v>
      </c>
    </row>
    <row r="867" spans="2:13" x14ac:dyDescent="0.2">
      <c r="B867" s="201">
        <f t="shared" si="13"/>
        <v>863</v>
      </c>
      <c r="C867" s="15" t="str">
        <f>薬品マスタリスト_20260130100542!A865</f>
        <v>メトトレキサート錠２ｍｇ「あゆみ」</v>
      </c>
      <c r="D867" s="15" t="str">
        <f>薬品マスタリスト_20260130100542!B865</f>
        <v>ﾒﾄﾄﾚｷｻｰﾄｼﾞｮｳ2mg｢あゆみ｣</v>
      </c>
      <c r="E867" s="15">
        <f>薬品マスタリスト_20260130100542!C865</f>
        <v>1</v>
      </c>
      <c r="F867" s="206" t="str">
        <f>薬品マスタリスト_20260130100542!D865</f>
        <v>錠剤</v>
      </c>
      <c r="G867" s="208" t="str">
        <f>match_results!C864</f>
        <v>メトトレキサート（２）</v>
      </c>
      <c r="H867" s="208">
        <f>match_results!D864</f>
        <v>167</v>
      </c>
      <c r="I867" s="218">
        <f>match_results!E864</f>
        <v>64.285714285714207</v>
      </c>
      <c r="J867" s="225"/>
      <c r="K867" s="15" t="str">
        <f ca="1">IF($J867="〇",OFFSET(集計!B$3,合体!$H867,0),"")</f>
        <v/>
      </c>
      <c r="L867" s="15" t="str">
        <f ca="1">IF($J867="〇",OFFSET(集計!C$3,合体!$H867,0),"")</f>
        <v/>
      </c>
      <c r="M867" s="202" t="str">
        <f ca="1">IF($J867="〇",OFFSET(集計!D$3,合体!$H867,0),"")</f>
        <v/>
      </c>
    </row>
    <row r="868" spans="2:13" x14ac:dyDescent="0.2">
      <c r="B868" s="201">
        <f t="shared" si="13"/>
        <v>864</v>
      </c>
      <c r="C868" s="15" t="str">
        <f>薬品マスタリスト_20260130100542!A866</f>
        <v>メトホルミン塩酸塩錠２５０ｍｇＭＴ「ＤＳＰＢ」</v>
      </c>
      <c r="D868" s="15" t="str">
        <f>薬品マスタリスト_20260130100542!B866</f>
        <v>ﾒﾄﾎﾙﾐﾝｴﾝｻﾝｴﾝｼﾞｮｳ250mgMT｢DSPB｣</v>
      </c>
      <c r="E868" s="15">
        <f>薬品マスタリスト_20260130100542!C866</f>
        <v>1</v>
      </c>
      <c r="F868" s="206" t="str">
        <f>薬品マスタリスト_20260130100542!D866</f>
        <v>錠剤</v>
      </c>
      <c r="G868" s="208" t="str">
        <f>match_results!C865</f>
        <v>メトホルミン錠２５０ｍｇ</v>
      </c>
      <c r="H868" s="208">
        <f>match_results!D865</f>
        <v>335</v>
      </c>
      <c r="I868" s="218">
        <f>match_results!E865</f>
        <v>68.571428571428498</v>
      </c>
      <c r="J868" s="225"/>
      <c r="K868" s="15" t="str">
        <f ca="1">IF($J868="〇",OFFSET(集計!B$3,合体!$H868,0),"")</f>
        <v/>
      </c>
      <c r="L868" s="15" t="str">
        <f ca="1">IF($J868="〇",OFFSET(集計!C$3,合体!$H868,0),"")</f>
        <v/>
      </c>
      <c r="M868" s="202" t="str">
        <f ca="1">IF($J868="〇",OFFSET(集計!D$3,合体!$H868,0),"")</f>
        <v/>
      </c>
    </row>
    <row r="869" spans="2:13" x14ac:dyDescent="0.2">
      <c r="B869" s="201">
        <f t="shared" si="13"/>
        <v>865</v>
      </c>
      <c r="C869" s="15" t="str">
        <f>薬品マスタリスト_20260130100542!A867</f>
        <v>メネシット配合錠１００</v>
      </c>
      <c r="D869" s="15" t="str">
        <f>薬品マスタリスト_20260130100542!B867</f>
        <v>ﾒﾈｼｯﾄﾊｲｺﾞｳｼﾞｮｳ100</v>
      </c>
      <c r="E869" s="15">
        <f>薬品マスタリスト_20260130100542!C867</f>
        <v>1</v>
      </c>
      <c r="F869" s="206" t="str">
        <f>薬品マスタリスト_20260130100542!D867</f>
        <v>錠剤</v>
      </c>
      <c r="G869" s="208" t="str">
        <f>match_results!C866</f>
        <v>ビムパット１００ｍｇ</v>
      </c>
      <c r="H869" s="208">
        <f>match_results!D866</f>
        <v>611</v>
      </c>
      <c r="I869" s="218">
        <f>match_results!E866</f>
        <v>47.619047619047599</v>
      </c>
      <c r="J869" s="225"/>
      <c r="K869" s="15" t="str">
        <f ca="1">IF($J869="〇",OFFSET(集計!B$3,合体!$H869,0),"")</f>
        <v/>
      </c>
      <c r="L869" s="15" t="str">
        <f ca="1">IF($J869="〇",OFFSET(集計!C$3,合体!$H869,0),"")</f>
        <v/>
      </c>
      <c r="M869" s="202" t="str">
        <f ca="1">IF($J869="〇",OFFSET(集計!D$3,合体!$H869,0),"")</f>
        <v/>
      </c>
    </row>
    <row r="870" spans="2:13" x14ac:dyDescent="0.2">
      <c r="B870" s="201">
        <f t="shared" si="13"/>
        <v>866</v>
      </c>
      <c r="C870" s="15" t="str">
        <f>薬品マスタリスト_20260130100542!A868</f>
        <v>メプチンエアー１０μｇ</v>
      </c>
      <c r="D870" s="15" t="str">
        <f>薬品マスタリスト_20260130100542!B868</f>
        <v>ﾒﾌﾟﾁﾝｴｱｰ10μg</v>
      </c>
      <c r="E870" s="15">
        <f>薬品マスタリスト_20260130100542!C868</f>
        <v>10</v>
      </c>
      <c r="F870" s="206" t="str">
        <f>薬品マスタリスト_20260130100542!D868</f>
        <v>吸入剤</v>
      </c>
      <c r="G870" s="208" t="str">
        <f>match_results!C867</f>
        <v>メプチンエア－１０μｇ吸入１００回</v>
      </c>
      <c r="H870" s="208">
        <f>match_results!D867</f>
        <v>165</v>
      </c>
      <c r="I870" s="218">
        <f>match_results!E867</f>
        <v>71.428571428571402</v>
      </c>
      <c r="J870" s="225"/>
      <c r="K870" s="15" t="str">
        <f ca="1">IF($J870="〇",OFFSET(集計!B$3,合体!$H870,0),"")</f>
        <v/>
      </c>
      <c r="L870" s="15" t="str">
        <f ca="1">IF($J870="〇",OFFSET(集計!C$3,合体!$H870,0),"")</f>
        <v/>
      </c>
      <c r="M870" s="202" t="str">
        <f ca="1">IF($J870="〇",OFFSET(集計!D$3,合体!$H870,0),"")</f>
        <v/>
      </c>
    </row>
    <row r="871" spans="2:13" x14ac:dyDescent="0.2">
      <c r="B871" s="201">
        <f t="shared" si="13"/>
        <v>867</v>
      </c>
      <c r="C871" s="15" t="str">
        <f>薬品マスタリスト_20260130100542!A869</f>
        <v>メマンチン塩酸塩ＯＤ錠５ｍｇ「ＤＳＥＰ」</v>
      </c>
      <c r="D871" s="15" t="str">
        <f>薬品マスタリスト_20260130100542!B869</f>
        <v>ﾒﾏﾝﾁﾝｴﾝｻﾝｴﾝODｼﾞｮｳ5mg｢DSEP｣</v>
      </c>
      <c r="E871" s="15">
        <f>薬品マスタリスト_20260130100542!C869</f>
        <v>1</v>
      </c>
      <c r="F871" s="206" t="str">
        <f>薬品マスタリスト_20260130100542!D869</f>
        <v>錠剤</v>
      </c>
      <c r="G871" s="208" t="str">
        <f>match_results!C868</f>
        <v>メマンチン塩酸塩ＯＤ５ｍｇ　</v>
      </c>
      <c r="H871" s="208">
        <f>match_results!D868</f>
        <v>585</v>
      </c>
      <c r="I871" s="218">
        <f>match_results!E868</f>
        <v>78.787878787878697</v>
      </c>
      <c r="J871" s="225"/>
      <c r="K871" s="15" t="str">
        <f ca="1">IF($J871="〇",OFFSET(集計!B$3,合体!$H871,0),"")</f>
        <v/>
      </c>
      <c r="L871" s="15" t="str">
        <f ca="1">IF($J871="〇",OFFSET(集計!C$3,合体!$H871,0),"")</f>
        <v/>
      </c>
      <c r="M871" s="202" t="str">
        <f ca="1">IF($J871="〇",OFFSET(集計!D$3,合体!$H871,0),"")</f>
        <v/>
      </c>
    </row>
    <row r="872" spans="2:13" x14ac:dyDescent="0.2">
      <c r="B872" s="201">
        <f t="shared" si="13"/>
        <v>868</v>
      </c>
      <c r="C872" s="15" t="str">
        <f>薬品マスタリスト_20260130100542!A870</f>
        <v>メマンチン塩酸塩ＯＤ錠２０ｍｇ「ＤＳＥＰ」</v>
      </c>
      <c r="D872" s="15" t="str">
        <f>薬品マスタリスト_20260130100542!B870</f>
        <v>ﾒﾏﾝﾁﾝｴﾝｻﾝｴﾝODｼﾞｮｳ20mg｢DSEP｣</v>
      </c>
      <c r="E872" s="15">
        <f>薬品マスタリスト_20260130100542!C870</f>
        <v>1</v>
      </c>
      <c r="F872" s="206" t="str">
        <f>薬品マスタリスト_20260130100542!D870</f>
        <v>錠剤</v>
      </c>
      <c r="G872" s="208" t="str">
        <f>match_results!C869</f>
        <v>メマンチン塩酸塩ＯＤ２０ｍｇ　</v>
      </c>
      <c r="H872" s="208">
        <f>match_results!D869</f>
        <v>659</v>
      </c>
      <c r="I872" s="218">
        <f>match_results!E869</f>
        <v>80</v>
      </c>
      <c r="J872" s="225"/>
      <c r="K872" s="15" t="str">
        <f ca="1">IF($J872="〇",OFFSET(集計!B$3,合体!$H872,0),"")</f>
        <v/>
      </c>
      <c r="L872" s="15" t="str">
        <f ca="1">IF($J872="〇",OFFSET(集計!C$3,合体!$H872,0),"")</f>
        <v/>
      </c>
      <c r="M872" s="202" t="str">
        <f ca="1">IF($J872="〇",OFFSET(集計!D$3,合体!$H872,0),"")</f>
        <v/>
      </c>
    </row>
    <row r="873" spans="2:13" x14ac:dyDescent="0.2">
      <c r="B873" s="201">
        <f t="shared" si="13"/>
        <v>869</v>
      </c>
      <c r="C873" s="15" t="str">
        <f>薬品マスタリスト_20260130100542!A871</f>
        <v>メリスロン錠６ｍｇ</v>
      </c>
      <c r="D873" s="15" t="str">
        <f>薬品マスタリスト_20260130100542!B871</f>
        <v>ﾒﾘｽﾛﾝｼﾞﾖｳ6MG</v>
      </c>
      <c r="E873" s="15">
        <f>薬品マスタリスト_20260130100542!C871</f>
        <v>1</v>
      </c>
      <c r="F873" s="206" t="str">
        <f>薬品マスタリスト_20260130100542!D871</f>
        <v>錠剤</v>
      </c>
      <c r="G873" s="208" t="str">
        <f>match_results!C870</f>
        <v>メリスロン錠６ｍｇ</v>
      </c>
      <c r="H873" s="208">
        <f>match_results!D870</f>
        <v>101</v>
      </c>
      <c r="I873" s="218">
        <f>match_results!E870</f>
        <v>100</v>
      </c>
      <c r="J873" s="225" t="s">
        <v>3917</v>
      </c>
      <c r="K873" s="15">
        <f ca="1">IF($J873="〇",OFFSET(集計!B$3,合体!$H873,0),"")</f>
        <v>7.63</v>
      </c>
      <c r="L873" s="15">
        <f ca="1">IF($J873="〇",OFFSET(集計!C$3,合体!$H873,0),"")</f>
        <v>194</v>
      </c>
      <c r="M873" s="202">
        <f ca="1">IF($J873="〇",OFFSET(集計!D$3,合体!$H873,0),"")</f>
        <v>1480.22</v>
      </c>
    </row>
    <row r="874" spans="2:13" x14ac:dyDescent="0.2">
      <c r="B874" s="201">
        <f t="shared" si="13"/>
        <v>870</v>
      </c>
      <c r="C874" s="15" t="str">
        <f>薬品マスタリスト_20260130100542!A872</f>
        <v>メルカゾール錠５ｍｇ</v>
      </c>
      <c r="D874" s="15" t="str">
        <f>薬品マスタリスト_20260130100542!B872</f>
        <v>ﾒﾙｶｿﾞｰﾙｼﾞｮｳ5mg</v>
      </c>
      <c r="E874" s="15">
        <f>薬品マスタリスト_20260130100542!C872</f>
        <v>1</v>
      </c>
      <c r="F874" s="206" t="str">
        <f>薬品マスタリスト_20260130100542!D872</f>
        <v>錠剤</v>
      </c>
      <c r="G874" s="208" t="str">
        <f>match_results!C871</f>
        <v>リルゾール錠５０ｍｇ</v>
      </c>
      <c r="H874" s="208">
        <f>match_results!D871</f>
        <v>415</v>
      </c>
      <c r="I874" s="218">
        <f>match_results!E871</f>
        <v>80</v>
      </c>
      <c r="J874" s="225"/>
      <c r="K874" s="15" t="str">
        <f ca="1">IF($J874="〇",OFFSET(集計!B$3,合体!$H874,0),"")</f>
        <v/>
      </c>
      <c r="L874" s="15" t="str">
        <f ca="1">IF($J874="〇",OFFSET(集計!C$3,合体!$H874,0),"")</f>
        <v/>
      </c>
      <c r="M874" s="202" t="str">
        <f ca="1">IF($J874="〇",OFFSET(集計!D$3,合体!$H874,0),"")</f>
        <v/>
      </c>
    </row>
    <row r="875" spans="2:13" x14ac:dyDescent="0.2">
      <c r="B875" s="201">
        <f t="shared" si="13"/>
        <v>871</v>
      </c>
      <c r="C875" s="15" t="str">
        <f>薬品マスタリスト_20260130100542!A873</f>
        <v>メロペン点滴用バイアル０．５ｇ</v>
      </c>
      <c r="D875" s="15" t="str">
        <f>薬品マスタリスト_20260130100542!B873</f>
        <v>ﾒﾛﾍﾟﾝﾃﾝﾃｷﾖｳﾊﾞｲｱﾙ0.5g</v>
      </c>
      <c r="E875" s="15">
        <f>薬品マスタリスト_20260130100542!C873</f>
        <v>25</v>
      </c>
      <c r="F875" s="206" t="str">
        <f>薬品マスタリスト_20260130100542!D873</f>
        <v>注射剤</v>
      </c>
      <c r="G875" s="208" t="str">
        <f>match_results!C872</f>
        <v>メロペネム点滴０．５ｇ</v>
      </c>
      <c r="H875" s="208">
        <f>match_results!D872</f>
        <v>18</v>
      </c>
      <c r="I875" s="218">
        <f>match_results!E872</f>
        <v>69.230769230769198</v>
      </c>
      <c r="J875" s="225"/>
      <c r="K875" s="15" t="str">
        <f ca="1">IF($J875="〇",OFFSET(集計!B$3,合体!$H875,0),"")</f>
        <v/>
      </c>
      <c r="L875" s="15" t="str">
        <f ca="1">IF($J875="〇",OFFSET(集計!C$3,合体!$H875,0),"")</f>
        <v/>
      </c>
      <c r="M875" s="202" t="str">
        <f ca="1">IF($J875="〇",OFFSET(集計!D$3,合体!$H875,0),"")</f>
        <v/>
      </c>
    </row>
    <row r="876" spans="2:13" x14ac:dyDescent="0.2">
      <c r="B876" s="201">
        <f t="shared" si="13"/>
        <v>872</v>
      </c>
      <c r="C876" s="15" t="str">
        <f>薬品マスタリスト_20260130100542!A874</f>
        <v>メロペネム点滴静注用０．５ｇ「ＮＰ」</v>
      </c>
      <c r="D876" s="15" t="str">
        <f>薬品マスタリスト_20260130100542!B874</f>
        <v>ﾒﾛﾍﾟﾈﾑﾃﾝﾃｷｼﾞﾖｳﾁﾕｳﾖｳ0.5GNP</v>
      </c>
      <c r="E876" s="15">
        <f>薬品マスタリスト_20260130100542!C874</f>
        <v>25</v>
      </c>
      <c r="F876" s="206" t="str">
        <f>薬品マスタリスト_20260130100542!D874</f>
        <v>注射剤</v>
      </c>
      <c r="G876" s="208" t="str">
        <f>match_results!C873</f>
        <v>メロペネム点滴０．５ｇ</v>
      </c>
      <c r="H876" s="208">
        <f>match_results!D873</f>
        <v>18</v>
      </c>
      <c r="I876" s="218">
        <f>match_results!E873</f>
        <v>75.862068965517196</v>
      </c>
      <c r="J876" s="225"/>
      <c r="K876" s="15" t="str">
        <f ca="1">IF($J876="〇",OFFSET(集計!B$3,合体!$H876,0),"")</f>
        <v/>
      </c>
      <c r="L876" s="15" t="str">
        <f ca="1">IF($J876="〇",OFFSET(集計!C$3,合体!$H876,0),"")</f>
        <v/>
      </c>
      <c r="M876" s="202" t="str">
        <f ca="1">IF($J876="〇",OFFSET(集計!D$3,合体!$H876,0),"")</f>
        <v/>
      </c>
    </row>
    <row r="877" spans="2:13" x14ac:dyDescent="0.2">
      <c r="B877" s="201">
        <f t="shared" si="13"/>
        <v>873</v>
      </c>
      <c r="C877" s="15" t="str">
        <f>薬品マスタリスト_20260130100542!A875</f>
        <v>メロペネム点滴静注用０．５ｇ「サワイ」</v>
      </c>
      <c r="D877" s="15" t="str">
        <f>薬品マスタリスト_20260130100542!B875</f>
        <v>ﾒﾛﾍﾟﾈﾑﾃﾝﾃｷｼﾞﾖｳﾁﾕｳﾖｳ0.5Gｻﾜｲ</v>
      </c>
      <c r="E877" s="15">
        <f>薬品マスタリスト_20260130100542!C875</f>
        <v>25</v>
      </c>
      <c r="F877" s="206" t="str">
        <f>薬品マスタリスト_20260130100542!D875</f>
        <v>注射剤</v>
      </c>
      <c r="G877" s="208" t="str">
        <f>match_results!C874</f>
        <v>メロペネム点滴０．５ｇ</v>
      </c>
      <c r="H877" s="208">
        <f>match_results!D874</f>
        <v>18</v>
      </c>
      <c r="I877" s="218">
        <f>match_results!E874</f>
        <v>73.3333333333333</v>
      </c>
      <c r="J877" s="225"/>
      <c r="K877" s="15" t="str">
        <f ca="1">IF($J877="〇",OFFSET(集計!B$3,合体!$H877,0),"")</f>
        <v/>
      </c>
      <c r="L877" s="15" t="str">
        <f ca="1">IF($J877="〇",OFFSET(集計!C$3,合体!$H877,0),"")</f>
        <v/>
      </c>
      <c r="M877" s="202" t="str">
        <f ca="1">IF($J877="〇",OFFSET(集計!D$3,合体!$H877,0),"")</f>
        <v/>
      </c>
    </row>
    <row r="878" spans="2:13" x14ac:dyDescent="0.2">
      <c r="B878" s="201">
        <f t="shared" si="13"/>
        <v>874</v>
      </c>
      <c r="C878" s="15" t="str">
        <f>薬品マスタリスト_20260130100542!A876</f>
        <v>モキシフロキサシン点眼液０．５％「サンド」</v>
      </c>
      <c r="D878" s="15" t="str">
        <f>薬品マスタリスト_20260130100542!B876</f>
        <v>ﾓｷｼﾌﾛｷｻｼﾝﾃﾝｶﾞﾝｴｷ0.5%ｻﾝﾄﾞ</v>
      </c>
      <c r="E878" s="15">
        <f>薬品マスタリスト_20260130100542!C876</f>
        <v>21</v>
      </c>
      <c r="F878" s="206" t="str">
        <f>薬品マスタリスト_20260130100542!D876</f>
        <v>点眼剤</v>
      </c>
      <c r="G878" s="208" t="str">
        <f>match_results!C875</f>
        <v>オフロキサシン点眼液０．３％「タナベ」　５ｍｌ／本</v>
      </c>
      <c r="H878" s="208">
        <f>match_results!D875</f>
        <v>475</v>
      </c>
      <c r="I878" s="218">
        <f>match_results!E875</f>
        <v>60.869565217391298</v>
      </c>
      <c r="J878" s="225"/>
      <c r="K878" s="15" t="str">
        <f ca="1">IF($J878="〇",OFFSET(集計!B$3,合体!$H878,0),"")</f>
        <v/>
      </c>
      <c r="L878" s="15" t="str">
        <f ca="1">IF($J878="〇",OFFSET(集計!C$3,合体!$H878,0),"")</f>
        <v/>
      </c>
      <c r="M878" s="202" t="str">
        <f ca="1">IF($J878="〇",OFFSET(集計!D$3,合体!$H878,0),"")</f>
        <v/>
      </c>
    </row>
    <row r="879" spans="2:13" x14ac:dyDescent="0.2">
      <c r="B879" s="201">
        <f t="shared" si="13"/>
        <v>875</v>
      </c>
      <c r="C879" s="15" t="str">
        <f>薬品マスタリスト_20260130100542!A877</f>
        <v>モサプリドクエン酸塩錠５ｍｇ「日医工」</v>
      </c>
      <c r="D879" s="15" t="str">
        <f>薬品マスタリスト_20260130100542!B877</f>
        <v>ﾓｻﾌﾟﾘﾄﾞｸｴﾝｻﾝｴﾝｼﾞｮｳ5mg｢ﾆﾁｲｺｳ｣</v>
      </c>
      <c r="E879" s="15">
        <f>薬品マスタリスト_20260130100542!C877</f>
        <v>1</v>
      </c>
      <c r="F879" s="206" t="str">
        <f>薬品マスタリスト_20260130100542!D877</f>
        <v>錠剤</v>
      </c>
      <c r="G879" s="208" t="str">
        <f>match_results!C876</f>
        <v>モサプリドクエン酸塩散１％「日医工」</v>
      </c>
      <c r="H879" s="208">
        <f>match_results!D876</f>
        <v>128</v>
      </c>
      <c r="I879" s="218">
        <f>match_results!E876</f>
        <v>81.081081081080995</v>
      </c>
      <c r="J879" s="225"/>
      <c r="K879" s="15" t="str">
        <f ca="1">IF($J879="〇",OFFSET(集計!B$3,合体!$H879,0),"")</f>
        <v/>
      </c>
      <c r="L879" s="15" t="str">
        <f ca="1">IF($J879="〇",OFFSET(集計!C$3,合体!$H879,0),"")</f>
        <v/>
      </c>
      <c r="M879" s="202" t="str">
        <f ca="1">IF($J879="〇",OFFSET(集計!D$3,合体!$H879,0),"")</f>
        <v/>
      </c>
    </row>
    <row r="880" spans="2:13" x14ac:dyDescent="0.2">
      <c r="B880" s="201">
        <f t="shared" si="13"/>
        <v>876</v>
      </c>
      <c r="C880" s="15" t="str">
        <f>薬品マスタリスト_20260130100542!A878</f>
        <v>モサプリドクエン酸塩散１％「日医工」</v>
      </c>
      <c r="D880" s="15" t="str">
        <f>薬品マスタリスト_20260130100542!B878</f>
        <v>ﾓｻﾌﾟﾘﾄﾞｸｴﾝｻﾝｴﾝｻﾝ1%｢ﾆﾁｲｺｳ｣</v>
      </c>
      <c r="E880" s="15">
        <f>薬品マスタリスト_20260130100542!C878</f>
        <v>3</v>
      </c>
      <c r="F880" s="206" t="str">
        <f>薬品マスタリスト_20260130100542!D878</f>
        <v>散</v>
      </c>
      <c r="G880" s="208" t="str">
        <f>match_results!C877</f>
        <v>モサプリドクエン酸塩散１％「日医工」</v>
      </c>
      <c r="H880" s="208">
        <f>match_results!D877</f>
        <v>128</v>
      </c>
      <c r="I880" s="218">
        <f>match_results!E877</f>
        <v>100</v>
      </c>
      <c r="J880" s="225" t="s">
        <v>3917</v>
      </c>
      <c r="K880" s="15">
        <f ca="1">IF($J880="〇",OFFSET(集計!B$3,合体!$H880,0),"")</f>
        <v>9.4</v>
      </c>
      <c r="L880" s="15">
        <f ca="1">IF($J880="〇",OFFSET(集計!C$3,合体!$H880,0),"")</f>
        <v>189</v>
      </c>
      <c r="M880" s="202">
        <f ca="1">IF($J880="〇",OFFSET(集計!D$3,合体!$H880,0),"")</f>
        <v>1776.6000000000001</v>
      </c>
    </row>
    <row r="881" spans="2:13" x14ac:dyDescent="0.2">
      <c r="B881" s="201">
        <f t="shared" si="13"/>
        <v>877</v>
      </c>
      <c r="C881" s="15" t="str">
        <f>薬品マスタリスト_20260130100542!A879</f>
        <v>モディオダール錠１００ｍｇ</v>
      </c>
      <c r="D881" s="15" t="str">
        <f>薬品マスタリスト_20260130100542!B879</f>
        <v>ﾓﾃﾞｲｵﾀﾞ-ﾙｼﾞﾖｳ100MG</v>
      </c>
      <c r="E881" s="15">
        <f>薬品マスタリスト_20260130100542!C879</f>
        <v>1</v>
      </c>
      <c r="F881" s="206" t="str">
        <f>薬品マスタリスト_20260130100542!D879</f>
        <v>錠剤</v>
      </c>
      <c r="G881" s="208" t="str">
        <f>match_results!C878</f>
        <v>セディール錠１０ｍｇ</v>
      </c>
      <c r="H881" s="208">
        <f>match_results!D878</f>
        <v>535</v>
      </c>
      <c r="I881" s="218">
        <f>match_results!E878</f>
        <v>78.260869565217305</v>
      </c>
      <c r="J881" s="225"/>
      <c r="K881" s="15" t="str">
        <f ca="1">IF($J881="〇",OFFSET(集計!B$3,合体!$H881,0),"")</f>
        <v/>
      </c>
      <c r="L881" s="15" t="str">
        <f ca="1">IF($J881="〇",OFFSET(集計!C$3,合体!$H881,0),"")</f>
        <v/>
      </c>
      <c r="M881" s="202" t="str">
        <f ca="1">IF($J881="〇",OFFSET(集計!D$3,合体!$H881,0),"")</f>
        <v/>
      </c>
    </row>
    <row r="882" spans="2:13" x14ac:dyDescent="0.2">
      <c r="B882" s="201">
        <f t="shared" si="13"/>
        <v>878</v>
      </c>
      <c r="C882" s="15" t="str">
        <f>薬品マスタリスト_20260130100542!A880</f>
        <v>モビコール配合内用剤ＬＤ</v>
      </c>
      <c r="D882" s="15" t="str">
        <f>薬品マスタリスト_20260130100542!B880</f>
        <v>ﾓﾋﾞｺｰﾙﾊｲｺﾞｳﾅｲﾖｳｻﾞｲLD</v>
      </c>
      <c r="E882" s="15">
        <f>薬品マスタリスト_20260130100542!C880</f>
        <v>3</v>
      </c>
      <c r="F882" s="206" t="str">
        <f>薬品マスタリスト_20260130100542!D880</f>
        <v>散</v>
      </c>
      <c r="G882" s="208" t="str">
        <f>match_results!C879</f>
        <v>モビコール配合内用剤ＬＤ</v>
      </c>
      <c r="H882" s="208">
        <f>match_results!D879</f>
        <v>440</v>
      </c>
      <c r="I882" s="218">
        <f>match_results!E879</f>
        <v>100</v>
      </c>
      <c r="J882" s="225" t="s">
        <v>3917</v>
      </c>
      <c r="K882" s="15">
        <f ca="1">IF($J882="〇",OFFSET(集計!B$3,合体!$H882,0),"")</f>
        <v>56.17</v>
      </c>
      <c r="L882" s="15">
        <f ca="1">IF($J882="〇",OFFSET(集計!C$3,合体!$H882,0),"")</f>
        <v>172</v>
      </c>
      <c r="M882" s="202">
        <f ca="1">IF($J882="〇",OFFSET(集計!D$3,合体!$H882,0),"")</f>
        <v>9661.24</v>
      </c>
    </row>
    <row r="883" spans="2:13" x14ac:dyDescent="0.2">
      <c r="B883" s="201">
        <f t="shared" si="13"/>
        <v>879</v>
      </c>
      <c r="C883" s="15" t="str">
        <f>薬品マスタリスト_20260130100542!A881</f>
        <v>モメタゾンフランカルボン酸エステル軟膏０．１％「ＭＹＫ」</v>
      </c>
      <c r="D883" s="15" t="str">
        <f>薬品マスタリスト_20260130100542!B881</f>
        <v>ﾓﾒﾀｿﾞﾝﾌﾗﾝｶﾙﾎﾞﾝｻﾝｴｽﾃﾙﾅﾝｺｳ0.1%｢MYK｣</v>
      </c>
      <c r="E883" s="15">
        <f>薬品マスタリスト_20260130100542!C881</f>
        <v>14</v>
      </c>
      <c r="F883" s="206" t="str">
        <f>薬品マスタリスト_20260130100542!D881</f>
        <v>軟膏</v>
      </c>
      <c r="G883" s="208" t="str">
        <f>match_results!C880</f>
        <v>ビダラビン軟膏３％「ＭＥＥＫ」　５ｇ／本</v>
      </c>
      <c r="H883" s="208">
        <f>match_results!D880</f>
        <v>170</v>
      </c>
      <c r="I883" s="218">
        <f>match_results!E880</f>
        <v>37.5</v>
      </c>
      <c r="J883" s="225"/>
      <c r="K883" s="15" t="str">
        <f ca="1">IF($J883="〇",OFFSET(集計!B$3,合体!$H883,0),"")</f>
        <v/>
      </c>
      <c r="L883" s="15" t="str">
        <f ca="1">IF($J883="〇",OFFSET(集計!C$3,合体!$H883,0),"")</f>
        <v/>
      </c>
      <c r="M883" s="202" t="str">
        <f ca="1">IF($J883="〇",OFFSET(集計!D$3,合体!$H883,0),"")</f>
        <v/>
      </c>
    </row>
    <row r="884" spans="2:13" x14ac:dyDescent="0.2">
      <c r="B884" s="201">
        <f t="shared" si="13"/>
        <v>880</v>
      </c>
      <c r="C884" s="15" t="str">
        <f>薬品マスタリスト_20260130100542!A882</f>
        <v>ユービット錠１００ｍｇ</v>
      </c>
      <c r="D884" s="15" t="str">
        <f>薬品マスタリスト_20260130100542!B882</f>
        <v>ﾕｰﾋﾞｯﾄｼﾞｮｳ100mg</v>
      </c>
      <c r="E884" s="15">
        <f>薬品マスタリスト_20260130100542!C882</f>
        <v>1</v>
      </c>
      <c r="F884" s="206" t="str">
        <f>薬品マスタリスト_20260130100542!D882</f>
        <v>錠剤</v>
      </c>
      <c r="G884" s="208" t="str">
        <f>match_results!C881</f>
        <v>ビムパット１００ｍｇ</v>
      </c>
      <c r="H884" s="208">
        <f>match_results!D881</f>
        <v>611</v>
      </c>
      <c r="I884" s="218">
        <f>match_results!E881</f>
        <v>76.190476190476105</v>
      </c>
      <c r="J884" s="225"/>
      <c r="K884" s="15" t="str">
        <f ca="1">IF($J884="〇",OFFSET(集計!B$3,合体!$H884,0),"")</f>
        <v/>
      </c>
      <c r="L884" s="15" t="str">
        <f ca="1">IF($J884="〇",OFFSET(集計!C$3,合体!$H884,0),"")</f>
        <v/>
      </c>
      <c r="M884" s="202" t="str">
        <f ca="1">IF($J884="〇",OFFSET(集計!D$3,合体!$H884,0),"")</f>
        <v/>
      </c>
    </row>
    <row r="885" spans="2:13" x14ac:dyDescent="0.2">
      <c r="B885" s="201">
        <f t="shared" si="13"/>
        <v>881</v>
      </c>
      <c r="C885" s="15" t="str">
        <f>薬品マスタリスト_20260130100542!A883</f>
        <v>ユベラＮソフトカプセル２００ｍｇ</v>
      </c>
      <c r="D885" s="15" t="str">
        <f>薬品マスタリスト_20260130100542!B883</f>
        <v>ﾕﾍﾞﾗNｿﾌﾄｶﾌﾟｾﾙ200mg</v>
      </c>
      <c r="E885" s="15">
        <f>薬品マスタリスト_20260130100542!C883</f>
        <v>2</v>
      </c>
      <c r="F885" s="206" t="str">
        <f>薬品マスタリスト_20260130100542!D883</f>
        <v>カプセル</v>
      </c>
      <c r="G885" s="208" t="str">
        <f>match_results!C882</f>
        <v>ユベラＮソフトカプセル２００ｍｇ</v>
      </c>
      <c r="H885" s="208">
        <f>match_results!D882</f>
        <v>279</v>
      </c>
      <c r="I885" s="218">
        <f>match_results!E882</f>
        <v>100</v>
      </c>
      <c r="J885" s="225" t="s">
        <v>3917</v>
      </c>
      <c r="K885" s="15">
        <f ca="1">IF($J885="〇",OFFSET(集計!B$3,合体!$H885,0),"")</f>
        <v>6.47</v>
      </c>
      <c r="L885" s="15">
        <f ca="1">IF($J885="〇",OFFSET(集計!C$3,合体!$H885,0),"")</f>
        <v>654.78260869565224</v>
      </c>
      <c r="M885" s="202">
        <f ca="1">IF($J885="〇",OFFSET(集計!D$3,合体!$H885,0),"")</f>
        <v>4236.4434782608696</v>
      </c>
    </row>
    <row r="886" spans="2:13" x14ac:dyDescent="0.2">
      <c r="B886" s="201">
        <f t="shared" si="13"/>
        <v>882</v>
      </c>
      <c r="C886" s="15" t="str">
        <f>薬品マスタリスト_20260130100542!A884</f>
        <v>ユリス錠１ｍｇ</v>
      </c>
      <c r="D886" s="15" t="str">
        <f>薬品マスタリスト_20260130100542!B884</f>
        <v>ﾕﾘｽｼﾞﾖｳ1MG</v>
      </c>
      <c r="E886" s="15">
        <f>薬品マスタリスト_20260130100542!C884</f>
        <v>1</v>
      </c>
      <c r="F886" s="206" t="str">
        <f>薬品マスタリスト_20260130100542!D884</f>
        <v>錠剤</v>
      </c>
      <c r="G886" s="208" t="str">
        <f>match_results!C883</f>
        <v>リスペリドン錠１ｍｇ</v>
      </c>
      <c r="H886" s="208">
        <f>match_results!D883</f>
        <v>514</v>
      </c>
      <c r="I886" s="218">
        <f>match_results!E883</f>
        <v>70.588235294117595</v>
      </c>
      <c r="J886" s="225"/>
      <c r="K886" s="15" t="str">
        <f ca="1">IF($J886="〇",OFFSET(集計!B$3,合体!$H886,0),"")</f>
        <v/>
      </c>
      <c r="L886" s="15" t="str">
        <f ca="1">IF($J886="〇",OFFSET(集計!C$3,合体!$H886,0),"")</f>
        <v/>
      </c>
      <c r="M886" s="202" t="str">
        <f ca="1">IF($J886="〇",OFFSET(集計!D$3,合体!$H886,0),"")</f>
        <v/>
      </c>
    </row>
    <row r="887" spans="2:13" x14ac:dyDescent="0.2">
      <c r="B887" s="201">
        <f t="shared" si="13"/>
        <v>883</v>
      </c>
      <c r="C887" s="15" t="str">
        <f>薬品マスタリスト_20260130100542!A885</f>
        <v>ユリス錠２ｍｇ</v>
      </c>
      <c r="D887" s="15" t="str">
        <f>薬品マスタリスト_20260130100542!B885</f>
        <v>ﾕﾘｽｼﾞﾖｳ2MG</v>
      </c>
      <c r="E887" s="15">
        <f>薬品マスタリスト_20260130100542!C885</f>
        <v>1</v>
      </c>
      <c r="F887" s="206" t="str">
        <f>薬品マスタリスト_20260130100542!D885</f>
        <v>錠剤</v>
      </c>
      <c r="G887" s="208" t="str">
        <f>match_results!C884</f>
        <v>リスミー錠２ｍｇ</v>
      </c>
      <c r="H887" s="208">
        <f>match_results!D884</f>
        <v>559</v>
      </c>
      <c r="I887" s="218">
        <f>match_results!E884</f>
        <v>80</v>
      </c>
      <c r="J887" s="225"/>
      <c r="K887" s="15" t="str">
        <f ca="1">IF($J887="〇",OFFSET(集計!B$3,合体!$H887,0),"")</f>
        <v/>
      </c>
      <c r="L887" s="15" t="str">
        <f ca="1">IF($J887="〇",OFFSET(集計!C$3,合体!$H887,0),"")</f>
        <v/>
      </c>
      <c r="M887" s="202" t="str">
        <f ca="1">IF($J887="〇",OFFSET(集計!D$3,合体!$H887,0),"")</f>
        <v/>
      </c>
    </row>
    <row r="888" spans="2:13" x14ac:dyDescent="0.2">
      <c r="B888" s="201">
        <f t="shared" si="13"/>
        <v>884</v>
      </c>
      <c r="C888" s="15" t="str">
        <f>薬品マスタリスト_20260130100542!A886</f>
        <v>ユリーフ錠４ｍｇ</v>
      </c>
      <c r="D888" s="15" t="str">
        <f>薬品マスタリスト_20260130100542!B886</f>
        <v>ﾕﾘｰﾌｼﾞｮｳ4mg</v>
      </c>
      <c r="E888" s="15">
        <f>薬品マスタリスト_20260130100542!C886</f>
        <v>1</v>
      </c>
      <c r="F888" s="206" t="str">
        <f>薬品マスタリスト_20260130100542!D886</f>
        <v>錠剤</v>
      </c>
      <c r="G888" s="208" t="str">
        <f>match_results!C885</f>
        <v>リーゼ錠５ｍｇ</v>
      </c>
      <c r="H888" s="208">
        <f>match_results!D885</f>
        <v>323</v>
      </c>
      <c r="I888" s="218">
        <f>match_results!E885</f>
        <v>66.6666666666666</v>
      </c>
      <c r="J888" s="225"/>
      <c r="K888" s="15" t="str">
        <f ca="1">IF($J888="〇",OFFSET(集計!B$3,合体!$H888,0),"")</f>
        <v/>
      </c>
      <c r="L888" s="15" t="str">
        <f ca="1">IF($J888="〇",OFFSET(集計!C$3,合体!$H888,0),"")</f>
        <v/>
      </c>
      <c r="M888" s="202" t="str">
        <f ca="1">IF($J888="〇",OFFSET(集計!D$3,合体!$H888,0),"")</f>
        <v/>
      </c>
    </row>
    <row r="889" spans="2:13" x14ac:dyDescent="0.2">
      <c r="B889" s="201">
        <f t="shared" si="13"/>
        <v>885</v>
      </c>
      <c r="C889" s="15" t="str">
        <f>薬品マスタリスト_20260130100542!A887</f>
        <v>ユーロジン２ｍｇ錠</v>
      </c>
      <c r="D889" s="15" t="str">
        <f>薬品マスタリスト_20260130100542!B887</f>
        <v>ﾕｰﾛｼﾞﾝ2mgｼﾞｮｳ</v>
      </c>
      <c r="E889" s="15">
        <f>薬品マスタリスト_20260130100542!C887</f>
        <v>1</v>
      </c>
      <c r="F889" s="206" t="str">
        <f>薬品マスタリスト_20260130100542!D887</f>
        <v>錠剤</v>
      </c>
      <c r="G889" s="208" t="str">
        <f>match_results!C886</f>
        <v>ユ－ロジン　２ＭＧ錠</v>
      </c>
      <c r="H889" s="208">
        <f>match_results!D886</f>
        <v>198</v>
      </c>
      <c r="I889" s="218">
        <f>match_results!E886</f>
        <v>63.157894736842103</v>
      </c>
      <c r="J889" s="225"/>
      <c r="K889" s="15" t="str">
        <f ca="1">IF($J889="〇",OFFSET(集計!B$3,合体!$H889,0),"")</f>
        <v/>
      </c>
      <c r="L889" s="15" t="str">
        <f ca="1">IF($J889="〇",OFFSET(集計!C$3,合体!$H889,0),"")</f>
        <v/>
      </c>
      <c r="M889" s="202" t="str">
        <f ca="1">IF($J889="〇",OFFSET(集計!D$3,合体!$H889,0),"")</f>
        <v/>
      </c>
    </row>
    <row r="890" spans="2:13" x14ac:dyDescent="0.2">
      <c r="B890" s="201">
        <f t="shared" si="13"/>
        <v>886</v>
      </c>
      <c r="C890" s="15" t="str">
        <f>薬品マスタリスト_20260130100542!A888</f>
        <v>ヨウ化カリウム丸５０ｍｇ「日医工」</v>
      </c>
      <c r="D890" s="15" t="str">
        <f>薬品マスタリスト_20260130100542!B888</f>
        <v>ﾖｳｶｶﾘｳﾑｶﾞﾝ50MGﾆﾁｲｺｳ</v>
      </c>
      <c r="E890" s="15">
        <f>薬品マスタリスト_20260130100542!C888</f>
        <v>1</v>
      </c>
      <c r="F890" s="206" t="str">
        <f>薬品マスタリスト_20260130100542!D888</f>
        <v>錠剤</v>
      </c>
      <c r="G890" s="208" t="str">
        <f>match_results!C887</f>
        <v>アスパラカリウム錠３００ｍｇ</v>
      </c>
      <c r="H890" s="208">
        <f>match_results!D887</f>
        <v>309</v>
      </c>
      <c r="I890" s="218">
        <f>match_results!E887</f>
        <v>45.161290322580598</v>
      </c>
      <c r="J890" s="225"/>
      <c r="K890" s="15" t="str">
        <f ca="1">IF($J890="〇",OFFSET(集計!B$3,合体!$H890,0),"")</f>
        <v/>
      </c>
      <c r="L890" s="15" t="str">
        <f ca="1">IF($J890="〇",OFFSET(集計!C$3,合体!$H890,0),"")</f>
        <v/>
      </c>
      <c r="M890" s="202" t="str">
        <f ca="1">IF($J890="〇",OFFSET(集計!D$3,合体!$H890,0),"")</f>
        <v/>
      </c>
    </row>
    <row r="891" spans="2:13" x14ac:dyDescent="0.2">
      <c r="B891" s="201">
        <f t="shared" si="13"/>
        <v>887</v>
      </c>
      <c r="C891" s="15" t="str">
        <f>薬品マスタリスト_20260130100542!A889</f>
        <v>ヨクイニンエキス錠「コタロー」</v>
      </c>
      <c r="D891" s="15" t="str">
        <f>薬品マスタリスト_20260130100542!B889</f>
        <v>ﾖｸｲﾆﾝｴｷｽｼﾞﾖｳｺﾀﾛ-</v>
      </c>
      <c r="E891" s="15">
        <f>薬品マスタリスト_20260130100542!C889</f>
        <v>1</v>
      </c>
      <c r="F891" s="206" t="str">
        <f>薬品マスタリスト_20260130100542!D889</f>
        <v>錠剤</v>
      </c>
      <c r="G891" s="208" t="str">
        <f>match_results!C888</f>
        <v>ゾピクロン錠７．５ｍｇ「トーワ」</v>
      </c>
      <c r="H891" s="208">
        <f>match_results!D888</f>
        <v>160</v>
      </c>
      <c r="I891" s="218">
        <f>match_results!E888</f>
        <v>38.709677419354797</v>
      </c>
      <c r="J891" s="225"/>
      <c r="K891" s="15" t="str">
        <f ca="1">IF($J891="〇",OFFSET(集計!B$3,合体!$H891,0),"")</f>
        <v/>
      </c>
      <c r="L891" s="15" t="str">
        <f ca="1">IF($J891="〇",OFFSET(集計!C$3,合体!$H891,0),"")</f>
        <v/>
      </c>
      <c r="M891" s="202" t="str">
        <f ca="1">IF($J891="〇",OFFSET(集計!D$3,合体!$H891,0),"")</f>
        <v/>
      </c>
    </row>
    <row r="892" spans="2:13" x14ac:dyDescent="0.2">
      <c r="B892" s="201">
        <f t="shared" si="13"/>
        <v>888</v>
      </c>
      <c r="C892" s="15" t="str">
        <f>薬品マスタリスト_20260130100542!A890</f>
        <v>ラクツロースシロップ６５％「タカタ」</v>
      </c>
      <c r="D892" s="15" t="str">
        <f>薬品マスタリスト_20260130100542!B890</f>
        <v>ﾗｸﾂﾛｰｽｼﾛｯﾌﾟ65%｢ﾀｶﾀ｣</v>
      </c>
      <c r="E892" s="15">
        <f>薬品マスタリスト_20260130100542!C890</f>
        <v>6</v>
      </c>
      <c r="F892" s="206" t="str">
        <f>薬品マスタリスト_20260130100542!D890</f>
        <v>シロップ</v>
      </c>
      <c r="G892" s="208" t="str">
        <f>match_results!C889</f>
        <v>ラクツロースシロップ</v>
      </c>
      <c r="H892" s="208">
        <f>match_results!D889</f>
        <v>153</v>
      </c>
      <c r="I892" s="218">
        <f>match_results!E889</f>
        <v>71.428571428571402</v>
      </c>
      <c r="J892" s="225"/>
      <c r="K892" s="15" t="str">
        <f ca="1">IF($J892="〇",OFFSET(集計!B$3,合体!$H892,0),"")</f>
        <v/>
      </c>
      <c r="L892" s="15" t="str">
        <f ca="1">IF($J892="〇",OFFSET(集計!C$3,合体!$H892,0),"")</f>
        <v/>
      </c>
      <c r="M892" s="202" t="str">
        <f ca="1">IF($J892="〇",OFFSET(集計!D$3,合体!$H892,0),"")</f>
        <v/>
      </c>
    </row>
    <row r="893" spans="2:13" x14ac:dyDescent="0.2">
      <c r="B893" s="201">
        <f t="shared" si="13"/>
        <v>889</v>
      </c>
      <c r="C893" s="15" t="str">
        <f>薬品マスタリスト_20260130100542!A891</f>
        <v>ラゲブリオカプセル２００ｍｇ</v>
      </c>
      <c r="D893" s="15" t="str">
        <f>薬品マスタリスト_20260130100542!B891</f>
        <v>ﾗｹﾞﾌﾞﾘｵｶﾌﾟｾﾙ200mg</v>
      </c>
      <c r="E893" s="15">
        <f>薬品マスタリスト_20260130100542!C891</f>
        <v>2</v>
      </c>
      <c r="F893" s="206" t="str">
        <f>薬品マスタリスト_20260130100542!D891</f>
        <v>カプセル</v>
      </c>
      <c r="G893" s="208" t="str">
        <f>match_results!C890</f>
        <v>ラゲブリオカプセル２００ｍｇ</v>
      </c>
      <c r="H893" s="208">
        <f>match_results!D890</f>
        <v>650</v>
      </c>
      <c r="I893" s="218">
        <f>match_results!E890</f>
        <v>100</v>
      </c>
      <c r="J893" s="225" t="s">
        <v>3917</v>
      </c>
      <c r="K893" s="15">
        <f ca="1">IF($J893="〇",OFFSET(集計!B$3,合体!$H893,0),"")</f>
        <v>77149</v>
      </c>
      <c r="L893" s="15">
        <f ca="1">IF($J893="〇",OFFSET(集計!C$3,合体!$H893,0),"")</f>
        <v>1</v>
      </c>
      <c r="M893" s="202">
        <f ca="1">IF($J893="〇",OFFSET(集計!D$3,合体!$H893,0),"")</f>
        <v>77149</v>
      </c>
    </row>
    <row r="894" spans="2:13" x14ac:dyDescent="0.2">
      <c r="B894" s="201">
        <f t="shared" si="13"/>
        <v>890</v>
      </c>
      <c r="C894" s="15" t="str">
        <f>薬品マスタリスト_20260130100542!A892</f>
        <v>ラコサミド錠５０ｍｇ「ＪＧ」</v>
      </c>
      <c r="D894" s="15" t="str">
        <f>薬品マスタリスト_20260130100542!B892</f>
        <v>ﾗｺｻﾐﾄﾞｼﾞﾖｳ50MGJG</v>
      </c>
      <c r="E894" s="15">
        <f>薬品マスタリスト_20260130100542!C892</f>
        <v>1</v>
      </c>
      <c r="F894" s="206" t="str">
        <f>薬品マスタリスト_20260130100542!D892</f>
        <v>錠剤</v>
      </c>
      <c r="G894" s="208" t="str">
        <f>match_results!C891</f>
        <v>テトラミド錠１０ｍｇ　</v>
      </c>
      <c r="H894" s="208">
        <f>match_results!D891</f>
        <v>115</v>
      </c>
      <c r="I894" s="218">
        <f>match_results!E891</f>
        <v>58.3333333333333</v>
      </c>
      <c r="J894" s="225"/>
      <c r="K894" s="15" t="str">
        <f ca="1">IF($J894="〇",OFFSET(集計!B$3,合体!$H894,0),"")</f>
        <v/>
      </c>
      <c r="L894" s="15" t="str">
        <f ca="1">IF($J894="〇",OFFSET(集計!C$3,合体!$H894,0),"")</f>
        <v/>
      </c>
      <c r="M894" s="202" t="str">
        <f ca="1">IF($J894="〇",OFFSET(集計!D$3,合体!$H894,0),"")</f>
        <v/>
      </c>
    </row>
    <row r="895" spans="2:13" x14ac:dyDescent="0.2">
      <c r="B895" s="201">
        <f t="shared" si="13"/>
        <v>891</v>
      </c>
      <c r="C895" s="15" t="str">
        <f>薬品マスタリスト_20260130100542!A893</f>
        <v>ラコールＮＦ配合経腸用半固形剤</v>
      </c>
      <c r="D895" s="15" t="str">
        <f>薬品マスタリスト_20260130100542!B893</f>
        <v>ﾗｺｰﾙNFﾊｲｺﾞｳｹｲﾁｮｳﾖｳ半固形ｻﾞｲ</v>
      </c>
      <c r="E895" s="15">
        <f>薬品マスタリスト_20260130100542!C893</f>
        <v>24</v>
      </c>
      <c r="F895" s="206" t="str">
        <f>薬品マスタリスト_20260130100542!D893</f>
        <v>その他</v>
      </c>
      <c r="G895" s="208" t="str">
        <f>match_results!C892</f>
        <v>ラコールＮＦ配合経腸用半固形剤</v>
      </c>
      <c r="H895" s="208">
        <f>match_results!D892</f>
        <v>185</v>
      </c>
      <c r="I895" s="218">
        <f>match_results!E892</f>
        <v>100</v>
      </c>
      <c r="J895" s="225" t="s">
        <v>3917</v>
      </c>
      <c r="K895" s="15">
        <f ca="1">IF($J895="〇",OFFSET(集計!B$3,合体!$H895,0),"")</f>
        <v>288</v>
      </c>
      <c r="L895" s="15">
        <f ca="1">IF($J895="〇",OFFSET(集計!C$3,合体!$H895,0),"")</f>
        <v>9</v>
      </c>
      <c r="M895" s="202">
        <f ca="1">IF($J895="〇",OFFSET(集計!D$3,合体!$H895,0),"")</f>
        <v>2592</v>
      </c>
    </row>
    <row r="896" spans="2:13" x14ac:dyDescent="0.2">
      <c r="B896" s="201">
        <f t="shared" si="13"/>
        <v>892</v>
      </c>
      <c r="C896" s="15" t="str">
        <f>薬品マスタリスト_20260130100542!A894</f>
        <v>ラコールＮＦ配合経腸用液【ミルク】</v>
      </c>
      <c r="D896" s="15" t="str">
        <f>薬品マスタリスト_20260130100542!B894</f>
        <v>ﾗｺｰﾙNFﾊｲｺﾞｳｹｲﾁｮｳﾖｳｴｷ</v>
      </c>
      <c r="E896" s="15">
        <f>薬品マスタリスト_20260130100542!C894</f>
        <v>7</v>
      </c>
      <c r="F896" s="206" t="str">
        <f>薬品マスタリスト_20260130100542!D894</f>
        <v>液（内用）</v>
      </c>
      <c r="G896" s="208" t="str">
        <f>match_results!C893</f>
        <v>ラコールＮＦ配合経腸用半固形剤</v>
      </c>
      <c r="H896" s="208">
        <f>match_results!D893</f>
        <v>185</v>
      </c>
      <c r="I896" s="218">
        <f>match_results!E893</f>
        <v>68.75</v>
      </c>
      <c r="J896" s="225"/>
      <c r="K896" s="15" t="str">
        <f ca="1">IF($J896="〇",OFFSET(集計!B$3,合体!$H896,0),"")</f>
        <v/>
      </c>
      <c r="L896" s="15" t="str">
        <f ca="1">IF($J896="〇",OFFSET(集計!C$3,合体!$H896,0),"")</f>
        <v/>
      </c>
      <c r="M896" s="202" t="str">
        <f ca="1">IF($J896="〇",OFFSET(集計!D$3,合体!$H896,0),"")</f>
        <v/>
      </c>
    </row>
    <row r="897" spans="2:13" x14ac:dyDescent="0.2">
      <c r="B897" s="201">
        <f t="shared" si="13"/>
        <v>893</v>
      </c>
      <c r="C897" s="15" t="str">
        <f>薬品マスタリスト_20260130100542!A895</f>
        <v>ラコールＮＦ配合経腸用液【コーヒー】</v>
      </c>
      <c r="D897" s="15" t="str">
        <f>薬品マスタリスト_20260130100542!B895</f>
        <v>ﾗｺｰﾙNFﾊｲｺﾞｳｹｲﾁｮｳﾖｳｴｷ</v>
      </c>
      <c r="E897" s="15">
        <f>薬品マスタリスト_20260130100542!C895</f>
        <v>7</v>
      </c>
      <c r="F897" s="206" t="str">
        <f>薬品マスタリスト_20260130100542!D895</f>
        <v>液（内用）</v>
      </c>
      <c r="G897" s="208" t="str">
        <f>match_results!C894</f>
        <v>ラコールＮＦ配合経腸用半固形剤</v>
      </c>
      <c r="H897" s="208">
        <f>match_results!D894</f>
        <v>185</v>
      </c>
      <c r="I897" s="218">
        <f>match_results!E894</f>
        <v>66.6666666666666</v>
      </c>
      <c r="J897" s="225"/>
      <c r="K897" s="15" t="str">
        <f ca="1">IF($J897="〇",OFFSET(集計!B$3,合体!$H897,0),"")</f>
        <v/>
      </c>
      <c r="L897" s="15" t="str">
        <f ca="1">IF($J897="〇",OFFSET(集計!C$3,合体!$H897,0),"")</f>
        <v/>
      </c>
      <c r="M897" s="202" t="str">
        <f ca="1">IF($J897="〇",OFFSET(集計!D$3,合体!$H897,0),"")</f>
        <v/>
      </c>
    </row>
    <row r="898" spans="2:13" x14ac:dyDescent="0.2">
      <c r="B898" s="201">
        <f t="shared" si="13"/>
        <v>894</v>
      </c>
      <c r="C898" s="15" t="str">
        <f>薬品マスタリスト_20260130100542!A896</f>
        <v>ラジカット内用懸濁液２．１％</v>
      </c>
      <c r="D898" s="15" t="str">
        <f>薬品マスタリスト_20260130100542!B896</f>
        <v>ﾗｼﾞｶﾂﾄﾅｲﾖｳｹﾝﾀﾞｸｴｷ2.1%</v>
      </c>
      <c r="E898" s="15">
        <f>薬品マスタリスト_20260130100542!C896</f>
        <v>7</v>
      </c>
      <c r="F898" s="206" t="str">
        <f>薬品マスタリスト_20260130100542!D896</f>
        <v>液（内用）</v>
      </c>
      <c r="G898" s="208" t="str">
        <f>match_results!C895</f>
        <v>エイゾプト懸濁性点眼液１％　５ｍＬＸ１０</v>
      </c>
      <c r="H898" s="208">
        <f>match_results!D895</f>
        <v>450</v>
      </c>
      <c r="I898" s="218">
        <f>match_results!E895</f>
        <v>35.294117647058798</v>
      </c>
      <c r="J898" s="225"/>
      <c r="K898" s="15" t="str">
        <f ca="1">IF($J898="〇",OFFSET(集計!B$3,合体!$H898,0),"")</f>
        <v/>
      </c>
      <c r="L898" s="15" t="str">
        <f ca="1">IF($J898="〇",OFFSET(集計!C$3,合体!$H898,0),"")</f>
        <v/>
      </c>
      <c r="M898" s="202" t="str">
        <f ca="1">IF($J898="〇",OFFSET(集計!D$3,合体!$H898,0),"")</f>
        <v/>
      </c>
    </row>
    <row r="899" spans="2:13" x14ac:dyDescent="0.2">
      <c r="B899" s="201">
        <f t="shared" si="13"/>
        <v>895</v>
      </c>
      <c r="C899" s="15" t="str">
        <f>薬品マスタリスト_20260130100542!A897</f>
        <v>ラスビック点滴静注キット１５０ｍｇ</v>
      </c>
      <c r="D899" s="15" t="str">
        <f>薬品マスタリスト_20260130100542!B897</f>
        <v>ﾗｽﾋﾞﾂｸﾃﾝﾃｷｼﾞﾖｳﾁﾕｳｷﾂﾄ150MG</v>
      </c>
      <c r="E899" s="15">
        <f>薬品マスタリスト_20260130100542!C897</f>
        <v>25</v>
      </c>
      <c r="F899" s="206" t="str">
        <f>薬品マスタリスト_20260130100542!D897</f>
        <v>注射剤</v>
      </c>
      <c r="G899" s="208" t="str">
        <f>match_results!C896</f>
        <v>ラスビック点滴静注キット１５０ｍｇ</v>
      </c>
      <c r="H899" s="208">
        <f>match_results!D896</f>
        <v>545</v>
      </c>
      <c r="I899" s="218">
        <f>match_results!E896</f>
        <v>100</v>
      </c>
      <c r="J899" s="225" t="s">
        <v>3917</v>
      </c>
      <c r="K899" s="15">
        <f ca="1">IF($J899="〇",OFFSET(集計!B$3,合体!$H899,0),"")</f>
        <v>3531</v>
      </c>
      <c r="L899" s="15">
        <f ca="1">IF($J899="〇",OFFSET(集計!C$3,合体!$H899,0),"")</f>
        <v>6</v>
      </c>
      <c r="M899" s="202">
        <f ca="1">IF($J899="〇",OFFSET(集計!D$3,合体!$H899,0),"")</f>
        <v>21186</v>
      </c>
    </row>
    <row r="900" spans="2:13" x14ac:dyDescent="0.2">
      <c r="B900" s="201">
        <f t="shared" si="13"/>
        <v>896</v>
      </c>
      <c r="C900" s="15" t="str">
        <f>薬品マスタリスト_20260130100542!A898</f>
        <v>ラタノプロスト点眼液０．００５％「サワイ」</v>
      </c>
      <c r="D900" s="15" t="str">
        <f>薬品マスタリスト_20260130100542!B898</f>
        <v>ﾗﾀﾉﾌﾟﾛｽﾄﾃﾝｶﾞﾝｴｷ0.005%｢ｻﾜｲ｣</v>
      </c>
      <c r="E900" s="15">
        <f>薬品マスタリスト_20260130100542!C898</f>
        <v>21</v>
      </c>
      <c r="F900" s="206" t="str">
        <f>薬品マスタリスト_20260130100542!D898</f>
        <v>点眼剤</v>
      </c>
      <c r="G900" s="208" t="str">
        <f>match_results!C897</f>
        <v>ラタノプロスト点眼液０．００５％「ニットー」２．５ｍｌ／本</v>
      </c>
      <c r="H900" s="208">
        <f>match_results!D897</f>
        <v>214</v>
      </c>
      <c r="I900" s="218">
        <f>match_results!E897</f>
        <v>72</v>
      </c>
      <c r="J900" s="225"/>
      <c r="K900" s="15" t="str">
        <f ca="1">IF($J900="〇",OFFSET(集計!B$3,合体!$H900,0),"")</f>
        <v/>
      </c>
      <c r="L900" s="15" t="str">
        <f ca="1">IF($J900="〇",OFFSET(集計!C$3,合体!$H900,0),"")</f>
        <v/>
      </c>
      <c r="M900" s="202" t="str">
        <f ca="1">IF($J900="〇",OFFSET(集計!D$3,合体!$H900,0),"")</f>
        <v/>
      </c>
    </row>
    <row r="901" spans="2:13" x14ac:dyDescent="0.2">
      <c r="B901" s="201">
        <f t="shared" si="13"/>
        <v>897</v>
      </c>
      <c r="C901" s="15" t="str">
        <f>薬品マスタリスト_20260130100542!A899</f>
        <v>ラタノプロスト点眼液０．００５％「ニットー」</v>
      </c>
      <c r="D901" s="15" t="str">
        <f>薬品マスタリスト_20260130100542!B899</f>
        <v>ﾗﾀﾉﾌﾟﾛｽﾄﾃﾝｶﾞﾝｴｷ0.005%ﾆﾂﾄ-</v>
      </c>
      <c r="E901" s="15">
        <f>薬品マスタリスト_20260130100542!C899</f>
        <v>21</v>
      </c>
      <c r="F901" s="206" t="str">
        <f>薬品マスタリスト_20260130100542!D899</f>
        <v>点眼剤</v>
      </c>
      <c r="G901" s="208" t="str">
        <f>match_results!C898</f>
        <v>ラタノプロスト点眼液０．００５％「ニットー」２．５ｍｌ／本</v>
      </c>
      <c r="H901" s="208">
        <f>match_results!D898</f>
        <v>214</v>
      </c>
      <c r="I901" s="218">
        <f>match_results!E898</f>
        <v>86.274509803921504</v>
      </c>
      <c r="J901" s="225"/>
      <c r="K901" s="15" t="str">
        <f ca="1">IF($J901="〇",OFFSET(集計!B$3,合体!$H901,0),"")</f>
        <v/>
      </c>
      <c r="L901" s="15" t="str">
        <f ca="1">IF($J901="〇",OFFSET(集計!C$3,合体!$H901,0),"")</f>
        <v/>
      </c>
      <c r="M901" s="202" t="str">
        <f ca="1">IF($J901="〇",OFFSET(集計!D$3,合体!$H901,0),"")</f>
        <v/>
      </c>
    </row>
    <row r="902" spans="2:13" x14ac:dyDescent="0.2">
      <c r="B902" s="201">
        <f t="shared" si="13"/>
        <v>898</v>
      </c>
      <c r="C902" s="15" t="str">
        <f>薬品マスタリスト_20260130100542!A900</f>
        <v>ラタノプロスト点眼液０．００５％「センジュ」</v>
      </c>
      <c r="D902" s="15" t="str">
        <f>薬品マスタリスト_20260130100542!B900</f>
        <v>ﾗﾀﾉﾌﾟﾛｽﾄﾃﾝｶﾞﾝｴｷ0.005%ｾﾝｼﾞﾕ</v>
      </c>
      <c r="E902" s="15">
        <f>薬品マスタリスト_20260130100542!C900</f>
        <v>21</v>
      </c>
      <c r="F902" s="206" t="str">
        <f>薬品マスタリスト_20260130100542!D900</f>
        <v>点眼剤</v>
      </c>
      <c r="G902" s="208" t="str">
        <f>match_results!C899</f>
        <v>ラタノプロスト点眼液０．００５％「ニットー」２．５ｍｌ／本</v>
      </c>
      <c r="H902" s="208">
        <f>match_results!D899</f>
        <v>214</v>
      </c>
      <c r="I902" s="218">
        <f>match_results!E899</f>
        <v>70.588235294117595</v>
      </c>
      <c r="J902" s="225"/>
      <c r="K902" s="15" t="str">
        <f ca="1">IF($J902="〇",OFFSET(集計!B$3,合体!$H902,0),"")</f>
        <v/>
      </c>
      <c r="L902" s="15" t="str">
        <f ca="1">IF($J902="〇",OFFSET(集計!C$3,合体!$H902,0),"")</f>
        <v/>
      </c>
      <c r="M902" s="202" t="str">
        <f ca="1">IF($J902="〇",OFFSET(集計!D$3,合体!$H902,0),"")</f>
        <v/>
      </c>
    </row>
    <row r="903" spans="2:13" x14ac:dyDescent="0.2">
      <c r="B903" s="201">
        <f t="shared" ref="B903:B966" si="14">B902+1</f>
        <v>899</v>
      </c>
      <c r="C903" s="15" t="str">
        <f>薬品マスタリスト_20260130100542!A901</f>
        <v>ラツーダ錠２０ｍｇ</v>
      </c>
      <c r="D903" s="15" t="str">
        <f>薬品マスタリスト_20260130100542!B901</f>
        <v>ﾗﾂｰﾀﾞｼﾞｮｳ20mg</v>
      </c>
      <c r="E903" s="15">
        <f>薬品マスタリスト_20260130100542!C901</f>
        <v>1</v>
      </c>
      <c r="F903" s="206" t="str">
        <f>薬品マスタリスト_20260130100542!D901</f>
        <v>錠剤</v>
      </c>
      <c r="G903" s="208" t="str">
        <f>match_results!C900</f>
        <v>ラツーダ錠２０ｍｇ</v>
      </c>
      <c r="H903" s="208">
        <f>match_results!D900</f>
        <v>643</v>
      </c>
      <c r="I903" s="218">
        <f>match_results!E900</f>
        <v>100</v>
      </c>
      <c r="J903" s="225" t="s">
        <v>3917</v>
      </c>
      <c r="K903" s="15">
        <f ca="1">IF($J903="〇",OFFSET(集計!B$3,合体!$H903,0),"")</f>
        <v>143.27000000000001</v>
      </c>
      <c r="L903" s="15">
        <f ca="1">IF($J903="〇",OFFSET(集計!C$3,合体!$H903,0),"")</f>
        <v>476</v>
      </c>
      <c r="M903" s="202">
        <f ca="1">IF($J903="〇",OFFSET(集計!D$3,合体!$H903,0),"")</f>
        <v>68196.52</v>
      </c>
    </row>
    <row r="904" spans="2:13" x14ac:dyDescent="0.2">
      <c r="B904" s="201">
        <f t="shared" si="14"/>
        <v>900</v>
      </c>
      <c r="C904" s="15" t="str">
        <f>薬品マスタリスト_20260130100542!A902</f>
        <v>ラツーダ錠４０ｍｇ</v>
      </c>
      <c r="D904" s="15" t="str">
        <f>薬品マスタリスト_20260130100542!B902</f>
        <v>ﾗﾂｰﾀﾞｼﾞｮｳ40mg</v>
      </c>
      <c r="E904" s="15">
        <f>薬品マスタリスト_20260130100542!C902</f>
        <v>1</v>
      </c>
      <c r="F904" s="206" t="str">
        <f>薬品マスタリスト_20260130100542!D902</f>
        <v>錠剤</v>
      </c>
      <c r="G904" s="208" t="str">
        <f>match_results!C901</f>
        <v>ラツーダ錠４０ｍｇ</v>
      </c>
      <c r="H904" s="208">
        <f>match_results!D901</f>
        <v>669</v>
      </c>
      <c r="I904" s="218">
        <f>match_results!E901</f>
        <v>100</v>
      </c>
      <c r="J904" s="225" t="s">
        <v>3917</v>
      </c>
      <c r="K904" s="15">
        <f ca="1">IF($J904="〇",OFFSET(集計!B$3,合体!$H904,0),"")</f>
        <v>265.98</v>
      </c>
      <c r="L904" s="15">
        <f ca="1">IF($J904="〇",OFFSET(集計!C$3,合体!$H904,0),"")</f>
        <v>2171.4705882352941</v>
      </c>
      <c r="M904" s="202">
        <f ca="1">IF($J904="〇",OFFSET(集計!D$3,合体!$H904,0),"")</f>
        <v>577567.74705882359</v>
      </c>
    </row>
    <row r="905" spans="2:13" x14ac:dyDescent="0.2">
      <c r="B905" s="201">
        <f t="shared" si="14"/>
        <v>901</v>
      </c>
      <c r="C905" s="15" t="str">
        <f>薬品マスタリスト_20260130100542!A903</f>
        <v>ラピアクタ点滴静注液バッグ３００ｍｇ</v>
      </c>
      <c r="D905" s="15" t="str">
        <f>薬品マスタリスト_20260130100542!B903</f>
        <v>ﾗﾋﾟｱｸﾀﾃﾝﾃｷｼﾞｮｳﾁｭｳｴｷﾊﾞｯｸﾞ300mg</v>
      </c>
      <c r="E905" s="15">
        <f>薬品マスタリスト_20260130100542!C903</f>
        <v>25</v>
      </c>
      <c r="F905" s="206" t="str">
        <f>薬品マスタリスト_20260130100542!D903</f>
        <v>注射剤</v>
      </c>
      <c r="G905" s="208" t="str">
        <f>match_results!C902</f>
        <v>ラスビック点滴静注キット１５０ｍｇ</v>
      </c>
      <c r="H905" s="208">
        <f>match_results!D902</f>
        <v>545</v>
      </c>
      <c r="I905" s="218">
        <f>match_results!E902</f>
        <v>57.142857142857103</v>
      </c>
      <c r="J905" s="225"/>
      <c r="K905" s="15" t="str">
        <f ca="1">IF($J905="〇",OFFSET(集計!B$3,合体!$H905,0),"")</f>
        <v/>
      </c>
      <c r="L905" s="15" t="str">
        <f ca="1">IF($J905="〇",OFFSET(集計!C$3,合体!$H905,0),"")</f>
        <v/>
      </c>
      <c r="M905" s="202" t="str">
        <f ca="1">IF($J905="〇",OFFSET(集計!D$3,合体!$H905,0),"")</f>
        <v/>
      </c>
    </row>
    <row r="906" spans="2:13" x14ac:dyDescent="0.2">
      <c r="B906" s="201">
        <f t="shared" si="14"/>
        <v>902</v>
      </c>
      <c r="C906" s="15" t="str">
        <f>薬品マスタリスト_20260130100542!A904</f>
        <v>ラメルテオン錠８ｍｇ「トーワ」</v>
      </c>
      <c r="D906" s="15" t="str">
        <f>薬品マスタリスト_20260130100542!B904</f>
        <v>ﾗﾒﾙﾃｵﾝｼﾞｮｳ8mg｢ﾄｰﾜ｣</v>
      </c>
      <c r="E906" s="15">
        <f>薬品マスタリスト_20260130100542!C904</f>
        <v>1</v>
      </c>
      <c r="F906" s="206" t="str">
        <f>薬品マスタリスト_20260130100542!D904</f>
        <v>錠剤</v>
      </c>
      <c r="G906" s="208" t="str">
        <f>match_results!C903</f>
        <v>ラメルテオン錠</v>
      </c>
      <c r="H906" s="208">
        <f>match_results!D903</f>
        <v>530</v>
      </c>
      <c r="I906" s="218">
        <f>match_results!E903</f>
        <v>63.636363636363598</v>
      </c>
      <c r="J906" s="225"/>
      <c r="K906" s="15" t="str">
        <f ca="1">IF($J906="〇",OFFSET(集計!B$3,合体!$H906,0),"")</f>
        <v/>
      </c>
      <c r="L906" s="15" t="str">
        <f ca="1">IF($J906="〇",OFFSET(集計!C$3,合体!$H906,0),"")</f>
        <v/>
      </c>
      <c r="M906" s="202" t="str">
        <f ca="1">IF($J906="〇",OFFSET(集計!D$3,合体!$H906,0),"")</f>
        <v/>
      </c>
    </row>
    <row r="907" spans="2:13" x14ac:dyDescent="0.2">
      <c r="B907" s="201">
        <f t="shared" si="14"/>
        <v>903</v>
      </c>
      <c r="C907" s="15" t="str">
        <f>薬品マスタリスト_20260130100542!A905</f>
        <v>ラモトリギン錠２５ｍｇ「トーワ」</v>
      </c>
      <c r="D907" s="15" t="str">
        <f>薬品マスタリスト_20260130100542!B905</f>
        <v>ﾗﾓﾄﾘｷﾞﾝｼﾞｮｳ25mg｢ﾄｰﾜ｣</v>
      </c>
      <c r="E907" s="15">
        <f>薬品マスタリスト_20260130100542!C905</f>
        <v>1</v>
      </c>
      <c r="F907" s="206" t="str">
        <f>薬品マスタリスト_20260130100542!D905</f>
        <v>錠剤</v>
      </c>
      <c r="G907" s="208" t="str">
        <f>match_results!C904</f>
        <v>ラモトリギン錠２５ｍｇ</v>
      </c>
      <c r="H907" s="208">
        <f>match_results!D904</f>
        <v>263</v>
      </c>
      <c r="I907" s="218">
        <f>match_results!E904</f>
        <v>81.481481481481495</v>
      </c>
      <c r="J907" s="225"/>
      <c r="K907" s="15" t="str">
        <f ca="1">IF($J907="〇",OFFSET(集計!B$3,合体!$H907,0),"")</f>
        <v/>
      </c>
      <c r="L907" s="15" t="str">
        <f ca="1">IF($J907="〇",OFFSET(集計!C$3,合体!$H907,0),"")</f>
        <v/>
      </c>
      <c r="M907" s="202" t="str">
        <f ca="1">IF($J907="〇",OFFSET(集計!D$3,合体!$H907,0),"")</f>
        <v/>
      </c>
    </row>
    <row r="908" spans="2:13" x14ac:dyDescent="0.2">
      <c r="B908" s="201">
        <f t="shared" si="14"/>
        <v>904</v>
      </c>
      <c r="C908" s="15" t="str">
        <f>薬品マスタリスト_20260130100542!A906</f>
        <v>ラモトリギン錠１００ｍｇ「トーワ」</v>
      </c>
      <c r="D908" s="15" t="str">
        <f>薬品マスタリスト_20260130100542!B906</f>
        <v>ﾗﾓﾄﾘｷﾞﾝｼﾞｮｳ100mg｢ﾄｰﾜ｣</v>
      </c>
      <c r="E908" s="15">
        <f>薬品マスタリスト_20260130100542!C906</f>
        <v>1</v>
      </c>
      <c r="F908" s="206" t="str">
        <f>薬品マスタリスト_20260130100542!D906</f>
        <v>錠剤</v>
      </c>
      <c r="G908" s="208" t="str">
        <f>match_results!C905</f>
        <v>ラモトリギン錠１００ｍｇ</v>
      </c>
      <c r="H908" s="208">
        <f>match_results!D905</f>
        <v>484</v>
      </c>
      <c r="I908" s="218">
        <f>match_results!E905</f>
        <v>82.758620689655103</v>
      </c>
      <c r="J908" s="225"/>
      <c r="K908" s="15" t="str">
        <f ca="1">IF($J908="〇",OFFSET(集計!B$3,合体!$H908,0),"")</f>
        <v/>
      </c>
      <c r="L908" s="15" t="str">
        <f ca="1">IF($J908="〇",OFFSET(集計!C$3,合体!$H908,0),"")</f>
        <v/>
      </c>
      <c r="M908" s="202" t="str">
        <f ca="1">IF($J908="〇",OFFSET(集計!D$3,合体!$H908,0),"")</f>
        <v/>
      </c>
    </row>
    <row r="909" spans="2:13" x14ac:dyDescent="0.2">
      <c r="B909" s="201">
        <f t="shared" si="14"/>
        <v>905</v>
      </c>
      <c r="C909" s="15" t="str">
        <f>薬品マスタリスト_20260130100542!A907</f>
        <v>ランソプラゾールＯＤ錠１５ｍｇ「トーワ」</v>
      </c>
      <c r="D909" s="15" t="str">
        <f>薬品マスタリスト_20260130100542!B907</f>
        <v>ﾗﾝｿﾌﾟﾗｿﾞｰﾙODｼﾞｮｳ15mg｢ﾄｰﾜ｣</v>
      </c>
      <c r="E909" s="15">
        <f>薬品マスタリスト_20260130100542!C907</f>
        <v>1</v>
      </c>
      <c r="F909" s="206" t="str">
        <f>薬品マスタリスト_20260130100542!D907</f>
        <v>錠剤</v>
      </c>
      <c r="G909" s="208" t="str">
        <f>match_results!C906</f>
        <v>ランソプラゾール　ＯＤ錠１５</v>
      </c>
      <c r="H909" s="208">
        <f>match_results!D906</f>
        <v>444</v>
      </c>
      <c r="I909" s="218">
        <f>match_results!E906</f>
        <v>76.470588235294102</v>
      </c>
      <c r="J909" s="225"/>
      <c r="K909" s="15" t="str">
        <f ca="1">IF($J909="〇",OFFSET(集計!B$3,合体!$H909,0),"")</f>
        <v/>
      </c>
      <c r="L909" s="15" t="str">
        <f ca="1">IF($J909="〇",OFFSET(集計!C$3,合体!$H909,0),"")</f>
        <v/>
      </c>
      <c r="M909" s="202" t="str">
        <f ca="1">IF($J909="〇",OFFSET(集計!D$3,合体!$H909,0),"")</f>
        <v/>
      </c>
    </row>
    <row r="910" spans="2:13" x14ac:dyDescent="0.2">
      <c r="B910" s="201">
        <f t="shared" si="14"/>
        <v>906</v>
      </c>
      <c r="C910" s="15" t="str">
        <f>薬品マスタリスト_20260130100542!A908</f>
        <v>ランタス注ソロスター</v>
      </c>
      <c r="D910" s="15" t="str">
        <f>薬品マスタリスト_20260130100542!B908</f>
        <v>ﾗﾝﾀｽﾁｭｳｿﾛｽﾀｰ</v>
      </c>
      <c r="E910" s="15">
        <f>薬品マスタリスト_20260130100542!C908</f>
        <v>25</v>
      </c>
      <c r="F910" s="206" t="str">
        <f>薬品マスタリスト_20260130100542!D908</f>
        <v>注射剤</v>
      </c>
      <c r="G910" s="208" t="str">
        <f>match_results!C907</f>
        <v>ランタス注ソロスタ－３００単位</v>
      </c>
      <c r="H910" s="208">
        <f>match_results!D907</f>
        <v>138</v>
      </c>
      <c r="I910" s="218">
        <f>match_results!E907</f>
        <v>72</v>
      </c>
      <c r="J910" s="225"/>
      <c r="K910" s="15" t="str">
        <f ca="1">IF($J910="〇",OFFSET(集計!B$3,合体!$H910,0),"")</f>
        <v/>
      </c>
      <c r="L910" s="15" t="str">
        <f ca="1">IF($J910="〇",OFFSET(集計!C$3,合体!$H910,0),"")</f>
        <v/>
      </c>
      <c r="M910" s="202" t="str">
        <f ca="1">IF($J910="〇",OFFSET(集計!D$3,合体!$H910,0),"")</f>
        <v/>
      </c>
    </row>
    <row r="911" spans="2:13" x14ac:dyDescent="0.2">
      <c r="B911" s="201">
        <f t="shared" si="14"/>
        <v>907</v>
      </c>
      <c r="C911" s="15" t="str">
        <f>薬品マスタリスト_20260130100542!A909</f>
        <v>ランタスＸＲ注ソロスター</v>
      </c>
      <c r="D911" s="15" t="str">
        <f>薬品マスタリスト_20260130100542!B909</f>
        <v>ﾗﾝﾀｽXRﾁﾕｳｿﾛｽﾀ-</v>
      </c>
      <c r="E911" s="15">
        <f>薬品マスタリスト_20260130100542!C909</f>
        <v>25</v>
      </c>
      <c r="F911" s="206" t="str">
        <f>薬品マスタリスト_20260130100542!D909</f>
        <v>注射剤</v>
      </c>
      <c r="G911" s="208" t="str">
        <f>match_results!C908</f>
        <v>ランタス注ソロスタ－３００単位</v>
      </c>
      <c r="H911" s="208">
        <f>match_results!D908</f>
        <v>138</v>
      </c>
      <c r="I911" s="218">
        <f>match_results!E908</f>
        <v>66.6666666666666</v>
      </c>
      <c r="J911" s="225"/>
      <c r="K911" s="15" t="str">
        <f ca="1">IF($J911="〇",OFFSET(集計!B$3,合体!$H911,0),"")</f>
        <v/>
      </c>
      <c r="L911" s="15" t="str">
        <f ca="1">IF($J911="〇",OFFSET(集計!C$3,合体!$H911,0),"")</f>
        <v/>
      </c>
      <c r="M911" s="202" t="str">
        <f ca="1">IF($J911="〇",OFFSET(集計!D$3,合体!$H911,0),"")</f>
        <v/>
      </c>
    </row>
    <row r="912" spans="2:13" x14ac:dyDescent="0.2">
      <c r="B912" s="201">
        <f t="shared" si="14"/>
        <v>908</v>
      </c>
      <c r="C912" s="15" t="str">
        <f>薬品マスタリスト_20260130100542!A910</f>
        <v>リアルダ錠１２００ｍｇ</v>
      </c>
      <c r="D912" s="15" t="str">
        <f>薬品マスタリスト_20260130100542!B910</f>
        <v>ﾘｱﾙﾀﾞｼﾞﾖｳ1200MG</v>
      </c>
      <c r="E912" s="15">
        <f>薬品マスタリスト_20260130100542!C910</f>
        <v>1</v>
      </c>
      <c r="F912" s="206" t="str">
        <f>薬品マスタリスト_20260130100542!D910</f>
        <v>錠剤</v>
      </c>
      <c r="G912" s="208" t="str">
        <f>match_results!C909</f>
        <v>リアルダ錠１２００ｍｇ</v>
      </c>
      <c r="H912" s="208">
        <f>match_results!D909</f>
        <v>347</v>
      </c>
      <c r="I912" s="218">
        <f>match_results!E909</f>
        <v>100</v>
      </c>
      <c r="J912" s="225" t="s">
        <v>3917</v>
      </c>
      <c r="K912" s="15">
        <f ca="1">IF($J912="〇",OFFSET(集計!B$3,合体!$H912,0),"")</f>
        <v>146.6</v>
      </c>
      <c r="L912" s="15">
        <f ca="1">IF($J912="〇",OFFSET(集計!C$3,合体!$H912,0),"")</f>
        <v>40</v>
      </c>
      <c r="M912" s="202">
        <f ca="1">IF($J912="〇",OFFSET(集計!D$3,合体!$H912,0),"")</f>
        <v>5864</v>
      </c>
    </row>
    <row r="913" spans="2:13" x14ac:dyDescent="0.2">
      <c r="B913" s="201">
        <f t="shared" si="14"/>
        <v>909</v>
      </c>
      <c r="C913" s="15" t="str">
        <f>薬品マスタリスト_20260130100542!A911</f>
        <v>リオレサール錠５ｍｇ</v>
      </c>
      <c r="D913" s="15" t="str">
        <f>薬品マスタリスト_20260130100542!B911</f>
        <v>ﾘｵﾚｻｰﾙｼﾞｮｳ5mg</v>
      </c>
      <c r="E913" s="15">
        <f>薬品マスタリスト_20260130100542!C911</f>
        <v>1</v>
      </c>
      <c r="F913" s="206" t="str">
        <f>薬品マスタリスト_20260130100542!D911</f>
        <v>錠剤</v>
      </c>
      <c r="G913" s="208" t="str">
        <f>match_results!C910</f>
        <v>リオレサール（５）</v>
      </c>
      <c r="H913" s="208">
        <f>match_results!D910</f>
        <v>250</v>
      </c>
      <c r="I913" s="218">
        <f>match_results!E910</f>
        <v>73.684210526315795</v>
      </c>
      <c r="J913" s="225"/>
      <c r="K913" s="15" t="str">
        <f ca="1">IF($J913="〇",OFFSET(集計!B$3,合体!$H913,0),"")</f>
        <v/>
      </c>
      <c r="L913" s="15" t="str">
        <f ca="1">IF($J913="〇",OFFSET(集計!C$3,合体!$H913,0),"")</f>
        <v/>
      </c>
      <c r="M913" s="202" t="str">
        <f ca="1">IF($J913="〇",OFFSET(集計!D$3,合体!$H913,0),"")</f>
        <v/>
      </c>
    </row>
    <row r="914" spans="2:13" x14ac:dyDescent="0.2">
      <c r="B914" s="201">
        <f t="shared" si="14"/>
        <v>910</v>
      </c>
      <c r="C914" s="15" t="str">
        <f>薬品マスタリスト_20260130100542!A912</f>
        <v>リクシアナＯＤ錠３０ｍｇ</v>
      </c>
      <c r="D914" s="15" t="str">
        <f>薬品マスタリスト_20260130100542!B912</f>
        <v>ﾘｸｼｱﾅODｼﾞｮｳ30mg</v>
      </c>
      <c r="E914" s="15">
        <f>薬品マスタリスト_20260130100542!C912</f>
        <v>1</v>
      </c>
      <c r="F914" s="206" t="str">
        <f>薬品マスタリスト_20260130100542!D912</f>
        <v>錠剤</v>
      </c>
      <c r="G914" s="208" t="str">
        <f>match_results!C911</f>
        <v>リクシアナＯＤ錠３０ｍｇ</v>
      </c>
      <c r="H914" s="208">
        <f>match_results!D911</f>
        <v>666</v>
      </c>
      <c r="I914" s="218">
        <f>match_results!E911</f>
        <v>100</v>
      </c>
      <c r="J914" s="225" t="s">
        <v>3917</v>
      </c>
      <c r="K914" s="15">
        <f ca="1">IF($J914="〇",OFFSET(集計!B$3,合体!$H914,0),"")</f>
        <v>357.42</v>
      </c>
      <c r="L914" s="15">
        <f ca="1">IF($J914="〇",OFFSET(集計!C$3,合体!$H914,0),"")</f>
        <v>755.55555555555554</v>
      </c>
      <c r="M914" s="202">
        <f ca="1">IF($J914="〇",OFFSET(集計!D$3,合体!$H914,0),"")</f>
        <v>270050.66666666669</v>
      </c>
    </row>
    <row r="915" spans="2:13" x14ac:dyDescent="0.2">
      <c r="B915" s="201">
        <f t="shared" si="14"/>
        <v>911</v>
      </c>
      <c r="C915" s="15" t="str">
        <f>薬品マスタリスト_20260130100542!A913</f>
        <v>リクラスト点滴静注液５ｍｇ（用時購入）</v>
      </c>
      <c r="D915" s="15" t="str">
        <f>薬品マスタリスト_20260130100542!B913</f>
        <v>ﾘｸﾗｽﾄﾃﾝﾃｷｼﾞｮｳﾁｭｳｴｷ5mg</v>
      </c>
      <c r="E915" s="15">
        <f>薬品マスタリスト_20260130100542!C913</f>
        <v>25</v>
      </c>
      <c r="F915" s="206" t="str">
        <f>薬品マスタリスト_20260130100542!D913</f>
        <v>注射剤</v>
      </c>
      <c r="G915" s="208" t="str">
        <f>match_results!C912</f>
        <v>ラスビック点滴静注キット１５０ｍｇ</v>
      </c>
      <c r="H915" s="208">
        <f>match_results!D912</f>
        <v>545</v>
      </c>
      <c r="I915" s="218">
        <f>match_results!E912</f>
        <v>50</v>
      </c>
      <c r="J915" s="225"/>
      <c r="K915" s="15" t="str">
        <f ca="1">IF($J915="〇",OFFSET(集計!B$3,合体!$H915,0),"")</f>
        <v/>
      </c>
      <c r="L915" s="15" t="str">
        <f ca="1">IF($J915="〇",OFFSET(集計!C$3,合体!$H915,0),"")</f>
        <v/>
      </c>
      <c r="M915" s="202" t="str">
        <f ca="1">IF($J915="〇",OFFSET(集計!D$3,合体!$H915,0),"")</f>
        <v/>
      </c>
    </row>
    <row r="916" spans="2:13" x14ac:dyDescent="0.2">
      <c r="B916" s="201">
        <f t="shared" si="14"/>
        <v>912</v>
      </c>
      <c r="C916" s="15" t="str">
        <f>薬品マスタリスト_20260130100542!A914</f>
        <v>リコモジュリン点滴静注用１２８００（用時購入）</v>
      </c>
      <c r="D916" s="15" t="str">
        <f>薬品マスタリスト_20260130100542!B914</f>
        <v>ﾘｺﾓｼﾞｭﾘﾝﾃﾝﾃｷｼﾞｮｳﾁｭｳﾖｳ12800</v>
      </c>
      <c r="E916" s="15">
        <f>薬品マスタリスト_20260130100542!C914</f>
        <v>25</v>
      </c>
      <c r="F916" s="206" t="str">
        <f>薬品マスタリスト_20260130100542!D914</f>
        <v>注射剤</v>
      </c>
      <c r="G916" s="208" t="str">
        <f>match_results!C913</f>
        <v>ベクルリー点滴静注用１００ｍｇ</v>
      </c>
      <c r="H916" s="208">
        <f>match_results!D913</f>
        <v>664</v>
      </c>
      <c r="I916" s="218">
        <f>match_results!E913</f>
        <v>47.368421052631497</v>
      </c>
      <c r="J916" s="225"/>
      <c r="K916" s="15" t="str">
        <f ca="1">IF($J916="〇",OFFSET(集計!B$3,合体!$H916,0),"")</f>
        <v/>
      </c>
      <c r="L916" s="15" t="str">
        <f ca="1">IF($J916="〇",OFFSET(集計!C$3,合体!$H916,0),"")</f>
        <v/>
      </c>
      <c r="M916" s="202" t="str">
        <f ca="1">IF($J916="〇",OFFSET(集計!D$3,合体!$H916,0),"")</f>
        <v/>
      </c>
    </row>
    <row r="917" spans="2:13" x14ac:dyDescent="0.2">
      <c r="B917" s="201">
        <f t="shared" si="14"/>
        <v>913</v>
      </c>
      <c r="C917" s="15" t="str">
        <f>薬品マスタリスト_20260130100542!A915</f>
        <v>リスパダール錠１ｍｇ</v>
      </c>
      <c r="D917" s="15" t="str">
        <f>薬品マスタリスト_20260130100542!B915</f>
        <v>ﾘｽﾊﾟﾀﾞｰﾙｼﾞｮｳ1mg</v>
      </c>
      <c r="E917" s="15">
        <f>薬品マスタリスト_20260130100542!C915</f>
        <v>1</v>
      </c>
      <c r="F917" s="206" t="str">
        <f>薬品マスタリスト_20260130100542!D915</f>
        <v>錠剤</v>
      </c>
      <c r="G917" s="208" t="str">
        <f>match_results!C914</f>
        <v>リスパダール錠１ｍｇ</v>
      </c>
      <c r="H917" s="208">
        <f>match_results!D914</f>
        <v>575</v>
      </c>
      <c r="I917" s="218">
        <f>match_results!E914</f>
        <v>100</v>
      </c>
      <c r="J917" s="225" t="s">
        <v>3917</v>
      </c>
      <c r="K917" s="15">
        <f ca="1">IF($J917="〇",OFFSET(集計!B$3,合体!$H917,0),"")</f>
        <v>12.37</v>
      </c>
      <c r="L917" s="15">
        <f ca="1">IF($J917="〇",OFFSET(集計!C$3,合体!$H917,0),"")</f>
        <v>2105</v>
      </c>
      <c r="M917" s="202">
        <f ca="1">IF($J917="〇",OFFSET(集計!D$3,合体!$H917,0),"")</f>
        <v>26038.85</v>
      </c>
    </row>
    <row r="918" spans="2:13" x14ac:dyDescent="0.2">
      <c r="B918" s="201">
        <f t="shared" si="14"/>
        <v>914</v>
      </c>
      <c r="C918" s="15" t="str">
        <f>薬品マスタリスト_20260130100542!A916</f>
        <v>リスパダール内用液１ｍｇ／ｍＬ分包品</v>
      </c>
      <c r="D918" s="15" t="str">
        <f>薬品マスタリスト_20260130100542!B916</f>
        <v>ﾘｽﾊﾟﾀﾞｰﾙﾅｲﾖｳｴｷ1mg/mL</v>
      </c>
      <c r="E918" s="15">
        <f>薬品マスタリスト_20260130100542!C916</f>
        <v>7</v>
      </c>
      <c r="F918" s="206" t="str">
        <f>薬品マスタリスト_20260130100542!D916</f>
        <v>液（内用）</v>
      </c>
      <c r="G918" s="208" t="str">
        <f>match_results!C915</f>
        <v>リスパダール内用液　１ｍｇ／ｍＬ３０ｍｌ</v>
      </c>
      <c r="H918" s="208">
        <f>match_results!D915</f>
        <v>19</v>
      </c>
      <c r="I918" s="218">
        <f>match_results!E915</f>
        <v>78.947368421052602</v>
      </c>
      <c r="J918" s="225"/>
      <c r="K918" s="15" t="str">
        <f ca="1">IF($J918="〇",OFFSET(集計!B$3,合体!$H918,0),"")</f>
        <v/>
      </c>
      <c r="L918" s="15" t="str">
        <f ca="1">IF($J918="〇",OFFSET(集計!C$3,合体!$H918,0),"")</f>
        <v/>
      </c>
      <c r="M918" s="202" t="str">
        <f ca="1">IF($J918="〇",OFFSET(集計!D$3,合体!$H918,0),"")</f>
        <v/>
      </c>
    </row>
    <row r="919" spans="2:13" x14ac:dyDescent="0.2">
      <c r="B919" s="201">
        <f t="shared" si="14"/>
        <v>915</v>
      </c>
      <c r="C919" s="15" t="str">
        <f>薬品マスタリスト_20260130100542!A917</f>
        <v>リスパダール内用液１ｍｇ／ｍＬ</v>
      </c>
      <c r="D919" s="15" t="str">
        <f>薬品マスタリスト_20260130100542!B917</f>
        <v>ﾘｽﾊﾟﾀﾞｰﾙﾅｲﾖｳｴｷ1mg/mL</v>
      </c>
      <c r="E919" s="15">
        <f>薬品マスタリスト_20260130100542!C917</f>
        <v>7</v>
      </c>
      <c r="F919" s="206" t="str">
        <f>薬品マスタリスト_20260130100542!D917</f>
        <v>液（内用）</v>
      </c>
      <c r="G919" s="208" t="str">
        <f>match_results!C916</f>
        <v>リスパダール内用液　１ｍｇ／ｍＬ３０ｍｌ</v>
      </c>
      <c r="H919" s="208">
        <f>match_results!D916</f>
        <v>19</v>
      </c>
      <c r="I919" s="218">
        <f>match_results!E916</f>
        <v>85.714285714285694</v>
      </c>
      <c r="J919" s="225"/>
      <c r="K919" s="15" t="str">
        <f ca="1">IF($J919="〇",OFFSET(集計!B$3,合体!$H919,0),"")</f>
        <v/>
      </c>
      <c r="L919" s="15" t="str">
        <f ca="1">IF($J919="〇",OFFSET(集計!C$3,合体!$H919,0),"")</f>
        <v/>
      </c>
      <c r="M919" s="202" t="str">
        <f ca="1">IF($J919="〇",OFFSET(集計!D$3,合体!$H919,0),"")</f>
        <v/>
      </c>
    </row>
    <row r="920" spans="2:13" x14ac:dyDescent="0.2">
      <c r="B920" s="201">
        <f t="shared" si="14"/>
        <v>916</v>
      </c>
      <c r="C920" s="15" t="str">
        <f>薬品マスタリスト_20260130100542!A918</f>
        <v>リスパダール内用液0.5ｍｇ／0.5ｍＬ分包品</v>
      </c>
      <c r="D920" s="15" t="str">
        <f>薬品マスタリスト_20260130100542!B918</f>
        <v>ﾘｽﾊﾟﾀﾞｰﾙﾅｲﾖｳｴｷ1mg/mL</v>
      </c>
      <c r="E920" s="15">
        <f>薬品マスタリスト_20260130100542!C918</f>
        <v>7</v>
      </c>
      <c r="F920" s="206" t="str">
        <f>薬品マスタリスト_20260130100542!D918</f>
        <v>液（内用）</v>
      </c>
      <c r="G920" s="208" t="str">
        <f>match_results!C917</f>
        <v>リスパダール内用液　１ｍｇ／ｍＬ３０ｍｌ</v>
      </c>
      <c r="H920" s="208">
        <f>match_results!D917</f>
        <v>19</v>
      </c>
      <c r="I920" s="218">
        <f>match_results!E917</f>
        <v>65.116279069767401</v>
      </c>
      <c r="J920" s="225"/>
      <c r="K920" s="15" t="str">
        <f ca="1">IF($J920="〇",OFFSET(集計!B$3,合体!$H920,0),"")</f>
        <v/>
      </c>
      <c r="L920" s="15" t="str">
        <f ca="1">IF($J920="〇",OFFSET(集計!C$3,合体!$H920,0),"")</f>
        <v/>
      </c>
      <c r="M920" s="202" t="str">
        <f ca="1">IF($J920="〇",OFFSET(集計!D$3,合体!$H920,0),"")</f>
        <v/>
      </c>
    </row>
    <row r="921" spans="2:13" x14ac:dyDescent="0.2">
      <c r="B921" s="201">
        <f t="shared" si="14"/>
        <v>917</v>
      </c>
      <c r="C921" s="15" t="str">
        <f>薬品マスタリスト_20260130100542!A919</f>
        <v>リスパダール錠２ｍｇ</v>
      </c>
      <c r="D921" s="15" t="str">
        <f>薬品マスタリスト_20260130100542!B919</f>
        <v>ﾘｽﾊﾟﾀﾞｰﾙｼﾞｮｳ2mg</v>
      </c>
      <c r="E921" s="15">
        <f>薬品マスタリスト_20260130100542!C919</f>
        <v>1</v>
      </c>
      <c r="F921" s="206" t="str">
        <f>薬品マスタリスト_20260130100542!D919</f>
        <v>錠剤</v>
      </c>
      <c r="G921" s="208" t="str">
        <f>match_results!C918</f>
        <v>リスパダール錠２ｍｇ</v>
      </c>
      <c r="H921" s="208">
        <f>match_results!D918</f>
        <v>593</v>
      </c>
      <c r="I921" s="218">
        <f>match_results!E918</f>
        <v>100</v>
      </c>
      <c r="J921" s="225" t="s">
        <v>3917</v>
      </c>
      <c r="K921" s="15">
        <f ca="1">IF($J921="〇",OFFSET(集計!B$3,合体!$H921,0),"")</f>
        <v>19.510000000000002</v>
      </c>
      <c r="L921" s="15">
        <f ca="1">IF($J921="〇",OFFSET(集計!C$3,合体!$H921,0),"")</f>
        <v>1628.0769230769231</v>
      </c>
      <c r="M921" s="202">
        <f ca="1">IF($J921="〇",OFFSET(集計!D$3,合体!$H921,0),"")</f>
        <v>31763.780769230772</v>
      </c>
    </row>
    <row r="922" spans="2:13" x14ac:dyDescent="0.2">
      <c r="B922" s="201">
        <f t="shared" si="14"/>
        <v>918</v>
      </c>
      <c r="C922" s="15" t="str">
        <f>薬品マスタリスト_20260130100542!A920</f>
        <v>リスパダール錠３ｍｇ</v>
      </c>
      <c r="D922" s="15" t="str">
        <f>薬品マスタリスト_20260130100542!B920</f>
        <v>ﾘｽﾊﾟﾀﾞｰﾙｼﾞｮｳ3mg</v>
      </c>
      <c r="E922" s="15">
        <f>薬品マスタリスト_20260130100542!C920</f>
        <v>1</v>
      </c>
      <c r="F922" s="206" t="str">
        <f>薬品マスタリスト_20260130100542!D920</f>
        <v>錠剤</v>
      </c>
      <c r="G922" s="208" t="str">
        <f>match_results!C919</f>
        <v>リスパダール錠３ｍｇ</v>
      </c>
      <c r="H922" s="208">
        <f>match_results!D919</f>
        <v>539</v>
      </c>
      <c r="I922" s="218">
        <f>match_results!E919</f>
        <v>100</v>
      </c>
      <c r="J922" s="225" t="s">
        <v>3917</v>
      </c>
      <c r="K922" s="15">
        <f ca="1">IF($J922="〇",OFFSET(集計!B$3,合体!$H922,0),"")</f>
        <v>26.66</v>
      </c>
      <c r="L922" s="15">
        <f ca="1">IF($J922="〇",OFFSET(集計!C$3,合体!$H922,0),"")</f>
        <v>740</v>
      </c>
      <c r="M922" s="202">
        <f ca="1">IF($J922="〇",OFFSET(集計!D$3,合体!$H922,0),"")</f>
        <v>19728.400000000001</v>
      </c>
    </row>
    <row r="923" spans="2:13" x14ac:dyDescent="0.2">
      <c r="B923" s="201">
        <f t="shared" si="14"/>
        <v>919</v>
      </c>
      <c r="C923" s="15" t="str">
        <f>薬品マスタリスト_20260130100542!A921</f>
        <v>リスパダール細粒１％</v>
      </c>
      <c r="D923" s="15" t="str">
        <f>薬品マスタリスト_20260130100542!B921</f>
        <v>ﾘｽﾊﾟﾀﾞｰﾙｻｲﾘｭｳ1%</v>
      </c>
      <c r="E923" s="15">
        <f>薬品マスタリスト_20260130100542!C921</f>
        <v>3</v>
      </c>
      <c r="F923" s="206" t="str">
        <f>薬品マスタリスト_20260130100542!D921</f>
        <v>散</v>
      </c>
      <c r="G923" s="208" t="str">
        <f>match_results!C920</f>
        <v>リスパダール細粒１％</v>
      </c>
      <c r="H923" s="208">
        <f>match_results!D920</f>
        <v>372</v>
      </c>
      <c r="I923" s="218">
        <f>match_results!E920</f>
        <v>100</v>
      </c>
      <c r="J923" s="225" t="s">
        <v>3917</v>
      </c>
      <c r="K923" s="15">
        <f ca="1">IF($J923="〇",OFFSET(集計!B$3,合体!$H923,0),"")</f>
        <v>88.41</v>
      </c>
      <c r="L923" s="15">
        <f ca="1">IF($J923="〇",OFFSET(集計!C$3,合体!$H923,0),"")</f>
        <v>78</v>
      </c>
      <c r="M923" s="202">
        <f ca="1">IF($J923="〇",OFFSET(集計!D$3,合体!$H923,0),"")</f>
        <v>6895.98</v>
      </c>
    </row>
    <row r="924" spans="2:13" x14ac:dyDescent="0.2">
      <c r="B924" s="201">
        <f t="shared" si="14"/>
        <v>920</v>
      </c>
      <c r="C924" s="15" t="str">
        <f>薬品マスタリスト_20260130100542!A922</f>
        <v>リスパダール コンスタ筋注用２５ｍｇ</v>
      </c>
      <c r="D924" s="15" t="str">
        <f>薬品マスタリスト_20260130100542!B922</f>
        <v>ﾘｽﾊﾟﾀﾞｰﾙ ｺﾝｽﾀｷﾝﾁｭｳﾖｳ25mg</v>
      </c>
      <c r="E924" s="15">
        <f>薬品マスタリスト_20260130100542!C922</f>
        <v>25</v>
      </c>
      <c r="F924" s="206" t="str">
        <f>薬品マスタリスト_20260130100542!D922</f>
        <v>注射剤</v>
      </c>
      <c r="G924" s="208" t="str">
        <f>match_results!C921</f>
        <v>リスパダールコンスタ筋注用２５㎎</v>
      </c>
      <c r="H924" s="208">
        <f>match_results!D921</f>
        <v>541</v>
      </c>
      <c r="I924" s="218">
        <f>match_results!E921</f>
        <v>52.941176470588204</v>
      </c>
      <c r="J924" s="225"/>
      <c r="K924" s="15" t="str">
        <f ca="1">IF($J924="〇",OFFSET(集計!B$3,合体!$H924,0),"")</f>
        <v/>
      </c>
      <c r="L924" s="15" t="str">
        <f ca="1">IF($J924="〇",OFFSET(集計!C$3,合体!$H924,0),"")</f>
        <v/>
      </c>
      <c r="M924" s="202" t="str">
        <f ca="1">IF($J924="〇",OFFSET(集計!D$3,合体!$H924,0),"")</f>
        <v/>
      </c>
    </row>
    <row r="925" spans="2:13" x14ac:dyDescent="0.2">
      <c r="B925" s="201">
        <f t="shared" si="14"/>
        <v>921</v>
      </c>
      <c r="C925" s="15" t="str">
        <f>薬品マスタリスト_20260130100542!A923</f>
        <v>リスパダール コンスタ筋注用３７．５ｍｇ</v>
      </c>
      <c r="D925" s="15" t="str">
        <f>薬品マスタリスト_20260130100542!B923</f>
        <v>ﾘｽﾊﾟﾀﾞｰﾙ ｺﾝｽﾀｷﾝﾁｭｳﾖｳ37.5mg</v>
      </c>
      <c r="E925" s="15">
        <f>薬品マスタリスト_20260130100542!C923</f>
        <v>25</v>
      </c>
      <c r="F925" s="206" t="str">
        <f>薬品マスタリスト_20260130100542!D923</f>
        <v>注射剤</v>
      </c>
      <c r="G925" s="208" t="str">
        <f>match_results!C922</f>
        <v>リスパダールコンスタ筋注用３７．５㎎</v>
      </c>
      <c r="H925" s="208">
        <f>match_results!D922</f>
        <v>578</v>
      </c>
      <c r="I925" s="218">
        <f>match_results!E922</f>
        <v>57.894736842105203</v>
      </c>
      <c r="J925" s="225"/>
      <c r="K925" s="15" t="str">
        <f ca="1">IF($J925="〇",OFFSET(集計!B$3,合体!$H925,0),"")</f>
        <v/>
      </c>
      <c r="L925" s="15" t="str">
        <f ca="1">IF($J925="〇",OFFSET(集計!C$3,合体!$H925,0),"")</f>
        <v/>
      </c>
      <c r="M925" s="202" t="str">
        <f ca="1">IF($J925="〇",OFFSET(集計!D$3,合体!$H925,0),"")</f>
        <v/>
      </c>
    </row>
    <row r="926" spans="2:13" x14ac:dyDescent="0.2">
      <c r="B926" s="201">
        <f t="shared" si="14"/>
        <v>922</v>
      </c>
      <c r="C926" s="15" t="str">
        <f>薬品マスタリスト_20260130100542!A924</f>
        <v>リスパダール コンスタ筋注用５０ｍｇ</v>
      </c>
      <c r="D926" s="15" t="str">
        <f>薬品マスタリスト_20260130100542!B924</f>
        <v>ﾘｽﾊﾟﾀﾞｰﾙ ｺﾝｽﾀｷﾝﾁｭｳﾖｳ50mg</v>
      </c>
      <c r="E926" s="15">
        <f>薬品マスタリスト_20260130100542!C924</f>
        <v>25</v>
      </c>
      <c r="F926" s="206" t="str">
        <f>薬品マスタリスト_20260130100542!D924</f>
        <v>注射剤</v>
      </c>
      <c r="G926" s="208" t="str">
        <f>match_results!C923</f>
        <v>リスパダールコンスタ筋注用５０㎎</v>
      </c>
      <c r="H926" s="208">
        <f>match_results!D923</f>
        <v>658</v>
      </c>
      <c r="I926" s="218">
        <f>match_results!E923</f>
        <v>52.941176470588204</v>
      </c>
      <c r="J926" s="225"/>
      <c r="K926" s="15" t="str">
        <f ca="1">IF($J926="〇",OFFSET(集計!B$3,合体!$H926,0),"")</f>
        <v/>
      </c>
      <c r="L926" s="15" t="str">
        <f ca="1">IF($J926="〇",OFFSET(集計!C$3,合体!$H926,0),"")</f>
        <v/>
      </c>
      <c r="M926" s="202" t="str">
        <f ca="1">IF($J926="〇",OFFSET(集計!D$3,合体!$H926,0),"")</f>
        <v/>
      </c>
    </row>
    <row r="927" spans="2:13" x14ac:dyDescent="0.2">
      <c r="B927" s="201">
        <f t="shared" si="14"/>
        <v>923</v>
      </c>
      <c r="C927" s="15" t="str">
        <f>薬品マスタリスト_20260130100542!A925</f>
        <v>リスペリドン錠０．５ｍｇ「アメル」</v>
      </c>
      <c r="D927" s="15" t="str">
        <f>薬品マスタリスト_20260130100542!B925</f>
        <v>ﾘｽﾍﾟﾘﾄﾞﾝｼﾞｮｳ0.5mg｢ｱﾒﾙ｣</v>
      </c>
      <c r="E927" s="15">
        <f>薬品マスタリスト_20260130100542!C925</f>
        <v>1</v>
      </c>
      <c r="F927" s="206" t="str">
        <f>薬品マスタリスト_20260130100542!D925</f>
        <v>錠剤</v>
      </c>
      <c r="G927" s="208" t="str">
        <f>match_results!C924</f>
        <v>リスペリドン錠０．５ｍｇ</v>
      </c>
      <c r="H927" s="208">
        <f>match_results!D924</f>
        <v>406</v>
      </c>
      <c r="I927" s="218">
        <f>match_results!E924</f>
        <v>82.758620689655103</v>
      </c>
      <c r="J927" s="225"/>
      <c r="K927" s="15" t="str">
        <f ca="1">IF($J927="〇",OFFSET(集計!B$3,合体!$H927,0),"")</f>
        <v/>
      </c>
      <c r="L927" s="15" t="str">
        <f ca="1">IF($J927="〇",OFFSET(集計!C$3,合体!$H927,0),"")</f>
        <v/>
      </c>
      <c r="M927" s="202" t="str">
        <f ca="1">IF($J927="〇",OFFSET(集計!D$3,合体!$H927,0),"")</f>
        <v/>
      </c>
    </row>
    <row r="928" spans="2:13" x14ac:dyDescent="0.2">
      <c r="B928" s="201">
        <f t="shared" si="14"/>
        <v>924</v>
      </c>
      <c r="C928" s="15" t="str">
        <f>薬品マスタリスト_20260130100542!A926</f>
        <v>リスペリドン内用液分包０．５ｍｇ「アメル」</v>
      </c>
      <c r="D928" s="15" t="str">
        <f>薬品マスタリスト_20260130100542!B926</f>
        <v>ﾘｽﾍﾟﾘﾄﾞﾝﾅｲﾖｳｴｷﾌﾞﾝﾎﾟｳ0.5mg｢ｱﾒﾙ｣</v>
      </c>
      <c r="E928" s="15">
        <f>薬品マスタリスト_20260130100542!C926</f>
        <v>7</v>
      </c>
      <c r="F928" s="206" t="str">
        <f>薬品マスタリスト_20260130100542!D926</f>
        <v>液（内用）</v>
      </c>
      <c r="G928" s="208" t="str">
        <f>match_results!C925</f>
        <v>リスペリドン内用液分包０．５ｍｇ／０．５ｍｌ</v>
      </c>
      <c r="H928" s="208">
        <f>match_results!D925</f>
        <v>247</v>
      </c>
      <c r="I928" s="218">
        <f>match_results!E925</f>
        <v>74.418604651162795</v>
      </c>
      <c r="J928" s="225"/>
      <c r="K928" s="15" t="str">
        <f ca="1">IF($J928="〇",OFFSET(集計!B$3,合体!$H928,0),"")</f>
        <v/>
      </c>
      <c r="L928" s="15" t="str">
        <f ca="1">IF($J928="〇",OFFSET(集計!C$3,合体!$H928,0),"")</f>
        <v/>
      </c>
      <c r="M928" s="202" t="str">
        <f ca="1">IF($J928="〇",OFFSET(集計!D$3,合体!$H928,0),"")</f>
        <v/>
      </c>
    </row>
    <row r="929" spans="2:13" x14ac:dyDescent="0.2">
      <c r="B929" s="201">
        <f t="shared" si="14"/>
        <v>925</v>
      </c>
      <c r="C929" s="15" t="str">
        <f>薬品マスタリスト_20260130100542!A927</f>
        <v>リスペリドン内用液１ｍｇ／ｍＬ「アメル」</v>
      </c>
      <c r="D929" s="15" t="str">
        <f>薬品マスタリスト_20260130100542!B927</f>
        <v>ﾘｽﾍﾟﾘﾄﾞﾝﾅｲﾖｳｴｷ1mg/mL｢ｱﾒﾙ｣</v>
      </c>
      <c r="E929" s="15">
        <f>薬品マスタリスト_20260130100542!C927</f>
        <v>7</v>
      </c>
      <c r="F929" s="206" t="str">
        <f>薬品マスタリスト_20260130100542!D927</f>
        <v>液（内用）</v>
      </c>
      <c r="G929" s="208" t="str">
        <f>match_results!C926</f>
        <v>リスペリドン内用液１ｍｇ／１００ｍｌ</v>
      </c>
      <c r="H929" s="208">
        <f>match_results!D926</f>
        <v>20</v>
      </c>
      <c r="I929" s="218">
        <f>match_results!E926</f>
        <v>73.684210526315795</v>
      </c>
      <c r="J929" s="225"/>
      <c r="K929" s="15" t="str">
        <f ca="1">IF($J929="〇",OFFSET(集計!B$3,合体!$H929,0),"")</f>
        <v/>
      </c>
      <c r="L929" s="15" t="str">
        <f ca="1">IF($J929="〇",OFFSET(集計!C$3,合体!$H929,0),"")</f>
        <v/>
      </c>
      <c r="M929" s="202" t="str">
        <f ca="1">IF($J929="〇",OFFSET(集計!D$3,合体!$H929,0),"")</f>
        <v/>
      </c>
    </row>
    <row r="930" spans="2:13" x14ac:dyDescent="0.2">
      <c r="B930" s="201">
        <f t="shared" si="14"/>
        <v>926</v>
      </c>
      <c r="C930" s="15" t="str">
        <f>薬品マスタリスト_20260130100542!A928</f>
        <v>リスペリドン錠１ｍｇ「アメル」</v>
      </c>
      <c r="D930" s="15" t="str">
        <f>薬品マスタリスト_20260130100542!B928</f>
        <v>ﾘｽﾍﾟﾘﾄﾞﾝｼﾞｮｳ1mg｢ｱﾒﾙ｣</v>
      </c>
      <c r="E930" s="15">
        <f>薬品マスタリスト_20260130100542!C928</f>
        <v>1</v>
      </c>
      <c r="F930" s="206" t="str">
        <f>薬品マスタリスト_20260130100542!D928</f>
        <v>錠剤</v>
      </c>
      <c r="G930" s="208" t="str">
        <f>match_results!C927</f>
        <v>リスペリドン錠１ｍｇ</v>
      </c>
      <c r="H930" s="208">
        <f>match_results!D927</f>
        <v>514</v>
      </c>
      <c r="I930" s="218">
        <f>match_results!E927</f>
        <v>80</v>
      </c>
      <c r="J930" s="225"/>
      <c r="K930" s="15" t="str">
        <f ca="1">IF($J930="〇",OFFSET(集計!B$3,合体!$H930,0),"")</f>
        <v/>
      </c>
      <c r="L930" s="15" t="str">
        <f ca="1">IF($J930="〇",OFFSET(集計!C$3,合体!$H930,0),"")</f>
        <v/>
      </c>
      <c r="M930" s="202" t="str">
        <f ca="1">IF($J930="〇",OFFSET(集計!D$3,合体!$H930,0),"")</f>
        <v/>
      </c>
    </row>
    <row r="931" spans="2:13" x14ac:dyDescent="0.2">
      <c r="B931" s="201">
        <f t="shared" si="14"/>
        <v>927</v>
      </c>
      <c r="C931" s="15" t="str">
        <f>薬品マスタリスト_20260130100542!A929</f>
        <v>リスペリドン内用液分包１ｍｇ「アメル」</v>
      </c>
      <c r="D931" s="15" t="str">
        <f>薬品マスタリスト_20260130100542!B929</f>
        <v>ﾘｽﾍﾟﾘﾄﾞﾝﾅｲﾖｳｴｷﾌﾞﾝﾎﾟｳ1mg｢ｱﾒﾙ｣</v>
      </c>
      <c r="E931" s="15">
        <f>薬品マスタリスト_20260130100542!C929</f>
        <v>7</v>
      </c>
      <c r="F931" s="206" t="str">
        <f>薬品マスタリスト_20260130100542!D929</f>
        <v>液（内用）</v>
      </c>
      <c r="G931" s="208" t="str">
        <f>match_results!C928</f>
        <v>リスペリドン内用液分包１ｍｇ／１ｍｌ</v>
      </c>
      <c r="H931" s="208">
        <f>match_results!D928</f>
        <v>294</v>
      </c>
      <c r="I931" s="218">
        <f>match_results!E928</f>
        <v>75.675675675675606</v>
      </c>
      <c r="J931" s="225"/>
      <c r="K931" s="15" t="str">
        <f ca="1">IF($J931="〇",OFFSET(集計!B$3,合体!$H931,0),"")</f>
        <v/>
      </c>
      <c r="L931" s="15" t="str">
        <f ca="1">IF($J931="〇",OFFSET(集計!C$3,合体!$H931,0),"")</f>
        <v/>
      </c>
      <c r="M931" s="202" t="str">
        <f ca="1">IF($J931="〇",OFFSET(集計!D$3,合体!$H931,0),"")</f>
        <v/>
      </c>
    </row>
    <row r="932" spans="2:13" x14ac:dyDescent="0.2">
      <c r="B932" s="201">
        <f t="shared" si="14"/>
        <v>928</v>
      </c>
      <c r="C932" s="15" t="str">
        <f>薬品マスタリスト_20260130100542!A930</f>
        <v>リスペリドン錠２ｍｇ「アメル」</v>
      </c>
      <c r="D932" s="15" t="str">
        <f>薬品マスタリスト_20260130100542!B930</f>
        <v>ﾘｽﾍﾟﾘﾄﾞﾝｼﾞｮｳ2mg｢ｱﾒﾙ｣</v>
      </c>
      <c r="E932" s="15">
        <f>薬品マスタリスト_20260130100542!C930</f>
        <v>1</v>
      </c>
      <c r="F932" s="206" t="str">
        <f>薬品マスタリスト_20260130100542!D930</f>
        <v>錠剤</v>
      </c>
      <c r="G932" s="208" t="str">
        <f>match_results!C929</f>
        <v>リスペリドン錠２ｍｇ</v>
      </c>
      <c r="H932" s="208">
        <f>match_results!D929</f>
        <v>473</v>
      </c>
      <c r="I932" s="218">
        <f>match_results!E929</f>
        <v>80</v>
      </c>
      <c r="J932" s="225"/>
      <c r="K932" s="15" t="str">
        <f ca="1">IF($J932="〇",OFFSET(集計!B$3,合体!$H932,0),"")</f>
        <v/>
      </c>
      <c r="L932" s="15" t="str">
        <f ca="1">IF($J932="〇",OFFSET(集計!C$3,合体!$H932,0),"")</f>
        <v/>
      </c>
      <c r="M932" s="202" t="str">
        <f ca="1">IF($J932="〇",OFFSET(集計!D$3,合体!$H932,0),"")</f>
        <v/>
      </c>
    </row>
    <row r="933" spans="2:13" x14ac:dyDescent="0.2">
      <c r="B933" s="201">
        <f t="shared" si="14"/>
        <v>929</v>
      </c>
      <c r="C933" s="15" t="str">
        <f>薬品マスタリスト_20260130100542!A931</f>
        <v>リスペリドン錠３ｍｇ「アメル」</v>
      </c>
      <c r="D933" s="15" t="str">
        <f>薬品マスタリスト_20260130100542!B931</f>
        <v>ﾘｽﾍﾟﾘﾄﾞﾝｼﾞｮｳ3mg｢ｱﾒﾙ｣</v>
      </c>
      <c r="E933" s="15">
        <f>薬品マスタリスト_20260130100542!C931</f>
        <v>1</v>
      </c>
      <c r="F933" s="206" t="str">
        <f>薬品マスタリスト_20260130100542!D931</f>
        <v>錠剤</v>
      </c>
      <c r="G933" s="208" t="str">
        <f>match_results!C930</f>
        <v>リスペリドン錠３ｍｇ</v>
      </c>
      <c r="H933" s="208">
        <f>match_results!D930</f>
        <v>476</v>
      </c>
      <c r="I933" s="218">
        <f>match_results!E930</f>
        <v>80</v>
      </c>
      <c r="J933" s="225"/>
      <c r="K933" s="15" t="str">
        <f ca="1">IF($J933="〇",OFFSET(集計!B$3,合体!$H933,0),"")</f>
        <v/>
      </c>
      <c r="L933" s="15" t="str">
        <f ca="1">IF($J933="〇",OFFSET(集計!C$3,合体!$H933,0),"")</f>
        <v/>
      </c>
      <c r="M933" s="202" t="str">
        <f ca="1">IF($J933="〇",OFFSET(集計!D$3,合体!$H933,0),"")</f>
        <v/>
      </c>
    </row>
    <row r="934" spans="2:13" x14ac:dyDescent="0.2">
      <c r="B934" s="201">
        <f t="shared" si="14"/>
        <v>930</v>
      </c>
      <c r="C934" s="15" t="str">
        <f>薬品マスタリスト_20260130100542!A932</f>
        <v>リスペリドン細粒１％「アメル」</v>
      </c>
      <c r="D934" s="15" t="str">
        <f>薬品マスタリスト_20260130100542!B932</f>
        <v>ﾘｽﾍﾟﾘﾄﾞﾝｻｲﾘｭｳ1%｢ｱﾒﾙ｣</v>
      </c>
      <c r="E934" s="15">
        <f>薬品マスタリスト_20260130100542!C932</f>
        <v>3</v>
      </c>
      <c r="F934" s="206" t="str">
        <f>薬品マスタリスト_20260130100542!D932</f>
        <v>散</v>
      </c>
      <c r="G934" s="208" t="str">
        <f>match_results!C931</f>
        <v>スルピリド錠１００ｍｇ「アメル」　</v>
      </c>
      <c r="H934" s="208">
        <f>match_results!D931</f>
        <v>269</v>
      </c>
      <c r="I934" s="218">
        <f>match_results!E931</f>
        <v>58.064516129032199</v>
      </c>
      <c r="J934" s="225"/>
      <c r="K934" s="15" t="str">
        <f ca="1">IF($J934="〇",OFFSET(集計!B$3,合体!$H934,0),"")</f>
        <v/>
      </c>
      <c r="L934" s="15" t="str">
        <f ca="1">IF($J934="〇",OFFSET(集計!C$3,合体!$H934,0),"")</f>
        <v/>
      </c>
      <c r="M934" s="202" t="str">
        <f ca="1">IF($J934="〇",OFFSET(集計!D$3,合体!$H934,0),"")</f>
        <v/>
      </c>
    </row>
    <row r="935" spans="2:13" x14ac:dyDescent="0.2">
      <c r="B935" s="201">
        <f t="shared" si="14"/>
        <v>931</v>
      </c>
      <c r="C935" s="15" t="str">
        <f>薬品マスタリスト_20260130100542!A933</f>
        <v>リスペリドンＯＤ錠０．５ｍｇ「アメル」</v>
      </c>
      <c r="D935" s="15" t="str">
        <f>薬品マスタリスト_20260130100542!B933</f>
        <v>ﾘｽﾍﾟﾘﾄﾞﾝODｼﾞﾖｳ0.5MGｱﾒﾙ</v>
      </c>
      <c r="E935" s="15">
        <f>薬品マスタリスト_20260130100542!C933</f>
        <v>1</v>
      </c>
      <c r="F935" s="206" t="str">
        <f>薬品マスタリスト_20260130100542!D933</f>
        <v>錠剤</v>
      </c>
      <c r="G935" s="208" t="str">
        <f>match_results!C932</f>
        <v>リスペリドン錠０．５ｍｇ</v>
      </c>
      <c r="H935" s="208">
        <f>match_results!D932</f>
        <v>406</v>
      </c>
      <c r="I935" s="218">
        <f>match_results!E932</f>
        <v>77.419354838709594</v>
      </c>
      <c r="J935" s="225"/>
      <c r="K935" s="15" t="str">
        <f ca="1">IF($J935="〇",OFFSET(集計!B$3,合体!$H935,0),"")</f>
        <v/>
      </c>
      <c r="L935" s="15" t="str">
        <f ca="1">IF($J935="〇",OFFSET(集計!C$3,合体!$H935,0),"")</f>
        <v/>
      </c>
      <c r="M935" s="202" t="str">
        <f ca="1">IF($J935="〇",OFFSET(集計!D$3,合体!$H935,0),"")</f>
        <v/>
      </c>
    </row>
    <row r="936" spans="2:13" x14ac:dyDescent="0.2">
      <c r="B936" s="201">
        <f t="shared" si="14"/>
        <v>932</v>
      </c>
      <c r="C936" s="15" t="str">
        <f>薬品マスタリスト_20260130100542!A934</f>
        <v>リスペリドンＯＤ錠１ｍｇ「アメル」</v>
      </c>
      <c r="D936" s="15" t="str">
        <f>薬品マスタリスト_20260130100542!B934</f>
        <v>ﾘｽﾍﾟﾘﾄﾞﾝODｼﾞﾖｳ1MGｱﾒﾙ</v>
      </c>
      <c r="E936" s="15">
        <f>薬品マスタリスト_20260130100542!C934</f>
        <v>1</v>
      </c>
      <c r="F936" s="206" t="str">
        <f>薬品マスタリスト_20260130100542!D934</f>
        <v>錠剤</v>
      </c>
      <c r="G936" s="208" t="str">
        <f>match_results!C933</f>
        <v>リスペリドン錠１ｍｇ</v>
      </c>
      <c r="H936" s="208">
        <f>match_results!D933</f>
        <v>514</v>
      </c>
      <c r="I936" s="218">
        <f>match_results!E933</f>
        <v>74.074074074074005</v>
      </c>
      <c r="J936" s="225"/>
      <c r="K936" s="15" t="str">
        <f ca="1">IF($J936="〇",OFFSET(集計!B$3,合体!$H936,0),"")</f>
        <v/>
      </c>
      <c r="L936" s="15" t="str">
        <f ca="1">IF($J936="〇",OFFSET(集計!C$3,合体!$H936,0),"")</f>
        <v/>
      </c>
      <c r="M936" s="202" t="str">
        <f ca="1">IF($J936="〇",OFFSET(集計!D$3,合体!$H936,0),"")</f>
        <v/>
      </c>
    </row>
    <row r="937" spans="2:13" x14ac:dyDescent="0.2">
      <c r="B937" s="201">
        <f t="shared" si="14"/>
        <v>933</v>
      </c>
      <c r="C937" s="15" t="str">
        <f>薬品マスタリスト_20260130100542!A935</f>
        <v>リスペリドンＯＤ錠２ｍｇ「アメル」</v>
      </c>
      <c r="D937" s="15" t="str">
        <f>薬品マスタリスト_20260130100542!B935</f>
        <v>ﾘｽﾍﾟﾘﾄﾞﾝODｼﾞﾖｳ2MGｱﾒﾙ</v>
      </c>
      <c r="E937" s="15">
        <f>薬品マスタリスト_20260130100542!C935</f>
        <v>1</v>
      </c>
      <c r="F937" s="206" t="str">
        <f>薬品マスタリスト_20260130100542!D935</f>
        <v>錠剤</v>
      </c>
      <c r="G937" s="208" t="str">
        <f>match_results!C934</f>
        <v>リスペリドン錠２ｍｇ</v>
      </c>
      <c r="H937" s="208">
        <f>match_results!D934</f>
        <v>473</v>
      </c>
      <c r="I937" s="218">
        <f>match_results!E934</f>
        <v>74.074074074074005</v>
      </c>
      <c r="J937" s="225"/>
      <c r="K937" s="15" t="str">
        <f ca="1">IF($J937="〇",OFFSET(集計!B$3,合体!$H937,0),"")</f>
        <v/>
      </c>
      <c r="L937" s="15" t="str">
        <f ca="1">IF($J937="〇",OFFSET(集計!C$3,合体!$H937,0),"")</f>
        <v/>
      </c>
      <c r="M937" s="202" t="str">
        <f ca="1">IF($J937="〇",OFFSET(集計!D$3,合体!$H937,0),"")</f>
        <v/>
      </c>
    </row>
    <row r="938" spans="2:13" x14ac:dyDescent="0.2">
      <c r="B938" s="201">
        <f t="shared" si="14"/>
        <v>934</v>
      </c>
      <c r="C938" s="15" t="str">
        <f>薬品マスタリスト_20260130100542!A936</f>
        <v>リスペリドンＯＤ錠３ｍｇ「アメル」</v>
      </c>
      <c r="D938" s="15" t="str">
        <f>薬品マスタリスト_20260130100542!B936</f>
        <v>ﾘｽﾍﾟﾘﾄﾞﾝODｼﾞﾖｳ3MGｱﾒﾙ</v>
      </c>
      <c r="E938" s="15">
        <f>薬品マスタリスト_20260130100542!C936</f>
        <v>1</v>
      </c>
      <c r="F938" s="206" t="str">
        <f>薬品マスタリスト_20260130100542!D936</f>
        <v>錠剤</v>
      </c>
      <c r="G938" s="208" t="str">
        <f>match_results!C935</f>
        <v>リスペリドン錠３ｍｇ</v>
      </c>
      <c r="H938" s="208">
        <f>match_results!D935</f>
        <v>476</v>
      </c>
      <c r="I938" s="218">
        <f>match_results!E935</f>
        <v>74.074074074074005</v>
      </c>
      <c r="J938" s="225"/>
      <c r="K938" s="15" t="str">
        <f ca="1">IF($J938="〇",OFFSET(集計!B$3,合体!$H938,0),"")</f>
        <v/>
      </c>
      <c r="L938" s="15" t="str">
        <f ca="1">IF($J938="〇",OFFSET(集計!C$3,合体!$H938,0),"")</f>
        <v/>
      </c>
      <c r="M938" s="202" t="str">
        <f ca="1">IF($J938="〇",OFFSET(集計!D$3,合体!$H938,0),"")</f>
        <v/>
      </c>
    </row>
    <row r="939" spans="2:13" x14ac:dyDescent="0.2">
      <c r="B939" s="201">
        <f t="shared" si="14"/>
        <v>935</v>
      </c>
      <c r="C939" s="15" t="str">
        <f>薬品マスタリスト_20260130100542!A937</f>
        <v>リスミー錠２ｍｇ</v>
      </c>
      <c r="D939" s="15" t="str">
        <f>薬品マスタリスト_20260130100542!B937</f>
        <v>ﾘｽﾐｰｼﾞｮｳ2mg</v>
      </c>
      <c r="E939" s="15">
        <f>薬品マスタリスト_20260130100542!C937</f>
        <v>1</v>
      </c>
      <c r="F939" s="206" t="str">
        <f>薬品マスタリスト_20260130100542!D937</f>
        <v>錠剤</v>
      </c>
      <c r="G939" s="208" t="str">
        <f>match_results!C936</f>
        <v>リスミー錠２ｍｇ</v>
      </c>
      <c r="H939" s="208">
        <f>match_results!D936</f>
        <v>559</v>
      </c>
      <c r="I939" s="218">
        <f>match_results!E936</f>
        <v>100</v>
      </c>
      <c r="J939" s="225" t="s">
        <v>3917</v>
      </c>
      <c r="K939" s="15">
        <f ca="1">IF($J939="〇",OFFSET(集計!B$3,合体!$H939,0),"")</f>
        <v>16.12</v>
      </c>
      <c r="L939" s="15">
        <f ca="1">IF($J939="〇",OFFSET(集計!C$3,合体!$H939,0),"")</f>
        <v>1484</v>
      </c>
      <c r="M939" s="202">
        <f ca="1">IF($J939="〇",OFFSET(集計!D$3,合体!$H939,0),"")</f>
        <v>23922.080000000002</v>
      </c>
    </row>
    <row r="940" spans="2:13" x14ac:dyDescent="0.2">
      <c r="B940" s="201">
        <f t="shared" si="14"/>
        <v>936</v>
      </c>
      <c r="C940" s="15" t="str">
        <f>薬品マスタリスト_20260130100542!A938</f>
        <v>リーゼ錠５ｍｇ</v>
      </c>
      <c r="D940" s="15" t="str">
        <f>薬品マスタリスト_20260130100542!B938</f>
        <v>ﾘｰｾﾞｼﾞｮｳ5mg</v>
      </c>
      <c r="E940" s="15">
        <f>薬品マスタリスト_20260130100542!C938</f>
        <v>1</v>
      </c>
      <c r="F940" s="206" t="str">
        <f>薬品マスタリスト_20260130100542!D938</f>
        <v>錠剤</v>
      </c>
      <c r="G940" s="208" t="str">
        <f>match_results!C937</f>
        <v>リーゼ錠５ｍｇ</v>
      </c>
      <c r="H940" s="208">
        <f>match_results!D937</f>
        <v>323</v>
      </c>
      <c r="I940" s="218">
        <f>match_results!E937</f>
        <v>100</v>
      </c>
      <c r="J940" s="225" t="s">
        <v>3917</v>
      </c>
      <c r="K940" s="15">
        <f ca="1">IF($J940="〇",OFFSET(集計!B$3,合体!$H940,0),"")</f>
        <v>5.63</v>
      </c>
      <c r="L940" s="15">
        <f ca="1">IF($J940="〇",OFFSET(集計!C$3,合体!$H940,0),"")</f>
        <v>925.11111111111109</v>
      </c>
      <c r="M940" s="202">
        <f ca="1">IF($J940="〇",OFFSET(集計!D$3,合体!$H940,0),"")</f>
        <v>5208.3755555555554</v>
      </c>
    </row>
    <row r="941" spans="2:13" x14ac:dyDescent="0.2">
      <c r="B941" s="201">
        <f t="shared" si="14"/>
        <v>937</v>
      </c>
      <c r="C941" s="15" t="str">
        <f>薬品マスタリスト_20260130100542!A939</f>
        <v>リドメックスコーワ軟膏０．３％</v>
      </c>
      <c r="D941" s="15" t="str">
        <f>薬品マスタリスト_20260130100542!B939</f>
        <v>ﾘﾄﾞﾒﾂｸｽｺ-ﾜﾅﾝｺｳ0.3%</v>
      </c>
      <c r="E941" s="15">
        <f>薬品マスタリスト_20260130100542!C939</f>
        <v>14</v>
      </c>
      <c r="F941" s="206" t="str">
        <f>薬品マスタリスト_20260130100542!D939</f>
        <v>軟膏</v>
      </c>
      <c r="G941" s="208" t="str">
        <f>match_results!C938</f>
        <v>リドメックスコーワ軟膏０．３％</v>
      </c>
      <c r="H941" s="208">
        <f>match_results!D938</f>
        <v>80</v>
      </c>
      <c r="I941" s="218">
        <f>match_results!E938</f>
        <v>100</v>
      </c>
      <c r="J941" s="225" t="s">
        <v>3917</v>
      </c>
      <c r="K941" s="15">
        <f ca="1">IF($J941="〇",OFFSET(集計!B$3,合体!$H941,0),"")</f>
        <v>147</v>
      </c>
      <c r="L941" s="15">
        <f ca="1">IF($J941="〇",OFFSET(集計!C$3,合体!$H941,0),"")</f>
        <v>7</v>
      </c>
      <c r="M941" s="202">
        <f ca="1">IF($J941="〇",OFFSET(集計!D$3,合体!$H941,0),"")</f>
        <v>1029</v>
      </c>
    </row>
    <row r="942" spans="2:13" x14ac:dyDescent="0.2">
      <c r="B942" s="201">
        <f t="shared" si="14"/>
        <v>938</v>
      </c>
      <c r="C942" s="15" t="str">
        <f>薬品マスタリスト_20260130100542!A940</f>
        <v>リパクレオンカプセル１５０ｍｇ</v>
      </c>
      <c r="D942" s="15" t="str">
        <f>薬品マスタリスト_20260130100542!B940</f>
        <v>ﾘﾊﾟｸﾚｵﾝｶﾌﾟｾﾙ150mg</v>
      </c>
      <c r="E942" s="15">
        <f>薬品マスタリスト_20260130100542!C940</f>
        <v>2</v>
      </c>
      <c r="F942" s="206" t="str">
        <f>薬品マスタリスト_20260130100542!D940</f>
        <v>カプセル</v>
      </c>
      <c r="G942" s="208" t="str">
        <f>match_results!C939</f>
        <v>テプレノンカプセル５０ｍｇ　</v>
      </c>
      <c r="H942" s="208">
        <f>match_results!D939</f>
        <v>525</v>
      </c>
      <c r="I942" s="218">
        <f>match_results!E939</f>
        <v>71.428571428571402</v>
      </c>
      <c r="J942" s="225"/>
      <c r="K942" s="15" t="str">
        <f ca="1">IF($J942="〇",OFFSET(集計!B$3,合体!$H942,0),"")</f>
        <v/>
      </c>
      <c r="L942" s="15" t="str">
        <f ca="1">IF($J942="〇",OFFSET(集計!C$3,合体!$H942,0),"")</f>
        <v/>
      </c>
      <c r="M942" s="202" t="str">
        <f ca="1">IF($J942="〇",OFFSET(集計!D$3,合体!$H942,0),"")</f>
        <v/>
      </c>
    </row>
    <row r="943" spans="2:13" x14ac:dyDescent="0.2">
      <c r="B943" s="201">
        <f t="shared" si="14"/>
        <v>939</v>
      </c>
      <c r="C943" s="15" t="str">
        <f>薬品マスタリスト_20260130100542!A941</f>
        <v>リバスチグミンテープ４．５ｍｇ「ニプロ」</v>
      </c>
      <c r="D943" s="15" t="str">
        <f>薬品マスタリスト_20260130100542!B941</f>
        <v>ﾘﾊﾞｽﾁｸﾞﾐﾝﾃｰﾌﾟ4.5mg｢ﾆﾌﾟﾛ｣</v>
      </c>
      <c r="E943" s="15">
        <f>薬品マスタリスト_20260130100542!C941</f>
        <v>19</v>
      </c>
      <c r="F943" s="206" t="str">
        <f>薬品マスタリスト_20260130100542!D941</f>
        <v>貼付剤</v>
      </c>
      <c r="G943" s="208" t="str">
        <f>match_results!C940</f>
        <v>リバスチグミンテープ４．５ｍｇ　２８枚</v>
      </c>
      <c r="H943" s="208">
        <f>match_results!D940</f>
        <v>391</v>
      </c>
      <c r="I943" s="218">
        <f>match_results!E940</f>
        <v>76.923076923076906</v>
      </c>
      <c r="J943" s="225"/>
      <c r="K943" s="15" t="str">
        <f ca="1">IF($J943="〇",OFFSET(集計!B$3,合体!$H943,0),"")</f>
        <v/>
      </c>
      <c r="L943" s="15" t="str">
        <f ca="1">IF($J943="〇",OFFSET(集計!C$3,合体!$H943,0),"")</f>
        <v/>
      </c>
      <c r="M943" s="202" t="str">
        <f ca="1">IF($J943="〇",OFFSET(集計!D$3,合体!$H943,0),"")</f>
        <v/>
      </c>
    </row>
    <row r="944" spans="2:13" x14ac:dyDescent="0.2">
      <c r="B944" s="201">
        <f t="shared" si="14"/>
        <v>940</v>
      </c>
      <c r="C944" s="15" t="str">
        <f>薬品マスタリスト_20260130100542!A942</f>
        <v>リバスチグミンテープ９ｍｇ「ニプロ」</v>
      </c>
      <c r="D944" s="15" t="str">
        <f>薬品マスタリスト_20260130100542!B942</f>
        <v>ﾘﾊﾞｽﾁｸﾞﾐﾝﾃｰﾌﾟ9mg｢ﾆﾌﾟﾛ｣</v>
      </c>
      <c r="E944" s="15">
        <f>薬品マスタリスト_20260130100542!C942</f>
        <v>19</v>
      </c>
      <c r="F944" s="206" t="str">
        <f>薬品マスタリスト_20260130100542!D942</f>
        <v>貼付剤</v>
      </c>
      <c r="G944" s="208" t="str">
        <f>match_results!C941</f>
        <v>リバスチグミンテープ１８ｍｇ　２８枚</v>
      </c>
      <c r="H944" s="208">
        <f>match_results!D941</f>
        <v>454</v>
      </c>
      <c r="I944" s="218">
        <f>match_results!E941</f>
        <v>66.6666666666666</v>
      </c>
      <c r="J944" s="225"/>
      <c r="K944" s="15" t="str">
        <f ca="1">IF($J944="〇",OFFSET(集計!B$3,合体!$H944,0),"")</f>
        <v/>
      </c>
      <c r="L944" s="15" t="str">
        <f ca="1">IF($J944="〇",OFFSET(集計!C$3,合体!$H944,0),"")</f>
        <v/>
      </c>
      <c r="M944" s="202" t="str">
        <f ca="1">IF($J944="〇",OFFSET(集計!D$3,合体!$H944,0),"")</f>
        <v/>
      </c>
    </row>
    <row r="945" spans="2:13" x14ac:dyDescent="0.2">
      <c r="B945" s="201">
        <f t="shared" si="14"/>
        <v>941</v>
      </c>
      <c r="C945" s="15" t="str">
        <f>薬品マスタリスト_20260130100542!A943</f>
        <v>リバスチグミンテープ１３．５ｍｇ「ニプロ」</v>
      </c>
      <c r="D945" s="15" t="str">
        <f>薬品マスタリスト_20260130100542!B943</f>
        <v>ﾘﾊﾞｽﾁｸﾞﾐﾝﾃｰﾌﾟ13.5mg｢ﾆﾌﾟﾛ｣</v>
      </c>
      <c r="E945" s="15">
        <f>薬品マスタリスト_20260130100542!C943</f>
        <v>19</v>
      </c>
      <c r="F945" s="206" t="str">
        <f>薬品マスタリスト_20260130100542!D943</f>
        <v>貼付剤</v>
      </c>
      <c r="G945" s="208" t="str">
        <f>match_results!C942</f>
        <v>リバスチグミンテープ１３．５ｍｇ　２８枚</v>
      </c>
      <c r="H945" s="208">
        <f>match_results!D942</f>
        <v>405</v>
      </c>
      <c r="I945" s="218">
        <f>match_results!E942</f>
        <v>78.048780487804805</v>
      </c>
      <c r="J945" s="225"/>
      <c r="K945" s="15" t="str">
        <f ca="1">IF($J945="〇",OFFSET(集計!B$3,合体!$H945,0),"")</f>
        <v/>
      </c>
      <c r="L945" s="15" t="str">
        <f ca="1">IF($J945="〇",OFFSET(集計!C$3,合体!$H945,0),"")</f>
        <v/>
      </c>
      <c r="M945" s="202" t="str">
        <f ca="1">IF($J945="〇",OFFSET(集計!D$3,合体!$H945,0),"")</f>
        <v/>
      </c>
    </row>
    <row r="946" spans="2:13" x14ac:dyDescent="0.2">
      <c r="B946" s="201">
        <f t="shared" si="14"/>
        <v>942</v>
      </c>
      <c r="C946" s="15" t="str">
        <f>薬品マスタリスト_20260130100542!A944</f>
        <v>リバスチグミンテープ１８ｍｇ「ニプロ」</v>
      </c>
      <c r="D946" s="15" t="str">
        <f>薬品マスタリスト_20260130100542!B944</f>
        <v>ﾘﾊﾞｽﾁｸﾞﾐﾝﾃｰﾌﾟ18mg｢ﾆﾌﾟﾛ｣</v>
      </c>
      <c r="E946" s="15">
        <f>薬品マスタリスト_20260130100542!C944</f>
        <v>19</v>
      </c>
      <c r="F946" s="206" t="str">
        <f>薬品マスタリスト_20260130100542!D944</f>
        <v>貼付剤</v>
      </c>
      <c r="G946" s="208" t="str">
        <f>match_results!C943</f>
        <v>リバスチグミンテープ１８ｍｇ　２８枚</v>
      </c>
      <c r="H946" s="208">
        <f>match_results!D943</f>
        <v>454</v>
      </c>
      <c r="I946" s="218">
        <f>match_results!E943</f>
        <v>75.675675675675606</v>
      </c>
      <c r="J946" s="225"/>
      <c r="K946" s="15" t="str">
        <f ca="1">IF($J946="〇",OFFSET(集計!B$3,合体!$H946,0),"")</f>
        <v/>
      </c>
      <c r="L946" s="15" t="str">
        <f ca="1">IF($J946="〇",OFFSET(集計!C$3,合体!$H946,0),"")</f>
        <v/>
      </c>
      <c r="M946" s="202" t="str">
        <f ca="1">IF($J946="〇",OFFSET(集計!D$3,合体!$H946,0),"")</f>
        <v/>
      </c>
    </row>
    <row r="947" spans="2:13" x14ac:dyDescent="0.2">
      <c r="B947" s="201">
        <f t="shared" si="14"/>
        <v>943</v>
      </c>
      <c r="C947" s="15" t="str">
        <f>薬品マスタリスト_20260130100542!A945</f>
        <v>リバスチグミンテープ４．５ｍｇ「トーワ」</v>
      </c>
      <c r="D947" s="15" t="str">
        <f>薬品マスタリスト_20260130100542!B945</f>
        <v>ﾘﾊﾞｽﾁｸﾞﾐﾝﾃ-ﾌﾟ4.5MGﾄ-ﾜ</v>
      </c>
      <c r="E947" s="15">
        <f>薬品マスタリスト_20260130100542!C945</f>
        <v>19</v>
      </c>
      <c r="F947" s="206" t="str">
        <f>薬品マスタリスト_20260130100542!D945</f>
        <v>貼付剤</v>
      </c>
      <c r="G947" s="208" t="str">
        <f>match_results!C944</f>
        <v>リバスチグミンテープ４．５ｍｇ　２８枚</v>
      </c>
      <c r="H947" s="208">
        <f>match_results!D944</f>
        <v>391</v>
      </c>
      <c r="I947" s="218">
        <f>match_results!E944</f>
        <v>76.923076923076906</v>
      </c>
      <c r="J947" s="225"/>
      <c r="K947" s="15" t="str">
        <f ca="1">IF($J947="〇",OFFSET(集計!B$3,合体!$H947,0),"")</f>
        <v/>
      </c>
      <c r="L947" s="15" t="str">
        <f ca="1">IF($J947="〇",OFFSET(集計!C$3,合体!$H947,0),"")</f>
        <v/>
      </c>
      <c r="M947" s="202" t="str">
        <f ca="1">IF($J947="〇",OFFSET(集計!D$3,合体!$H947,0),"")</f>
        <v/>
      </c>
    </row>
    <row r="948" spans="2:13" x14ac:dyDescent="0.2">
      <c r="B948" s="201">
        <f t="shared" si="14"/>
        <v>944</v>
      </c>
      <c r="C948" s="15" t="str">
        <f>薬品マスタリスト_20260130100542!A946</f>
        <v>リバスチグミンテープ９ｍｇ「トーワ」</v>
      </c>
      <c r="D948" s="15" t="str">
        <f>薬品マスタリスト_20260130100542!B946</f>
        <v>ﾘﾊﾞｽﾁｸﾞﾐﾝﾃ-ﾌﾟ9MGﾄ-ﾜ</v>
      </c>
      <c r="E948" s="15">
        <f>薬品マスタリスト_20260130100542!C946</f>
        <v>19</v>
      </c>
      <c r="F948" s="206" t="str">
        <f>薬品マスタリスト_20260130100542!D946</f>
        <v>貼付剤</v>
      </c>
      <c r="G948" s="208" t="str">
        <f>match_results!C945</f>
        <v>リバスチグミンテープ１８ｍｇ　２８枚</v>
      </c>
      <c r="H948" s="208">
        <f>match_results!D945</f>
        <v>454</v>
      </c>
      <c r="I948" s="218">
        <f>match_results!E945</f>
        <v>66.6666666666666</v>
      </c>
      <c r="J948" s="225"/>
      <c r="K948" s="15" t="str">
        <f ca="1">IF($J948="〇",OFFSET(集計!B$3,合体!$H948,0),"")</f>
        <v/>
      </c>
      <c r="L948" s="15" t="str">
        <f ca="1">IF($J948="〇",OFFSET(集計!C$3,合体!$H948,0),"")</f>
        <v/>
      </c>
      <c r="M948" s="202" t="str">
        <f ca="1">IF($J948="〇",OFFSET(集計!D$3,合体!$H948,0),"")</f>
        <v/>
      </c>
    </row>
    <row r="949" spans="2:13" x14ac:dyDescent="0.2">
      <c r="B949" s="201">
        <f t="shared" si="14"/>
        <v>945</v>
      </c>
      <c r="C949" s="15" t="str">
        <f>薬品マスタリスト_20260130100542!A947</f>
        <v>リバスチグミンテープ１３．５ｍｇ「トーワ」</v>
      </c>
      <c r="D949" s="15" t="str">
        <f>薬品マスタリスト_20260130100542!B947</f>
        <v>ﾘﾊﾞｽﾁｸﾞﾐﾝﾃ-ﾌﾟ13.5MGﾄ-ﾜ</v>
      </c>
      <c r="E949" s="15">
        <f>薬品マスタリスト_20260130100542!C947</f>
        <v>19</v>
      </c>
      <c r="F949" s="206" t="str">
        <f>薬品マスタリスト_20260130100542!D947</f>
        <v>貼付剤</v>
      </c>
      <c r="G949" s="208" t="str">
        <f>match_results!C946</f>
        <v>リバスチグミンテープ１３．５ｍｇ　２８枚</v>
      </c>
      <c r="H949" s="208">
        <f>match_results!D946</f>
        <v>405</v>
      </c>
      <c r="I949" s="218">
        <f>match_results!E946</f>
        <v>78.048780487804805</v>
      </c>
      <c r="J949" s="225"/>
      <c r="K949" s="15" t="str">
        <f ca="1">IF($J949="〇",OFFSET(集計!B$3,合体!$H949,0),"")</f>
        <v/>
      </c>
      <c r="L949" s="15" t="str">
        <f ca="1">IF($J949="〇",OFFSET(集計!C$3,合体!$H949,0),"")</f>
        <v/>
      </c>
      <c r="M949" s="202" t="str">
        <f ca="1">IF($J949="〇",OFFSET(集計!D$3,合体!$H949,0),"")</f>
        <v/>
      </c>
    </row>
    <row r="950" spans="2:13" x14ac:dyDescent="0.2">
      <c r="B950" s="201">
        <f t="shared" si="14"/>
        <v>946</v>
      </c>
      <c r="C950" s="15" t="str">
        <f>薬品マスタリスト_20260130100542!A948</f>
        <v>リバスチグミンテープ１８ｍｇ「トーワ」</v>
      </c>
      <c r="D950" s="15" t="str">
        <f>薬品マスタリスト_20260130100542!B948</f>
        <v>ﾘﾊﾞｽﾁｸﾞﾐﾝﾃ-ﾌﾟ18MGﾄ-ﾜ</v>
      </c>
      <c r="E950" s="15">
        <f>薬品マスタリスト_20260130100542!C948</f>
        <v>19</v>
      </c>
      <c r="F950" s="206" t="str">
        <f>薬品マスタリスト_20260130100542!D948</f>
        <v>貼付剤</v>
      </c>
      <c r="G950" s="208" t="str">
        <f>match_results!C947</f>
        <v>リバスチグミンテープ１８ｍｇ　２８枚</v>
      </c>
      <c r="H950" s="208">
        <f>match_results!D947</f>
        <v>454</v>
      </c>
      <c r="I950" s="218">
        <f>match_results!E947</f>
        <v>75.675675675675606</v>
      </c>
      <c r="J950" s="225"/>
      <c r="K950" s="15" t="str">
        <f ca="1">IF($J950="〇",OFFSET(集計!B$3,合体!$H950,0),"")</f>
        <v/>
      </c>
      <c r="L950" s="15" t="str">
        <f ca="1">IF($J950="〇",OFFSET(集計!C$3,合体!$H950,0),"")</f>
        <v/>
      </c>
      <c r="M950" s="202" t="str">
        <f ca="1">IF($J950="〇",OFFSET(集計!D$3,合体!$H950,0),"")</f>
        <v/>
      </c>
    </row>
    <row r="951" spans="2:13" x14ac:dyDescent="0.2">
      <c r="B951" s="201">
        <f t="shared" si="14"/>
        <v>947</v>
      </c>
      <c r="C951" s="15" t="str">
        <f>薬品マスタリスト_20260130100542!A949</f>
        <v>リバーロキサバンＯＤ錠１０ｍｇ「トーワ」</v>
      </c>
      <c r="D951" s="15" t="str">
        <f>薬品マスタリスト_20260130100542!B949</f>
        <v>ﾘﾊﾞ-ﾛｷｻﾊﾞﾝODｼﾞﾖｳ10MGﾄ-ﾜ</v>
      </c>
      <c r="E951" s="15">
        <f>薬品マスタリスト_20260130100542!C949</f>
        <v>1</v>
      </c>
      <c r="F951" s="206" t="str">
        <f>薬品マスタリスト_20260130100542!D949</f>
        <v>錠剤</v>
      </c>
      <c r="G951" s="208" t="str">
        <f>match_results!C948</f>
        <v>リバーロキサバンＯＤ錠１０ｍｇ「トーワ」</v>
      </c>
      <c r="H951" s="208">
        <f>match_results!D948</f>
        <v>636</v>
      </c>
      <c r="I951" s="218">
        <f>match_results!E948</f>
        <v>100</v>
      </c>
      <c r="J951" s="225" t="s">
        <v>3917</v>
      </c>
      <c r="K951" s="15">
        <f ca="1">IF($J951="〇",OFFSET(集計!B$3,合体!$H951,0),"")</f>
        <v>119.37</v>
      </c>
      <c r="L951" s="15">
        <f ca="1">IF($J951="〇",OFFSET(集計!C$3,合体!$H951,0),"")</f>
        <v>500</v>
      </c>
      <c r="M951" s="202">
        <f ca="1">IF($J951="〇",OFFSET(集計!D$3,合体!$H951,0),"")</f>
        <v>59685</v>
      </c>
    </row>
    <row r="952" spans="2:13" x14ac:dyDescent="0.2">
      <c r="B952" s="201">
        <f t="shared" si="14"/>
        <v>948</v>
      </c>
      <c r="C952" s="15" t="str">
        <f>薬品マスタリスト_20260130100542!A950</f>
        <v>リバーロキサバンＯＤ錠１０ｍｇ「バイエル」</v>
      </c>
      <c r="D952" s="15" t="str">
        <f>薬品マスタリスト_20260130100542!B950</f>
        <v>ﾘﾊﾞ-ﾛｷｻﾊﾞﾝODｼﾞﾖｳ10MGﾊﾞｲｴﾙ</v>
      </c>
      <c r="E952" s="15">
        <f>薬品マスタリスト_20260130100542!C950</f>
        <v>1</v>
      </c>
      <c r="F952" s="206" t="str">
        <f>薬品マスタリスト_20260130100542!D950</f>
        <v>錠剤</v>
      </c>
      <c r="G952" s="208" t="str">
        <f>match_results!C949</f>
        <v>リバーロキサバンＯＤ錠１０ｍｇ「トーワ」</v>
      </c>
      <c r="H952" s="208">
        <f>match_results!D949</f>
        <v>636</v>
      </c>
      <c r="I952" s="218">
        <f>match_results!E949</f>
        <v>82.926829268292593</v>
      </c>
      <c r="J952" s="225"/>
      <c r="K952" s="15" t="str">
        <f ca="1">IF($J952="〇",OFFSET(集計!B$3,合体!$H952,0),"")</f>
        <v/>
      </c>
      <c r="L952" s="15" t="str">
        <f ca="1">IF($J952="〇",OFFSET(集計!C$3,合体!$H952,0),"")</f>
        <v/>
      </c>
      <c r="M952" s="202" t="str">
        <f ca="1">IF($J952="〇",OFFSET(集計!D$3,合体!$H952,0),"")</f>
        <v/>
      </c>
    </row>
    <row r="953" spans="2:13" x14ac:dyDescent="0.2">
      <c r="B953" s="201">
        <f t="shared" si="14"/>
        <v>949</v>
      </c>
      <c r="C953" s="15" t="str">
        <f>薬品マスタリスト_20260130100542!A951</f>
        <v>リファンピシンカプセル１５０ｍｇ「サンド」</v>
      </c>
      <c r="D953" s="15" t="str">
        <f>薬品マスタリスト_20260130100542!B951</f>
        <v>ﾘﾌｧﾝﾋﾟｼﾝｶﾌﾟｾﾙ150mg｢ｻﾝﾄﾞ｣</v>
      </c>
      <c r="E953" s="15">
        <f>薬品マスタリスト_20260130100542!C951</f>
        <v>2</v>
      </c>
      <c r="F953" s="206" t="str">
        <f>薬品マスタリスト_20260130100542!D951</f>
        <v>カプセル</v>
      </c>
      <c r="G953" s="208" t="str">
        <f>match_results!C950</f>
        <v>ニフェジピンカプセル１０ｍｇ</v>
      </c>
      <c r="H953" s="208">
        <f>match_results!D950</f>
        <v>66</v>
      </c>
      <c r="I953" s="218">
        <f>match_results!E950</f>
        <v>62.857142857142797</v>
      </c>
      <c r="J953" s="225"/>
      <c r="K953" s="15" t="str">
        <f ca="1">IF($J953="〇",OFFSET(集計!B$3,合体!$H953,0),"")</f>
        <v/>
      </c>
      <c r="L953" s="15" t="str">
        <f ca="1">IF($J953="〇",OFFSET(集計!C$3,合体!$H953,0),"")</f>
        <v/>
      </c>
      <c r="M953" s="202" t="str">
        <f ca="1">IF($J953="〇",OFFSET(集計!D$3,合体!$H953,0),"")</f>
        <v/>
      </c>
    </row>
    <row r="954" spans="2:13" x14ac:dyDescent="0.2">
      <c r="B954" s="201">
        <f t="shared" si="14"/>
        <v>950</v>
      </c>
      <c r="C954" s="15" t="str">
        <f>薬品マスタリスト_20260130100542!A952</f>
        <v>リフキシマ錠２００ｍｇ</v>
      </c>
      <c r="D954" s="15" t="str">
        <f>薬品マスタリスト_20260130100542!B952</f>
        <v>ﾘﾌｷｼﾏｼﾞﾖｳ200MG</v>
      </c>
      <c r="E954" s="15">
        <f>薬品マスタリスト_20260130100542!C952</f>
        <v>1</v>
      </c>
      <c r="F954" s="206" t="str">
        <f>薬品マスタリスト_20260130100542!D952</f>
        <v>錠剤</v>
      </c>
      <c r="G954" s="208" t="str">
        <f>match_results!C951</f>
        <v>リフキシマ２００ｍｇ</v>
      </c>
      <c r="H954" s="208">
        <f>match_results!D951</f>
        <v>26</v>
      </c>
      <c r="I954" s="218">
        <f>match_results!E951</f>
        <v>95.238095238095198</v>
      </c>
      <c r="J954" s="225"/>
      <c r="K954" s="15" t="str">
        <f ca="1">IF($J954="〇",OFFSET(集計!B$3,合体!$H954,0),"")</f>
        <v/>
      </c>
      <c r="L954" s="15" t="str">
        <f ca="1">IF($J954="〇",OFFSET(集計!C$3,合体!$H954,0),"")</f>
        <v/>
      </c>
      <c r="M954" s="202" t="str">
        <f ca="1">IF($J954="〇",OFFSET(集計!D$3,合体!$H954,0),"")</f>
        <v/>
      </c>
    </row>
    <row r="955" spans="2:13" x14ac:dyDescent="0.2">
      <c r="B955" s="201">
        <f t="shared" si="14"/>
        <v>951</v>
      </c>
      <c r="C955" s="15" t="str">
        <f>薬品マスタリスト_20260130100542!A953</f>
        <v>リプル</v>
      </c>
      <c r="D955" s="15" t="str">
        <f>薬品マスタリスト_20260130100542!B953</f>
        <v>ﾘﾌﾟﾙ</v>
      </c>
      <c r="E955" s="15">
        <f>薬品マスタリスト_20260130100542!C953</f>
        <v>25</v>
      </c>
      <c r="F955" s="206" t="str">
        <f>薬品マスタリスト_20260130100542!D953</f>
        <v>注射剤</v>
      </c>
      <c r="G955" s="208" t="str">
        <f>match_results!C952</f>
        <v>トリプタノール錠２５　</v>
      </c>
      <c r="H955" s="208">
        <f>match_results!D952</f>
        <v>203</v>
      </c>
      <c r="I955" s="218">
        <f>match_results!E952</f>
        <v>46.153846153846096</v>
      </c>
      <c r="J955" s="225"/>
      <c r="K955" s="15" t="str">
        <f ca="1">IF($J955="〇",OFFSET(集計!B$3,合体!$H955,0),"")</f>
        <v/>
      </c>
      <c r="L955" s="15" t="str">
        <f ca="1">IF($J955="〇",OFFSET(集計!C$3,合体!$H955,0),"")</f>
        <v/>
      </c>
      <c r="M955" s="202" t="str">
        <f ca="1">IF($J955="〇",OFFSET(集計!D$3,合体!$H955,0),"")</f>
        <v/>
      </c>
    </row>
    <row r="956" spans="2:13" x14ac:dyDescent="0.2">
      <c r="B956" s="201">
        <f t="shared" si="14"/>
        <v>952</v>
      </c>
      <c r="C956" s="15" t="str">
        <f>薬品マスタリスト_20260130100542!A954</f>
        <v>リボトリール錠０．５ｍｇ</v>
      </c>
      <c r="D956" s="15" t="str">
        <f>薬品マスタリスト_20260130100542!B954</f>
        <v>ﾘﾎﾞﾄﾘｰﾙｼﾞｮｳ0.5mg</v>
      </c>
      <c r="E956" s="15">
        <f>薬品マスタリスト_20260130100542!C954</f>
        <v>1</v>
      </c>
      <c r="F956" s="206" t="str">
        <f>薬品マスタリスト_20260130100542!D954</f>
        <v>錠剤</v>
      </c>
      <c r="G956" s="208" t="str">
        <f>match_results!C953</f>
        <v>リボトリ－ル錠０．５ｍｇ</v>
      </c>
      <c r="H956" s="208">
        <f>match_results!D953</f>
        <v>513</v>
      </c>
      <c r="I956" s="218">
        <f>match_results!E953</f>
        <v>91.6666666666666</v>
      </c>
      <c r="J956" s="225"/>
      <c r="K956" s="15" t="str">
        <f ca="1">IF($J956="〇",OFFSET(集計!B$3,合体!$H956,0),"")</f>
        <v/>
      </c>
      <c r="L956" s="15" t="str">
        <f ca="1">IF($J956="〇",OFFSET(集計!C$3,合体!$H956,0),"")</f>
        <v/>
      </c>
      <c r="M956" s="202" t="str">
        <f ca="1">IF($J956="〇",OFFSET(集計!D$3,合体!$H956,0),"")</f>
        <v/>
      </c>
    </row>
    <row r="957" spans="2:13" x14ac:dyDescent="0.2">
      <c r="B957" s="201">
        <f t="shared" si="14"/>
        <v>953</v>
      </c>
      <c r="C957" s="15" t="str">
        <f>薬品マスタリスト_20260130100542!A955</f>
        <v>リボトリール錠１ｍｇ</v>
      </c>
      <c r="D957" s="15" t="str">
        <f>薬品マスタリスト_20260130100542!B955</f>
        <v>ﾘﾎﾞﾄﾘｰﾙｼﾞｮｳ1mg</v>
      </c>
      <c r="E957" s="15">
        <f>薬品マスタリスト_20260130100542!C955</f>
        <v>1</v>
      </c>
      <c r="F957" s="206" t="str">
        <f>薬品マスタリスト_20260130100542!D955</f>
        <v>錠剤</v>
      </c>
      <c r="G957" s="208" t="str">
        <f>match_results!C954</f>
        <v>リボトリール錠１㎎　</v>
      </c>
      <c r="H957" s="208">
        <f>match_results!D954</f>
        <v>542</v>
      </c>
      <c r="I957" s="218">
        <f>match_results!E954</f>
        <v>84.210526315789394</v>
      </c>
      <c r="J957" s="225"/>
      <c r="K957" s="15" t="str">
        <f ca="1">IF($J957="〇",OFFSET(集計!B$3,合体!$H957,0),"")</f>
        <v/>
      </c>
      <c r="L957" s="15" t="str">
        <f ca="1">IF($J957="〇",OFFSET(集計!C$3,合体!$H957,0),"")</f>
        <v/>
      </c>
      <c r="M957" s="202" t="str">
        <f ca="1">IF($J957="〇",OFFSET(集計!D$3,合体!$H957,0),"")</f>
        <v/>
      </c>
    </row>
    <row r="958" spans="2:13" x14ac:dyDescent="0.2">
      <c r="B958" s="201">
        <f t="shared" si="14"/>
        <v>954</v>
      </c>
      <c r="C958" s="15" t="str">
        <f>薬品マスタリスト_20260130100542!A956</f>
        <v>リマチル錠１００ｍｇ</v>
      </c>
      <c r="D958" s="15" t="str">
        <f>薬品マスタリスト_20260130100542!B956</f>
        <v>ﾘﾏﾁﾙｼﾞﾖｳ100MG</v>
      </c>
      <c r="E958" s="15">
        <f>薬品マスタリスト_20260130100542!C956</f>
        <v>1</v>
      </c>
      <c r="F958" s="206" t="str">
        <f>薬品マスタリスト_20260130100542!D956</f>
        <v>錠剤</v>
      </c>
      <c r="G958" s="208" t="str">
        <f>match_results!C955</f>
        <v>リマチル錠１００ｍｇ</v>
      </c>
      <c r="H958" s="208">
        <f>match_results!D955</f>
        <v>351</v>
      </c>
      <c r="I958" s="218">
        <f>match_results!E955</f>
        <v>100</v>
      </c>
      <c r="J958" s="225" t="s">
        <v>3917</v>
      </c>
      <c r="K958" s="15">
        <f ca="1">IF($J958="〇",OFFSET(集計!B$3,合体!$H958,0),"")</f>
        <v>29.26</v>
      </c>
      <c r="L958" s="15">
        <f ca="1">IF($J958="〇",OFFSET(集計!C$3,合体!$H958,0),"")</f>
        <v>204</v>
      </c>
      <c r="M958" s="202">
        <f ca="1">IF($J958="〇",OFFSET(集計!D$3,合体!$H958,0),"")</f>
        <v>5969.04</v>
      </c>
    </row>
    <row r="959" spans="2:13" x14ac:dyDescent="0.2">
      <c r="B959" s="201">
        <f t="shared" si="14"/>
        <v>955</v>
      </c>
      <c r="C959" s="15" t="str">
        <f>薬品マスタリスト_20260130100542!A957</f>
        <v>リマプロストアルファデクス錠５μｇ「サワイ」</v>
      </c>
      <c r="D959" s="15" t="str">
        <f>薬品マスタリスト_20260130100542!B957</f>
        <v>ﾘﾏﾌﾟﾛｽﾄｱﾙﾌｧﾃﾞｸｽｼﾞｮｳ5μg｢ｻﾜｲ｣</v>
      </c>
      <c r="E959" s="15">
        <f>薬品マスタリスト_20260130100542!C957</f>
        <v>1</v>
      </c>
      <c r="F959" s="206" t="str">
        <f>薬品マスタリスト_20260130100542!D957</f>
        <v>錠剤</v>
      </c>
      <c r="G959" s="208" t="str">
        <f>match_results!C956</f>
        <v>リマプロストアルファデクス錠５μｇ</v>
      </c>
      <c r="H959" s="208">
        <f>match_results!D956</f>
        <v>397</v>
      </c>
      <c r="I959" s="218">
        <f>match_results!E956</f>
        <v>87.179487179487097</v>
      </c>
      <c r="J959" s="225"/>
      <c r="K959" s="15" t="str">
        <f ca="1">IF($J959="〇",OFFSET(集計!B$3,合体!$H959,0),"")</f>
        <v/>
      </c>
      <c r="L959" s="15" t="str">
        <f ca="1">IF($J959="〇",OFFSET(集計!C$3,合体!$H959,0),"")</f>
        <v/>
      </c>
      <c r="M959" s="202" t="str">
        <f ca="1">IF($J959="〇",OFFSET(集計!D$3,合体!$H959,0),"")</f>
        <v/>
      </c>
    </row>
    <row r="960" spans="2:13" x14ac:dyDescent="0.2">
      <c r="B960" s="201">
        <f t="shared" si="14"/>
        <v>956</v>
      </c>
      <c r="C960" s="15" t="str">
        <f>薬品マスタリスト_20260130100542!A958</f>
        <v>硫酸ストレプトマイシン注射用１ｇ「明治」</v>
      </c>
      <c r="D960" s="15" t="str">
        <f>薬品マスタリスト_20260130100542!B958</f>
        <v>ﾘｭｳｻﾝｽﾄﾚﾌﾟﾄﾏｲｼﾝﾁｭｳｼｬﾖｳ1g｢ﾒｲｼﾞ｣</v>
      </c>
      <c r="E960" s="15">
        <f>薬品マスタリスト_20260130100542!C958</f>
        <v>25</v>
      </c>
      <c r="F960" s="206" t="str">
        <f>薬品マスタリスト_20260130100542!D958</f>
        <v>注射剤</v>
      </c>
      <c r="G960" s="208" t="str">
        <f>match_results!C957</f>
        <v>ペントシリン注射用１ｇ</v>
      </c>
      <c r="H960" s="208">
        <f>match_results!D957</f>
        <v>623</v>
      </c>
      <c r="I960" s="218">
        <f>match_results!E957</f>
        <v>51.612903225806399</v>
      </c>
      <c r="J960" s="225"/>
      <c r="K960" s="15" t="str">
        <f ca="1">IF($J960="〇",OFFSET(集計!B$3,合体!$H960,0),"")</f>
        <v/>
      </c>
      <c r="L960" s="15" t="str">
        <f ca="1">IF($J960="〇",OFFSET(集計!C$3,合体!$H960,0),"")</f>
        <v/>
      </c>
      <c r="M960" s="202" t="str">
        <f ca="1">IF($J960="〇",OFFSET(集計!D$3,合体!$H960,0),"")</f>
        <v/>
      </c>
    </row>
    <row r="961" spans="2:13" x14ac:dyDescent="0.2">
      <c r="B961" s="201">
        <f t="shared" si="14"/>
        <v>957</v>
      </c>
      <c r="C961" s="15" t="str">
        <f>薬品マスタリスト_20260130100542!A959</f>
        <v>リュープロレリン酢酸塩注射用キット３．７５ｍｇ「あすか」</v>
      </c>
      <c r="D961" s="15" t="str">
        <f>薬品マスタリスト_20260130100542!B959</f>
        <v>ﾘｭｰﾌﾟﾛﾚﾘﾝｻｸｻﾝｴﾝﾁｭｳｼｬﾖｳｷｯﾄ3.75mg｢ｱｽｶ｣</v>
      </c>
      <c r="E961" s="15">
        <f>薬品マスタリスト_20260130100542!C959</f>
        <v>25</v>
      </c>
      <c r="F961" s="206" t="str">
        <f>薬品マスタリスト_20260130100542!D959</f>
        <v>注射剤</v>
      </c>
      <c r="G961" s="208" t="str">
        <f>match_results!C958</f>
        <v>アトロピン硫酸塩注０．５ｍｇ</v>
      </c>
      <c r="H961" s="208">
        <f>match_results!D958</f>
        <v>49</v>
      </c>
      <c r="I961" s="218">
        <f>match_results!E958</f>
        <v>42.857142857142797</v>
      </c>
      <c r="J961" s="225"/>
      <c r="K961" s="15" t="str">
        <f ca="1">IF($J961="〇",OFFSET(集計!B$3,合体!$H961,0),"")</f>
        <v/>
      </c>
      <c r="L961" s="15" t="str">
        <f ca="1">IF($J961="〇",OFFSET(集計!C$3,合体!$H961,0),"")</f>
        <v/>
      </c>
      <c r="M961" s="202" t="str">
        <f ca="1">IF($J961="〇",OFFSET(集計!D$3,合体!$H961,0),"")</f>
        <v/>
      </c>
    </row>
    <row r="962" spans="2:13" x14ac:dyDescent="0.2">
      <c r="B962" s="201">
        <f t="shared" si="14"/>
        <v>958</v>
      </c>
      <c r="C962" s="15" t="str">
        <f>薬品マスタリスト_20260130100542!A960</f>
        <v>リルゾール錠５０ｍｇ「ニプロ」</v>
      </c>
      <c r="D962" s="15" t="str">
        <f>薬品マスタリスト_20260130100542!B960</f>
        <v>ﾘﾙｿﾞ-ﾙｼﾞﾖｳ50MGﾆﾌﾟﾛ</v>
      </c>
      <c r="E962" s="15">
        <f>薬品マスタリスト_20260130100542!C960</f>
        <v>1</v>
      </c>
      <c r="F962" s="206" t="str">
        <f>薬品マスタリスト_20260130100542!D960</f>
        <v>錠剤</v>
      </c>
      <c r="G962" s="208" t="str">
        <f>match_results!C959</f>
        <v>リルゾール錠５０ｍｇ</v>
      </c>
      <c r="H962" s="208">
        <f>match_results!D959</f>
        <v>415</v>
      </c>
      <c r="I962" s="218">
        <f>match_results!E959</f>
        <v>80</v>
      </c>
      <c r="J962" s="225"/>
      <c r="K962" s="15" t="str">
        <f ca="1">IF($J962="〇",OFFSET(集計!B$3,合体!$H962,0),"")</f>
        <v/>
      </c>
      <c r="L962" s="15" t="str">
        <f ca="1">IF($J962="〇",OFFSET(集計!C$3,合体!$H962,0),"")</f>
        <v/>
      </c>
      <c r="M962" s="202" t="str">
        <f ca="1">IF($J962="〇",OFFSET(集計!D$3,合体!$H962,0),"")</f>
        <v/>
      </c>
    </row>
    <row r="963" spans="2:13" x14ac:dyDescent="0.2">
      <c r="B963" s="201">
        <f t="shared" si="14"/>
        <v>959</v>
      </c>
      <c r="C963" s="15" t="str">
        <f>薬品マスタリスト_20260130100542!A961</f>
        <v>リンゼス錠０．２５ｍｇ</v>
      </c>
      <c r="D963" s="15" t="str">
        <f>薬品マスタリスト_20260130100542!B961</f>
        <v>ﾘﾝｾﾞｽｼﾞｮｳ0.25mg</v>
      </c>
      <c r="E963" s="15">
        <f>薬品マスタリスト_20260130100542!C961</f>
        <v>1</v>
      </c>
      <c r="F963" s="206" t="str">
        <f>薬品マスタリスト_20260130100542!D961</f>
        <v>錠剤</v>
      </c>
      <c r="G963" s="208" t="str">
        <f>match_results!C960</f>
        <v>リンゼス錠０．２５ｍｇ</v>
      </c>
      <c r="H963" s="208">
        <f>match_results!D960</f>
        <v>199</v>
      </c>
      <c r="I963" s="218">
        <f>match_results!E960</f>
        <v>100</v>
      </c>
      <c r="J963" s="225" t="s">
        <v>3917</v>
      </c>
      <c r="K963" s="15">
        <f ca="1">IF($J963="〇",OFFSET(集計!B$3,合体!$H963,0),"")</f>
        <v>5.94</v>
      </c>
      <c r="L963" s="15">
        <f ca="1">IF($J963="〇",OFFSET(集計!C$3,合体!$H963,0),"")</f>
        <v>476</v>
      </c>
      <c r="M963" s="202">
        <f ca="1">IF($J963="〇",OFFSET(集計!D$3,合体!$H963,0),"")</f>
        <v>2827.44</v>
      </c>
    </row>
    <row r="964" spans="2:13" x14ac:dyDescent="0.2">
      <c r="B964" s="201">
        <f t="shared" si="14"/>
        <v>960</v>
      </c>
      <c r="C964" s="15" t="str">
        <f>薬品マスタリスト_20260130100542!A962</f>
        <v>リンデロン点眼・点耳・点鼻液０．１％</v>
      </c>
      <c r="D964" s="15" t="str">
        <f>薬品マスタリスト_20260130100542!B962</f>
        <v>ﾘﾝﾃﾞﾛﾝﾃﾝｶﾞﾝ･ﾃﾝｼﾞ･ﾃﾝﾋﾞｴｷ0.1%</v>
      </c>
      <c r="E964" s="15">
        <f>薬品マスタリスト_20260130100542!C962</f>
        <v>17</v>
      </c>
      <c r="F964" s="206" t="str">
        <f>薬品マスタリスト_20260130100542!D962</f>
        <v>外用液剤</v>
      </c>
      <c r="G964" s="208" t="str">
        <f>match_results!C961</f>
        <v>リンデロン点眼点鼻液　５ｍｌ／本</v>
      </c>
      <c r="H964" s="208">
        <f>match_results!D961</f>
        <v>216</v>
      </c>
      <c r="I964" s="218">
        <f>match_results!E961</f>
        <v>58.823529411764703</v>
      </c>
      <c r="J964" s="225"/>
      <c r="K964" s="15" t="str">
        <f ca="1">IF($J964="〇",OFFSET(集計!B$3,合体!$H964,0),"")</f>
        <v/>
      </c>
      <c r="L964" s="15" t="str">
        <f ca="1">IF($J964="〇",OFFSET(集計!C$3,合体!$H964,0),"")</f>
        <v/>
      </c>
      <c r="M964" s="202" t="str">
        <f ca="1">IF($J964="〇",OFFSET(集計!D$3,合体!$H964,0),"")</f>
        <v/>
      </c>
    </row>
    <row r="965" spans="2:13" x14ac:dyDescent="0.2">
      <c r="B965" s="201">
        <f t="shared" si="14"/>
        <v>961</v>
      </c>
      <c r="C965" s="15" t="str">
        <f>薬品マスタリスト_20260130100542!A963</f>
        <v>眼・耳科用リンデロンＡ軟膏</v>
      </c>
      <c r="D965" s="15" t="str">
        <f>薬品マスタリスト_20260130100542!B963</f>
        <v>ｶﾞﾝ･ｼﾞｶﾖｳﾘﾝﾃﾞﾛﾝAﾅﾝｺｳ</v>
      </c>
      <c r="E965" s="15">
        <f>薬品マスタリスト_20260130100542!C963</f>
        <v>14</v>
      </c>
      <c r="F965" s="206" t="str">
        <f>薬品マスタリスト_20260130100542!D963</f>
        <v>軟膏</v>
      </c>
      <c r="G965" s="208" t="str">
        <f>match_results!C962</f>
        <v>リンデロン懸濁注</v>
      </c>
      <c r="H965" s="208">
        <f>match_results!D962</f>
        <v>103</v>
      </c>
      <c r="I965" s="218">
        <f>match_results!E962</f>
        <v>47.619047619047599</v>
      </c>
      <c r="J965" s="225"/>
      <c r="K965" s="15" t="str">
        <f ca="1">IF($J965="〇",OFFSET(集計!B$3,合体!$H965,0),"")</f>
        <v/>
      </c>
      <c r="L965" s="15" t="str">
        <f ca="1">IF($J965="〇",OFFSET(集計!C$3,合体!$H965,0),"")</f>
        <v/>
      </c>
      <c r="M965" s="202" t="str">
        <f ca="1">IF($J965="〇",OFFSET(集計!D$3,合体!$H965,0),"")</f>
        <v/>
      </c>
    </row>
    <row r="966" spans="2:13" x14ac:dyDescent="0.2">
      <c r="B966" s="201">
        <f t="shared" si="14"/>
        <v>962</v>
      </c>
      <c r="C966" s="15" t="str">
        <f>薬品マスタリスト_20260130100542!A964</f>
        <v>リンデロン－Ｖクリーム０．１２％</v>
      </c>
      <c r="D966" s="15" t="str">
        <f>薬品マスタリスト_20260130100542!B964</f>
        <v>ﾘﾝﾃﾞﾛﾝ-Vｸﾘｰﾑ0.12%</v>
      </c>
      <c r="E966" s="15">
        <f>薬品マスタリスト_20260130100542!C964</f>
        <v>15</v>
      </c>
      <c r="F966" s="206" t="str">
        <f>薬品マスタリスト_20260130100542!D964</f>
        <v>クリーム</v>
      </c>
      <c r="G966" s="208" t="str">
        <f>match_results!C963</f>
        <v>ヘパリン類似油性クリーム０．３％</v>
      </c>
      <c r="H966" s="208">
        <f>match_results!D963</f>
        <v>89</v>
      </c>
      <c r="I966" s="218">
        <f>match_results!E963</f>
        <v>56.25</v>
      </c>
      <c r="J966" s="225"/>
      <c r="K966" s="15" t="str">
        <f ca="1">IF($J966="〇",OFFSET(集計!B$3,合体!$H966,0),"")</f>
        <v/>
      </c>
      <c r="L966" s="15" t="str">
        <f ca="1">IF($J966="〇",OFFSET(集計!C$3,合体!$H966,0),"")</f>
        <v/>
      </c>
      <c r="M966" s="202" t="str">
        <f ca="1">IF($J966="〇",OFFSET(集計!D$3,合体!$H966,0),"")</f>
        <v/>
      </c>
    </row>
    <row r="967" spans="2:13" x14ac:dyDescent="0.2">
      <c r="B967" s="201">
        <f t="shared" ref="B967:B1030" si="15">B966+1</f>
        <v>963</v>
      </c>
      <c r="C967" s="15" t="str">
        <f>薬品マスタリスト_20260130100542!A965</f>
        <v>リンデロン－Ｖ軟膏０．１２％</v>
      </c>
      <c r="D967" s="15" t="str">
        <f>薬品マスタリスト_20260130100542!B965</f>
        <v>ﾘﾝﾃﾞﾛﾝ-Vﾅﾝｺｳ0.12%</v>
      </c>
      <c r="E967" s="15">
        <f>薬品マスタリスト_20260130100542!C965</f>
        <v>14</v>
      </c>
      <c r="F967" s="206" t="str">
        <f>薬品マスタリスト_20260130100542!D965</f>
        <v>軟膏</v>
      </c>
      <c r="G967" s="208" t="str">
        <f>match_results!C964</f>
        <v>ロコイド軟膏０．１％</v>
      </c>
      <c r="H967" s="208">
        <f>match_results!D964</f>
        <v>172</v>
      </c>
      <c r="I967" s="218">
        <f>match_results!E964</f>
        <v>58.3333333333333</v>
      </c>
      <c r="J967" s="225"/>
      <c r="K967" s="15" t="str">
        <f ca="1">IF($J967="〇",OFFSET(集計!B$3,合体!$H967,0),"")</f>
        <v/>
      </c>
      <c r="L967" s="15" t="str">
        <f ca="1">IF($J967="〇",OFFSET(集計!C$3,合体!$H967,0),"")</f>
        <v/>
      </c>
      <c r="M967" s="202" t="str">
        <f ca="1">IF($J967="〇",OFFSET(集計!D$3,合体!$H967,0),"")</f>
        <v/>
      </c>
    </row>
    <row r="968" spans="2:13" x14ac:dyDescent="0.2">
      <c r="B968" s="201">
        <f t="shared" si="15"/>
        <v>964</v>
      </c>
      <c r="C968" s="15" t="str">
        <f>薬品マスタリスト_20260130100542!A966</f>
        <v>リンデロン懸濁注</v>
      </c>
      <c r="D968" s="15" t="str">
        <f>薬品マスタリスト_20260130100542!B966</f>
        <v>ﾘﾝﾃﾞﾛﾝｹﾝﾀﾞｸﾁﾕｳ</v>
      </c>
      <c r="E968" s="15">
        <f>薬品マスタリスト_20260130100542!C966</f>
        <v>25</v>
      </c>
      <c r="F968" s="206" t="str">
        <f>薬品マスタリスト_20260130100542!D966</f>
        <v>注射剤</v>
      </c>
      <c r="G968" s="208" t="str">
        <f>match_results!C965</f>
        <v>リンデロン懸濁注</v>
      </c>
      <c r="H968" s="208">
        <f>match_results!D965</f>
        <v>103</v>
      </c>
      <c r="I968" s="218">
        <f>match_results!E965</f>
        <v>100</v>
      </c>
      <c r="J968" s="225" t="s">
        <v>3917</v>
      </c>
      <c r="K968" s="15">
        <f ca="1">IF($J968="〇",OFFSET(集計!B$3,合体!$H968,0),"")</f>
        <v>186</v>
      </c>
      <c r="L968" s="15">
        <f ca="1">IF($J968="〇",OFFSET(集計!C$3,合体!$H968,0),"")</f>
        <v>8</v>
      </c>
      <c r="M968" s="202">
        <f ca="1">IF($J968="〇",OFFSET(集計!D$3,合体!$H968,0),"")</f>
        <v>1488</v>
      </c>
    </row>
    <row r="969" spans="2:13" x14ac:dyDescent="0.2">
      <c r="B969" s="201">
        <f t="shared" si="15"/>
        <v>965</v>
      </c>
      <c r="C969" s="15" t="str">
        <f>薬品マスタリスト_20260130100542!A967</f>
        <v>ルジオミール錠２５ｍｇ</v>
      </c>
      <c r="D969" s="15" t="str">
        <f>薬品マスタリスト_20260130100542!B967</f>
        <v>ﾙｼﾞｵﾐｰﾙｼﾞｮｳ25mg</v>
      </c>
      <c r="E969" s="15">
        <f>薬品マスタリスト_20260130100542!C967</f>
        <v>1</v>
      </c>
      <c r="F969" s="206" t="str">
        <f>薬品マスタリスト_20260130100542!D967</f>
        <v>錠剤</v>
      </c>
      <c r="G969" s="208" t="str">
        <f>match_results!C966</f>
        <v>フラジール錠２５０ｍｇ</v>
      </c>
      <c r="H969" s="208">
        <f>match_results!D966</f>
        <v>85</v>
      </c>
      <c r="I969" s="218">
        <f>match_results!E966</f>
        <v>72.727272727272705</v>
      </c>
      <c r="J969" s="225"/>
      <c r="K969" s="15" t="str">
        <f ca="1">IF($J969="〇",OFFSET(集計!B$3,合体!$H969,0),"")</f>
        <v/>
      </c>
      <c r="L969" s="15" t="str">
        <f ca="1">IF($J969="〇",OFFSET(集計!C$3,合体!$H969,0),"")</f>
        <v/>
      </c>
      <c r="M969" s="202" t="str">
        <f ca="1">IF($J969="〇",OFFSET(集計!D$3,合体!$H969,0),"")</f>
        <v/>
      </c>
    </row>
    <row r="970" spans="2:13" x14ac:dyDescent="0.2">
      <c r="B970" s="201">
        <f t="shared" si="15"/>
        <v>966</v>
      </c>
      <c r="C970" s="15" t="str">
        <f>薬品マスタリスト_20260130100542!A968</f>
        <v>ルプラック錠４ｍｇ</v>
      </c>
      <c r="D970" s="15" t="str">
        <f>薬品マスタリスト_20260130100542!B968</f>
        <v>ﾙﾌﾟﾗｯｸｼﾞｮｳ4mg</v>
      </c>
      <c r="E970" s="15">
        <f>薬品マスタリスト_20260130100542!C968</f>
        <v>1</v>
      </c>
      <c r="F970" s="206" t="str">
        <f>薬品マスタリスト_20260130100542!D968</f>
        <v>錠剤</v>
      </c>
      <c r="G970" s="208" t="str">
        <f>match_results!C967</f>
        <v>ルプラック錠</v>
      </c>
      <c r="H970" s="208">
        <f>match_results!D967</f>
        <v>161</v>
      </c>
      <c r="I970" s="218">
        <f>match_results!E967</f>
        <v>80</v>
      </c>
      <c r="J970" s="225"/>
      <c r="K970" s="15" t="str">
        <f ca="1">IF($J970="〇",OFFSET(集計!B$3,合体!$H970,0),"")</f>
        <v/>
      </c>
      <c r="L970" s="15" t="str">
        <f ca="1">IF($J970="〇",OFFSET(集計!C$3,合体!$H970,0),"")</f>
        <v/>
      </c>
      <c r="M970" s="202" t="str">
        <f ca="1">IF($J970="〇",OFFSET(集計!D$3,合体!$H970,0),"")</f>
        <v/>
      </c>
    </row>
    <row r="971" spans="2:13" x14ac:dyDescent="0.2">
      <c r="B971" s="201">
        <f t="shared" si="15"/>
        <v>967</v>
      </c>
      <c r="C971" s="15" t="str">
        <f>薬品マスタリスト_20260130100542!A969</f>
        <v>ルボックス錠２５</v>
      </c>
      <c r="D971" s="15" t="str">
        <f>薬品マスタリスト_20260130100542!B969</f>
        <v>ﾙﾎﾞｯｸｽｼﾞｮｳ25</v>
      </c>
      <c r="E971" s="15">
        <f>薬品マスタリスト_20260130100542!C969</f>
        <v>1</v>
      </c>
      <c r="F971" s="206" t="str">
        <f>薬品マスタリスト_20260130100542!D969</f>
        <v>錠剤</v>
      </c>
      <c r="G971" s="208" t="str">
        <f>match_results!C968</f>
        <v>アタラックス錠２５ＭＧ</v>
      </c>
      <c r="H971" s="208">
        <f>match_results!D968</f>
        <v>274</v>
      </c>
      <c r="I971" s="218">
        <f>match_results!E968</f>
        <v>63.157894736842103</v>
      </c>
      <c r="J971" s="225"/>
      <c r="K971" s="15" t="str">
        <f ca="1">IF($J971="〇",OFFSET(集計!B$3,合体!$H971,0),"")</f>
        <v/>
      </c>
      <c r="L971" s="15" t="str">
        <f ca="1">IF($J971="〇",OFFSET(集計!C$3,合体!$H971,0),"")</f>
        <v/>
      </c>
      <c r="M971" s="202" t="str">
        <f ca="1">IF($J971="〇",OFFSET(集計!D$3,合体!$H971,0),"")</f>
        <v/>
      </c>
    </row>
    <row r="972" spans="2:13" x14ac:dyDescent="0.2">
      <c r="B972" s="201">
        <f t="shared" si="15"/>
        <v>968</v>
      </c>
      <c r="C972" s="15" t="str">
        <f>薬品マスタリスト_20260130100542!A970</f>
        <v>ルーラン錠４ｍｇ</v>
      </c>
      <c r="D972" s="15" t="str">
        <f>薬品マスタリスト_20260130100542!B970</f>
        <v>ﾙｰﾗﾝｼﾞｮｳ4mg</v>
      </c>
      <c r="E972" s="15">
        <f>薬品マスタリスト_20260130100542!C970</f>
        <v>1</v>
      </c>
      <c r="F972" s="206" t="str">
        <f>薬品マスタリスト_20260130100542!D970</f>
        <v>錠剤</v>
      </c>
      <c r="G972" s="208" t="str">
        <f>match_results!C969</f>
        <v>ルーラン錠４ｍｇ</v>
      </c>
      <c r="H972" s="208">
        <f>match_results!D969</f>
        <v>425</v>
      </c>
      <c r="I972" s="218">
        <f>match_results!E969</f>
        <v>100</v>
      </c>
      <c r="J972" s="225" t="s">
        <v>3917</v>
      </c>
      <c r="K972" s="15">
        <f ca="1">IF($J972="〇",OFFSET(集計!B$3,合体!$H972,0),"")</f>
        <v>9.5</v>
      </c>
      <c r="L972" s="15">
        <f ca="1">IF($J972="〇",OFFSET(集計!C$3,合体!$H972,0),"")</f>
        <v>925</v>
      </c>
      <c r="M972" s="202">
        <f ca="1">IF($J972="〇",OFFSET(集計!D$3,合体!$H972,0),"")</f>
        <v>8787.5</v>
      </c>
    </row>
    <row r="973" spans="2:13" x14ac:dyDescent="0.2">
      <c r="B973" s="201">
        <f t="shared" si="15"/>
        <v>969</v>
      </c>
      <c r="C973" s="15" t="str">
        <f>薬品マスタリスト_20260130100542!A971</f>
        <v>ルーラン錠８ｍｇ</v>
      </c>
      <c r="D973" s="15" t="str">
        <f>薬品マスタリスト_20260130100542!B971</f>
        <v>ﾙｰﾗﾝｼﾞｮｳ8mg</v>
      </c>
      <c r="E973" s="15">
        <f>薬品マスタリスト_20260130100542!C971</f>
        <v>1</v>
      </c>
      <c r="F973" s="206" t="str">
        <f>薬品マスタリスト_20260130100542!D971</f>
        <v>錠剤</v>
      </c>
      <c r="G973" s="208" t="str">
        <f>match_results!C970</f>
        <v>ルーラン錠８ｍｇ</v>
      </c>
      <c r="H973" s="208">
        <f>match_results!D970</f>
        <v>493</v>
      </c>
      <c r="I973" s="218">
        <f>match_results!E970</f>
        <v>100</v>
      </c>
      <c r="J973" s="225" t="s">
        <v>3917</v>
      </c>
      <c r="K973" s="15">
        <f ca="1">IF($J973="〇",OFFSET(集計!B$3,合体!$H973,0),"")</f>
        <v>18.2</v>
      </c>
      <c r="L973" s="15">
        <f ca="1">IF($J973="〇",OFFSET(集計!C$3,合体!$H973,0),"")</f>
        <v>716.66666666666674</v>
      </c>
      <c r="M973" s="202">
        <f ca="1">IF($J973="〇",OFFSET(集計!D$3,合体!$H973,0),"")</f>
        <v>13043.333333333334</v>
      </c>
    </row>
    <row r="974" spans="2:13" x14ac:dyDescent="0.2">
      <c r="B974" s="201">
        <f t="shared" si="15"/>
        <v>970</v>
      </c>
      <c r="C974" s="15" t="str">
        <f>薬品マスタリスト_20260130100542!A972</f>
        <v>レキサルティＯＤ錠１ｍｇ</v>
      </c>
      <c r="D974" s="15" t="str">
        <f>薬品マスタリスト_20260130100542!B972</f>
        <v>ﾚｷｻﾙﾃｨODｼﾞｮｳ1mg</v>
      </c>
      <c r="E974" s="15">
        <f>薬品マスタリスト_20260130100542!C972</f>
        <v>1</v>
      </c>
      <c r="F974" s="206" t="str">
        <f>薬品マスタリスト_20260130100542!D972</f>
        <v>錠剤</v>
      </c>
      <c r="G974" s="208" t="str">
        <f>match_results!C971</f>
        <v>レキサルティＯＤ錠１ｍｇ</v>
      </c>
      <c r="H974" s="208">
        <f>match_results!D971</f>
        <v>662</v>
      </c>
      <c r="I974" s="218">
        <f>match_results!E971</f>
        <v>100</v>
      </c>
      <c r="J974" s="225" t="s">
        <v>3917</v>
      </c>
      <c r="K974" s="15">
        <f ca="1">IF($J974="〇",OFFSET(集計!B$3,合体!$H974,0),"")</f>
        <v>211.58</v>
      </c>
      <c r="L974" s="15">
        <f ca="1">IF($J974="〇",OFFSET(集計!C$3,合体!$H974,0),"")</f>
        <v>647.55555555555554</v>
      </c>
      <c r="M974" s="202">
        <f ca="1">IF($J974="〇",OFFSET(集計!D$3,合体!$H974,0),"")</f>
        <v>137009.80444444445</v>
      </c>
    </row>
    <row r="975" spans="2:13" x14ac:dyDescent="0.2">
      <c r="B975" s="201">
        <f t="shared" si="15"/>
        <v>971</v>
      </c>
      <c r="C975" s="15" t="str">
        <f>薬品マスタリスト_20260130100542!A973</f>
        <v>レキサルティＯＤ錠２ｍｇ</v>
      </c>
      <c r="D975" s="15" t="str">
        <f>薬品マスタリスト_20260130100542!B973</f>
        <v>ﾚｷｻﾙﾃｨODｼﾞｮｳ2mg</v>
      </c>
      <c r="E975" s="15">
        <f>薬品マスタリスト_20260130100542!C973</f>
        <v>1</v>
      </c>
      <c r="F975" s="206" t="str">
        <f>薬品マスタリスト_20260130100542!D973</f>
        <v>錠剤</v>
      </c>
      <c r="G975" s="208" t="str">
        <f>match_results!C972</f>
        <v>レキサルティＯＤ錠２ｍｇ</v>
      </c>
      <c r="H975" s="208">
        <f>match_results!D972</f>
        <v>668</v>
      </c>
      <c r="I975" s="218">
        <f>match_results!E972</f>
        <v>100</v>
      </c>
      <c r="J975" s="225" t="s">
        <v>3917</v>
      </c>
      <c r="K975" s="15">
        <f ca="1">IF($J975="〇",OFFSET(集計!B$3,合体!$H975,0),"")</f>
        <v>404.16</v>
      </c>
      <c r="L975" s="15">
        <f ca="1">IF($J975="〇",OFFSET(集計!C$3,合体!$H975,0),"")</f>
        <v>1050</v>
      </c>
      <c r="M975" s="202">
        <f ca="1">IF($J975="〇",OFFSET(集計!D$3,合体!$H975,0),"")</f>
        <v>424368</v>
      </c>
    </row>
    <row r="976" spans="2:13" x14ac:dyDescent="0.2">
      <c r="B976" s="201">
        <f t="shared" si="15"/>
        <v>972</v>
      </c>
      <c r="C976" s="15" t="str">
        <f>薬品マスタリスト_20260130100542!A974</f>
        <v>レキサルティＯＤ錠０．５ｍｇ</v>
      </c>
      <c r="D976" s="15" t="str">
        <f>薬品マスタリスト_20260130100542!B974</f>
        <v>ﾚｷｻﾙﾃｲODｼﾞﾖｳ0.5MG</v>
      </c>
      <c r="E976" s="15">
        <f>薬品マスタリスト_20260130100542!C974</f>
        <v>1</v>
      </c>
      <c r="F976" s="206" t="str">
        <f>薬品マスタリスト_20260130100542!D974</f>
        <v>錠剤</v>
      </c>
      <c r="G976" s="208" t="str">
        <f>match_results!C973</f>
        <v>レキサルティＯＤ錠０．５ｍｇ</v>
      </c>
      <c r="H976" s="208">
        <f>match_results!D973</f>
        <v>614</v>
      </c>
      <c r="I976" s="218">
        <f>match_results!E973</f>
        <v>100</v>
      </c>
      <c r="J976" s="225" t="s">
        <v>3917</v>
      </c>
      <c r="K976" s="15">
        <f ca="1">IF($J976="〇",OFFSET(集計!B$3,合体!$H976,0),"")</f>
        <v>112.6</v>
      </c>
      <c r="L976" s="15">
        <f ca="1">IF($J976="〇",OFFSET(集計!C$3,合体!$H976,0),"")</f>
        <v>365.66666666666663</v>
      </c>
      <c r="M976" s="202">
        <f ca="1">IF($J976="〇",OFFSET(集計!D$3,合体!$H976,0),"")</f>
        <v>41174.066666666658</v>
      </c>
    </row>
    <row r="977" spans="2:13" x14ac:dyDescent="0.2">
      <c r="B977" s="201">
        <f t="shared" si="15"/>
        <v>973</v>
      </c>
      <c r="C977" s="15" t="str">
        <f>薬品マスタリスト_20260130100542!A975</f>
        <v>レキソタン錠２</v>
      </c>
      <c r="D977" s="15" t="str">
        <f>薬品マスタリスト_20260130100542!B975</f>
        <v>ﾚｷｿﾀﾝｼﾞｮｳ2</v>
      </c>
      <c r="E977" s="15">
        <f>薬品マスタリスト_20260130100542!C975</f>
        <v>1</v>
      </c>
      <c r="F977" s="206" t="str">
        <f>薬品マスタリスト_20260130100542!D975</f>
        <v>錠剤</v>
      </c>
      <c r="G977" s="208" t="str">
        <f>match_results!C974</f>
        <v>レキソタン錠　２ｍｇ</v>
      </c>
      <c r="H977" s="208">
        <f>match_results!D974</f>
        <v>411</v>
      </c>
      <c r="I977" s="218">
        <f>match_results!E974</f>
        <v>82.352941176470495</v>
      </c>
      <c r="J977" s="225"/>
      <c r="K977" s="15" t="str">
        <f ca="1">IF($J977="〇",OFFSET(集計!B$3,合体!$H977,0),"")</f>
        <v/>
      </c>
      <c r="L977" s="15" t="str">
        <f ca="1">IF($J977="〇",OFFSET(集計!C$3,合体!$H977,0),"")</f>
        <v/>
      </c>
      <c r="M977" s="202" t="str">
        <f ca="1">IF($J977="〇",OFFSET(集計!D$3,合体!$H977,0),"")</f>
        <v/>
      </c>
    </row>
    <row r="978" spans="2:13" x14ac:dyDescent="0.2">
      <c r="B978" s="201">
        <f t="shared" si="15"/>
        <v>974</v>
      </c>
      <c r="C978" s="15" t="str">
        <f>薬品マスタリスト_20260130100542!A976</f>
        <v>レキソタン錠５</v>
      </c>
      <c r="D978" s="15" t="str">
        <f>薬品マスタリスト_20260130100542!B976</f>
        <v>ﾚｷｿﾀﾝｼﾞｮｳ5</v>
      </c>
      <c r="E978" s="15">
        <f>薬品マスタリスト_20260130100542!C976</f>
        <v>1</v>
      </c>
      <c r="F978" s="206" t="str">
        <f>薬品マスタリスト_20260130100542!D976</f>
        <v>錠剤</v>
      </c>
      <c r="G978" s="208" t="str">
        <f>match_results!C975</f>
        <v>レキソタン錠　５ｍｇ</v>
      </c>
      <c r="H978" s="208">
        <f>match_results!D975</f>
        <v>433</v>
      </c>
      <c r="I978" s="218">
        <f>match_results!E975</f>
        <v>82.352941176470495</v>
      </c>
      <c r="J978" s="225"/>
      <c r="K978" s="15" t="str">
        <f ca="1">IF($J978="〇",OFFSET(集計!B$3,合体!$H978,0),"")</f>
        <v/>
      </c>
      <c r="L978" s="15" t="str">
        <f ca="1">IF($J978="〇",OFFSET(集計!C$3,合体!$H978,0),"")</f>
        <v/>
      </c>
      <c r="M978" s="202" t="str">
        <f ca="1">IF($J978="〇",OFFSET(集計!D$3,合体!$H978,0),"")</f>
        <v/>
      </c>
    </row>
    <row r="979" spans="2:13" x14ac:dyDescent="0.2">
      <c r="B979" s="201">
        <f t="shared" si="15"/>
        <v>975</v>
      </c>
      <c r="C979" s="15" t="str">
        <f>薬品マスタリスト_20260130100542!A977</f>
        <v>レクチゾール錠２５ｍｇ</v>
      </c>
      <c r="D979" s="15" t="str">
        <f>薬品マスタリスト_20260130100542!B977</f>
        <v>ﾚｸﾁｿﾞｰﾙｼﾞｮｳ25mg</v>
      </c>
      <c r="E979" s="15">
        <f>薬品マスタリスト_20260130100542!C977</f>
        <v>1</v>
      </c>
      <c r="F979" s="206" t="str">
        <f>薬品マスタリスト_20260130100542!D977</f>
        <v>錠剤</v>
      </c>
      <c r="G979" s="208" t="str">
        <f>match_results!C976</f>
        <v>レトロゾール錠２．５ｍｇ</v>
      </c>
      <c r="H979" s="208">
        <f>match_results!D976</f>
        <v>201</v>
      </c>
      <c r="I979" s="218">
        <f>match_results!E976</f>
        <v>78.260869565217305</v>
      </c>
      <c r="J979" s="225"/>
      <c r="K979" s="15" t="str">
        <f ca="1">IF($J979="〇",OFFSET(集計!B$3,合体!$H979,0),"")</f>
        <v/>
      </c>
      <c r="L979" s="15" t="str">
        <f ca="1">IF($J979="〇",OFFSET(集計!C$3,合体!$H979,0),"")</f>
        <v/>
      </c>
      <c r="M979" s="202" t="str">
        <f ca="1">IF($J979="〇",OFFSET(集計!D$3,合体!$H979,0),"")</f>
        <v/>
      </c>
    </row>
    <row r="980" spans="2:13" x14ac:dyDescent="0.2">
      <c r="B980" s="201">
        <f t="shared" si="15"/>
        <v>976</v>
      </c>
      <c r="C980" s="15" t="str">
        <f>薬品マスタリスト_20260130100542!A978</f>
        <v>レグテクト錠３３３ｍｇ</v>
      </c>
      <c r="D980" s="15" t="str">
        <f>薬品マスタリスト_20260130100542!B978</f>
        <v>ﾚｸﾞﾃｸﾄｼﾞｮｳ333mg</v>
      </c>
      <c r="E980" s="15">
        <f>薬品マスタリスト_20260130100542!C978</f>
        <v>1</v>
      </c>
      <c r="F980" s="206" t="str">
        <f>薬品マスタリスト_20260130100542!D978</f>
        <v>錠剤</v>
      </c>
      <c r="G980" s="208" t="str">
        <f>match_results!C977</f>
        <v>レグテクト錠３３３ｍｇ</v>
      </c>
      <c r="H980" s="208">
        <f>match_results!D977</f>
        <v>554</v>
      </c>
      <c r="I980" s="218">
        <f>match_results!E977</f>
        <v>100</v>
      </c>
      <c r="J980" s="225" t="s">
        <v>3917</v>
      </c>
      <c r="K980" s="15">
        <f ca="1">IF($J980="〇",OFFSET(集計!B$3,合体!$H980,0),"")</f>
        <v>32.799999999999997</v>
      </c>
      <c r="L980" s="15">
        <f ca="1">IF($J980="〇",OFFSET(集計!C$3,合体!$H980,0),"")</f>
        <v>685.7037037037037</v>
      </c>
      <c r="M980" s="202">
        <f ca="1">IF($J980="〇",OFFSET(集計!D$3,合体!$H980,0),"")</f>
        <v>22491.08148148148</v>
      </c>
    </row>
    <row r="981" spans="2:13" x14ac:dyDescent="0.2">
      <c r="B981" s="201">
        <f t="shared" si="15"/>
        <v>977</v>
      </c>
      <c r="C981" s="15" t="str">
        <f>薬品マスタリスト_20260130100542!A979</f>
        <v>レスタミンコーワクリーム１％</v>
      </c>
      <c r="D981" s="15" t="str">
        <f>薬品マスタリスト_20260130100542!B979</f>
        <v>ﾚｽﾀﾐﾝｺ-ﾜｸﾘ-ﾑ1%</v>
      </c>
      <c r="E981" s="15">
        <f>薬品マスタリスト_20260130100542!C979</f>
        <v>15</v>
      </c>
      <c r="F981" s="206" t="str">
        <f>薬品マスタリスト_20260130100542!D979</f>
        <v>クリーム</v>
      </c>
      <c r="G981" s="208" t="str">
        <f>match_results!C978</f>
        <v>レスタミンコーワクリーム５００ｇ</v>
      </c>
      <c r="H981" s="208">
        <f>match_results!D978</f>
        <v>143</v>
      </c>
      <c r="I981" s="218">
        <f>match_results!E978</f>
        <v>80</v>
      </c>
      <c r="J981" s="225"/>
      <c r="K981" s="15" t="str">
        <f ca="1">IF($J981="〇",OFFSET(集計!B$3,合体!$H981,0),"")</f>
        <v/>
      </c>
      <c r="L981" s="15" t="str">
        <f ca="1">IF($J981="〇",OFFSET(集計!C$3,合体!$H981,0),"")</f>
        <v/>
      </c>
      <c r="M981" s="202" t="str">
        <f ca="1">IF($J981="〇",OFFSET(集計!D$3,合体!$H981,0),"")</f>
        <v/>
      </c>
    </row>
    <row r="982" spans="2:13" x14ac:dyDescent="0.2">
      <c r="B982" s="201">
        <f t="shared" si="15"/>
        <v>978</v>
      </c>
      <c r="C982" s="15" t="str">
        <f>薬品マスタリスト_20260130100542!A980</f>
        <v>レスプレン錠２０ｍｇ</v>
      </c>
      <c r="D982" s="15" t="str">
        <f>薬品マスタリスト_20260130100542!B980</f>
        <v>ﾚｽﾌﾟﾚﾝｼﾞｮｳ20mg</v>
      </c>
      <c r="E982" s="15">
        <f>薬品マスタリスト_20260130100542!C980</f>
        <v>1</v>
      </c>
      <c r="F982" s="206" t="str">
        <f>薬品マスタリスト_20260130100542!D980</f>
        <v>錠剤</v>
      </c>
      <c r="G982" s="208" t="str">
        <f>match_results!C979</f>
        <v>レスプレン錠　２０ｍｇ　</v>
      </c>
      <c r="H982" s="208">
        <f>match_results!D979</f>
        <v>254</v>
      </c>
      <c r="I982" s="218">
        <f>match_results!E979</f>
        <v>95.238095238095198</v>
      </c>
      <c r="J982" s="225"/>
      <c r="K982" s="15" t="str">
        <f ca="1">IF($J982="〇",OFFSET(集計!B$3,合体!$H982,0),"")</f>
        <v/>
      </c>
      <c r="L982" s="15" t="str">
        <f ca="1">IF($J982="〇",OFFSET(集計!C$3,合体!$H982,0),"")</f>
        <v/>
      </c>
      <c r="M982" s="202" t="str">
        <f ca="1">IF($J982="〇",OFFSET(集計!D$3,合体!$H982,0),"")</f>
        <v/>
      </c>
    </row>
    <row r="983" spans="2:13" x14ac:dyDescent="0.2">
      <c r="B983" s="201">
        <f t="shared" si="15"/>
        <v>979</v>
      </c>
      <c r="C983" s="15" t="str">
        <f>薬品マスタリスト_20260130100542!A981</f>
        <v>レトロゾール錠２．５ｍｇ「サワイ」</v>
      </c>
      <c r="D983" s="15" t="str">
        <f>薬品マスタリスト_20260130100542!B981</f>
        <v>ﾚﾄﾛｿﾞ-ﾙｼﾞﾖｳ2.5MGｻﾜｲ</v>
      </c>
      <c r="E983" s="15">
        <f>薬品マスタリスト_20260130100542!C981</f>
        <v>1</v>
      </c>
      <c r="F983" s="206" t="str">
        <f>薬品マスタリスト_20260130100542!D981</f>
        <v>錠剤</v>
      </c>
      <c r="G983" s="208" t="str">
        <f>match_results!C980</f>
        <v>レトロゾール錠２．５ｍｇ</v>
      </c>
      <c r="H983" s="208">
        <f>match_results!D980</f>
        <v>201</v>
      </c>
      <c r="I983" s="218">
        <f>match_results!E980</f>
        <v>82.758620689655103</v>
      </c>
      <c r="J983" s="225"/>
      <c r="K983" s="15" t="str">
        <f ca="1">IF($J983="〇",OFFSET(集計!B$3,合体!$H983,0),"")</f>
        <v/>
      </c>
      <c r="L983" s="15" t="str">
        <f ca="1">IF($J983="〇",OFFSET(集計!C$3,合体!$H983,0),"")</f>
        <v/>
      </c>
      <c r="M983" s="202" t="str">
        <f ca="1">IF($J983="〇",OFFSET(集計!D$3,合体!$H983,0),"")</f>
        <v/>
      </c>
    </row>
    <row r="984" spans="2:13" x14ac:dyDescent="0.2">
      <c r="B984" s="201">
        <f t="shared" si="15"/>
        <v>980</v>
      </c>
      <c r="C984" s="15" t="str">
        <f>薬品マスタリスト_20260130100542!A982</f>
        <v>レバミピド錠１００ｍｇ「オーツカ」</v>
      </c>
      <c r="D984" s="15" t="str">
        <f>薬品マスタリスト_20260130100542!B982</f>
        <v>ﾚﾊﾞﾐﾋﾟﾄﾞｼﾞﾖｳ100MGｵ-ﾂｶ</v>
      </c>
      <c r="E984" s="15">
        <f>薬品マスタリスト_20260130100542!C982</f>
        <v>1</v>
      </c>
      <c r="F984" s="206" t="str">
        <f>薬品マスタリスト_20260130100542!D982</f>
        <v>錠剤</v>
      </c>
      <c r="G984" s="208" t="str">
        <f>match_results!C981</f>
        <v>レバミピド錠１００ｍｇ</v>
      </c>
      <c r="H984" s="208">
        <f>match_results!D981</f>
        <v>527</v>
      </c>
      <c r="I984" s="218">
        <f>match_results!E981</f>
        <v>78.571428571428498</v>
      </c>
      <c r="J984" s="225"/>
      <c r="K984" s="15" t="str">
        <f ca="1">IF($J984="〇",OFFSET(集計!B$3,合体!$H984,0),"")</f>
        <v/>
      </c>
      <c r="L984" s="15" t="str">
        <f ca="1">IF($J984="〇",OFFSET(集計!C$3,合体!$H984,0),"")</f>
        <v/>
      </c>
      <c r="M984" s="202" t="str">
        <f ca="1">IF($J984="〇",OFFSET(集計!D$3,合体!$H984,0),"")</f>
        <v/>
      </c>
    </row>
    <row r="985" spans="2:13" x14ac:dyDescent="0.2">
      <c r="B985" s="201">
        <f t="shared" si="15"/>
        <v>981</v>
      </c>
      <c r="C985" s="15" t="str">
        <f>薬品マスタリスト_20260130100542!A983</f>
        <v>レペタン坐剤０．２ｍｇ</v>
      </c>
      <c r="D985" s="15" t="str">
        <f>薬品マスタリスト_20260130100542!B983</f>
        <v>ﾚﾍﾟﾀﾝｻﾞｻﾞｲ0.2mg</v>
      </c>
      <c r="E985" s="15">
        <f>薬品マスタリスト_20260130100542!C983</f>
        <v>12</v>
      </c>
      <c r="F985" s="206" t="str">
        <f>薬品マスタリスト_20260130100542!D983</f>
        <v>坐剤</v>
      </c>
      <c r="G985" s="208" t="str">
        <f>match_results!C982</f>
        <v>レペタン坐０．２ｍｇ</v>
      </c>
      <c r="H985" s="208">
        <f>match_results!D982</f>
        <v>222</v>
      </c>
      <c r="I985" s="218">
        <f>match_results!E982</f>
        <v>95.238095238095198</v>
      </c>
      <c r="J985" s="225"/>
      <c r="K985" s="15" t="str">
        <f ca="1">IF($J985="〇",OFFSET(集計!B$3,合体!$H985,0),"")</f>
        <v/>
      </c>
      <c r="L985" s="15" t="str">
        <f ca="1">IF($J985="〇",OFFSET(集計!C$3,合体!$H985,0),"")</f>
        <v/>
      </c>
      <c r="M985" s="202" t="str">
        <f ca="1">IF($J985="〇",OFFSET(集計!D$3,合体!$H985,0),"")</f>
        <v/>
      </c>
    </row>
    <row r="986" spans="2:13" x14ac:dyDescent="0.2">
      <c r="B986" s="201">
        <f t="shared" si="15"/>
        <v>982</v>
      </c>
      <c r="C986" s="15" t="str">
        <f>薬品マスタリスト_20260130100542!A984</f>
        <v>レベチラセタム錠２５０ｍｇ「明治」</v>
      </c>
      <c r="D986" s="15" t="str">
        <f>薬品マスタリスト_20260130100542!B984</f>
        <v>ﾚﾍﾞﾁﾗｾﾀﾑｼﾞｮｳ250mg｢ﾒｲｼﾞ｣</v>
      </c>
      <c r="E986" s="15">
        <f>薬品マスタリスト_20260130100542!C984</f>
        <v>1</v>
      </c>
      <c r="F986" s="206" t="str">
        <f>薬品マスタリスト_20260130100542!D984</f>
        <v>錠剤</v>
      </c>
      <c r="G986" s="208" t="str">
        <f>match_results!C983</f>
        <v>レベチラセタムドライシロップ５０％「明治」</v>
      </c>
      <c r="H986" s="208">
        <f>match_results!D983</f>
        <v>194</v>
      </c>
      <c r="I986" s="218">
        <f>match_results!E983</f>
        <v>68.421052631578902</v>
      </c>
      <c r="J986" s="225"/>
      <c r="K986" s="15" t="str">
        <f ca="1">IF($J986="〇",OFFSET(集計!B$3,合体!$H986,0),"")</f>
        <v/>
      </c>
      <c r="L986" s="15" t="str">
        <f ca="1">IF($J986="〇",OFFSET(集計!C$3,合体!$H986,0),"")</f>
        <v/>
      </c>
      <c r="M986" s="202" t="str">
        <f ca="1">IF($J986="〇",OFFSET(集計!D$3,合体!$H986,0),"")</f>
        <v/>
      </c>
    </row>
    <row r="987" spans="2:13" x14ac:dyDescent="0.2">
      <c r="B987" s="201">
        <f t="shared" si="15"/>
        <v>983</v>
      </c>
      <c r="C987" s="15" t="str">
        <f>薬品マスタリスト_20260130100542!A985</f>
        <v>レベチラセタムドライシロップ５０％「明治」</v>
      </c>
      <c r="D987" s="15" t="str">
        <f>薬品マスタリスト_20260130100542!B985</f>
        <v>ﾚﾍﾞﾁﾗｾﾀﾑﾄﾞﾗｲｼﾛｯﾌﾟ50%｢ﾒｲｼﾞ｣</v>
      </c>
      <c r="E987" s="15">
        <f>薬品マスタリスト_20260130100542!C985</f>
        <v>3</v>
      </c>
      <c r="F987" s="206" t="str">
        <f>薬品マスタリスト_20260130100542!D985</f>
        <v>散</v>
      </c>
      <c r="G987" s="208" t="str">
        <f>match_results!C984</f>
        <v>レベチラセタムドライシロップ５０％「明治」</v>
      </c>
      <c r="H987" s="208">
        <f>match_results!D984</f>
        <v>194</v>
      </c>
      <c r="I987" s="218">
        <f>match_results!E984</f>
        <v>100</v>
      </c>
      <c r="J987" s="225" t="s">
        <v>3917</v>
      </c>
      <c r="K987" s="15">
        <f ca="1">IF($J987="〇",OFFSET(集計!B$3,合体!$H987,0),"")</f>
        <v>56.75</v>
      </c>
      <c r="L987" s="15">
        <f ca="1">IF($J987="〇",OFFSET(集計!C$3,合体!$H987,0),"")</f>
        <v>49</v>
      </c>
      <c r="M987" s="202">
        <f ca="1">IF($J987="〇",OFFSET(集計!D$3,合体!$H987,0),"")</f>
        <v>2780.75</v>
      </c>
    </row>
    <row r="988" spans="2:13" x14ac:dyDescent="0.2">
      <c r="B988" s="201">
        <f t="shared" si="15"/>
        <v>984</v>
      </c>
      <c r="C988" s="15" t="str">
        <f>薬品マスタリスト_20260130100542!A986</f>
        <v>レベチラセタム点滴静注５００ｍｇ「明治」</v>
      </c>
      <c r="D988" s="15" t="str">
        <f>薬品マスタリスト_20260130100542!B986</f>
        <v>ﾚﾍﾞﾁﾗｾﾀﾑﾃﾝﾃｷｼﾞｮｳﾁｭｳ500mg｢ﾒｲｼﾞ｣</v>
      </c>
      <c r="E988" s="15">
        <f>薬品マスタリスト_20260130100542!C986</f>
        <v>25</v>
      </c>
      <c r="F988" s="206" t="str">
        <f>薬品マスタリスト_20260130100542!D986</f>
        <v>注射剤</v>
      </c>
      <c r="G988" s="208" t="str">
        <f>match_results!C985</f>
        <v>レベチラセタム点滴静注</v>
      </c>
      <c r="H988" s="208">
        <f>match_results!D985</f>
        <v>283</v>
      </c>
      <c r="I988" s="218">
        <f>match_results!E985</f>
        <v>70.967741935483801</v>
      </c>
      <c r="J988" s="225"/>
      <c r="K988" s="15" t="str">
        <f ca="1">IF($J988="〇",OFFSET(集計!B$3,合体!$H988,0),"")</f>
        <v/>
      </c>
      <c r="L988" s="15" t="str">
        <f ca="1">IF($J988="〇",OFFSET(集計!C$3,合体!$H988,0),"")</f>
        <v/>
      </c>
      <c r="M988" s="202" t="str">
        <f ca="1">IF($J988="〇",OFFSET(集計!D$3,合体!$H988,0),"")</f>
        <v/>
      </c>
    </row>
    <row r="989" spans="2:13" x14ac:dyDescent="0.2">
      <c r="B989" s="201">
        <f t="shared" si="15"/>
        <v>985</v>
      </c>
      <c r="C989" s="15" t="str">
        <f>薬品マスタリスト_20260130100542!A987</f>
        <v>レベチラセタム錠２５０ｍｇ「トーワ」</v>
      </c>
      <c r="D989" s="15" t="str">
        <f>薬品マスタリスト_20260130100542!B987</f>
        <v>ﾚﾍﾞﾁﾗｾﾀﾑｼﾞﾖｳ250MGﾄ-ﾜ</v>
      </c>
      <c r="E989" s="15">
        <f>薬品マスタリスト_20260130100542!C987</f>
        <v>1</v>
      </c>
      <c r="F989" s="206" t="str">
        <f>薬品マスタリスト_20260130100542!D987</f>
        <v>錠剤</v>
      </c>
      <c r="G989" s="208" t="str">
        <f>match_results!C986</f>
        <v>エピナスチン錠２０ｍｇ「トーワ」</v>
      </c>
      <c r="H989" s="208">
        <f>match_results!D986</f>
        <v>443</v>
      </c>
      <c r="I989" s="218">
        <f>match_results!E986</f>
        <v>64.705882352941103</v>
      </c>
      <c r="J989" s="225"/>
      <c r="K989" s="15" t="str">
        <f ca="1">IF($J989="〇",OFFSET(集計!B$3,合体!$H989,0),"")</f>
        <v/>
      </c>
      <c r="L989" s="15" t="str">
        <f ca="1">IF($J989="〇",OFFSET(集計!C$3,合体!$H989,0),"")</f>
        <v/>
      </c>
      <c r="M989" s="202" t="str">
        <f ca="1">IF($J989="〇",OFFSET(集計!D$3,合体!$H989,0),"")</f>
        <v/>
      </c>
    </row>
    <row r="990" spans="2:13" x14ac:dyDescent="0.2">
      <c r="B990" s="201">
        <f t="shared" si="15"/>
        <v>986</v>
      </c>
      <c r="C990" s="15" t="str">
        <f>薬品マスタリスト_20260130100542!A988</f>
        <v>レベチラセタムＤＳ５０％「トーワ」</v>
      </c>
      <c r="D990" s="15" t="str">
        <f>薬品マスタリスト_20260130100542!B988</f>
        <v>ﾚﾍﾞﾁﾗｾﾀﾑDS50%ﾄ-ﾜ</v>
      </c>
      <c r="E990" s="15">
        <f>薬品マスタリスト_20260130100542!C988</f>
        <v>3</v>
      </c>
      <c r="F990" s="206" t="str">
        <f>薬品マスタリスト_20260130100542!D988</f>
        <v>散</v>
      </c>
      <c r="G990" s="208" t="str">
        <f>match_results!C987</f>
        <v>レベチラセタムドライシロップ５０％「明治」</v>
      </c>
      <c r="H990" s="208">
        <f>match_results!D987</f>
        <v>194</v>
      </c>
      <c r="I990" s="218">
        <f>match_results!E987</f>
        <v>63.157894736842103</v>
      </c>
      <c r="J990" s="225"/>
      <c r="K990" s="15" t="str">
        <f ca="1">IF($J990="〇",OFFSET(集計!B$3,合体!$H990,0),"")</f>
        <v/>
      </c>
      <c r="L990" s="15" t="str">
        <f ca="1">IF($J990="〇",OFFSET(集計!C$3,合体!$H990,0),"")</f>
        <v/>
      </c>
      <c r="M990" s="202" t="str">
        <f ca="1">IF($J990="〇",OFFSET(集計!D$3,合体!$H990,0),"")</f>
        <v/>
      </c>
    </row>
    <row r="991" spans="2:13" x14ac:dyDescent="0.2">
      <c r="B991" s="201">
        <f t="shared" si="15"/>
        <v>987</v>
      </c>
      <c r="C991" s="15" t="str">
        <f>薬品マスタリスト_20260130100542!A989</f>
        <v>レボカルニチンＦＦ錠２５０ｍｇ「アメル」</v>
      </c>
      <c r="D991" s="15" t="str">
        <f>薬品マスタリスト_20260130100542!B989</f>
        <v>ﾚﾎﾞｶﾙﾆﾁﾝFFｼﾞﾖｳ250MGｱﾒﾙ</v>
      </c>
      <c r="E991" s="15">
        <f>薬品マスタリスト_20260130100542!C989</f>
        <v>1</v>
      </c>
      <c r="F991" s="206" t="str">
        <f>薬品マスタリスト_20260130100542!D989</f>
        <v>錠剤</v>
      </c>
      <c r="G991" s="208" t="str">
        <f>match_results!C988</f>
        <v>レボカルニチンＦＦ錠２５０ｍｇ</v>
      </c>
      <c r="H991" s="208">
        <f>match_results!D988</f>
        <v>281</v>
      </c>
      <c r="I991" s="218">
        <f>match_results!E988</f>
        <v>85.714285714285694</v>
      </c>
      <c r="J991" s="225"/>
      <c r="K991" s="15" t="str">
        <f ca="1">IF($J991="〇",OFFSET(集計!B$3,合体!$H991,0),"")</f>
        <v/>
      </c>
      <c r="L991" s="15" t="str">
        <f ca="1">IF($J991="〇",OFFSET(集計!C$3,合体!$H991,0),"")</f>
        <v/>
      </c>
      <c r="M991" s="202" t="str">
        <f ca="1">IF($J991="〇",OFFSET(集計!D$3,合体!$H991,0),"")</f>
        <v/>
      </c>
    </row>
    <row r="992" spans="2:13" x14ac:dyDescent="0.2">
      <c r="B992" s="201">
        <f t="shared" si="15"/>
        <v>988</v>
      </c>
      <c r="C992" s="15" t="str">
        <f>薬品マスタリスト_20260130100542!A990</f>
        <v>レボトミン錠５ｍｇ</v>
      </c>
      <c r="D992" s="15" t="str">
        <f>薬品マスタリスト_20260130100542!B990</f>
        <v>ﾚﾎﾞﾄﾐﾝｼﾞｮｳ5mg</v>
      </c>
      <c r="E992" s="15">
        <f>薬品マスタリスト_20260130100542!C990</f>
        <v>1</v>
      </c>
      <c r="F992" s="206" t="str">
        <f>薬品マスタリスト_20260130100542!D990</f>
        <v>錠剤</v>
      </c>
      <c r="G992" s="208" t="str">
        <f>match_results!C989</f>
        <v>トレドミン錠１５ｍｇ</v>
      </c>
      <c r="H992" s="208">
        <f>match_results!D989</f>
        <v>332</v>
      </c>
      <c r="I992" s="218">
        <f>match_results!E989</f>
        <v>73.684210526315795</v>
      </c>
      <c r="J992" s="225"/>
      <c r="K992" s="15" t="str">
        <f ca="1">IF($J992="〇",OFFSET(集計!B$3,合体!$H992,0),"")</f>
        <v/>
      </c>
      <c r="L992" s="15" t="str">
        <f ca="1">IF($J992="〇",OFFSET(集計!C$3,合体!$H992,0),"")</f>
        <v/>
      </c>
      <c r="M992" s="202" t="str">
        <f ca="1">IF($J992="〇",OFFSET(集計!D$3,合体!$H992,0),"")</f>
        <v/>
      </c>
    </row>
    <row r="993" spans="2:13" x14ac:dyDescent="0.2">
      <c r="B993" s="201">
        <f t="shared" si="15"/>
        <v>989</v>
      </c>
      <c r="C993" s="15" t="str">
        <f>薬品マスタリスト_20260130100542!A991</f>
        <v>レボトミン錠２５ｍｇ</v>
      </c>
      <c r="D993" s="15" t="str">
        <f>薬品マスタリスト_20260130100542!B991</f>
        <v>ﾚﾎﾞﾄﾐﾝｼﾞｮｳ25mg</v>
      </c>
      <c r="E993" s="15">
        <f>薬品マスタリスト_20260130100542!C991</f>
        <v>1</v>
      </c>
      <c r="F993" s="206" t="str">
        <f>薬品マスタリスト_20260130100542!D991</f>
        <v>錠剤</v>
      </c>
      <c r="G993" s="208" t="str">
        <f>match_results!C990</f>
        <v>トレドミン錠２５ｍｇ</v>
      </c>
      <c r="H993" s="208">
        <f>match_results!D990</f>
        <v>396</v>
      </c>
      <c r="I993" s="218">
        <f>match_results!E990</f>
        <v>80</v>
      </c>
      <c r="J993" s="225"/>
      <c r="K993" s="15" t="str">
        <f ca="1">IF($J993="〇",OFFSET(集計!B$3,合体!$H993,0),"")</f>
        <v/>
      </c>
      <c r="L993" s="15" t="str">
        <f ca="1">IF($J993="〇",OFFSET(集計!C$3,合体!$H993,0),"")</f>
        <v/>
      </c>
      <c r="M993" s="202" t="str">
        <f ca="1">IF($J993="〇",OFFSET(集計!D$3,合体!$H993,0),"")</f>
        <v/>
      </c>
    </row>
    <row r="994" spans="2:13" x14ac:dyDescent="0.2">
      <c r="B994" s="201">
        <f t="shared" si="15"/>
        <v>990</v>
      </c>
      <c r="C994" s="15" t="str">
        <f>薬品マスタリスト_20260130100542!A992</f>
        <v>レボトミン錠５０ｍｇ</v>
      </c>
      <c r="D994" s="15" t="str">
        <f>薬品マスタリスト_20260130100542!B992</f>
        <v>ﾚﾎﾞﾄﾐﾝｼﾞｮｳ50mg</v>
      </c>
      <c r="E994" s="15">
        <f>薬品マスタリスト_20260130100542!C992</f>
        <v>1</v>
      </c>
      <c r="F994" s="206" t="str">
        <f>薬品マスタリスト_20260130100542!D992</f>
        <v>錠剤</v>
      </c>
      <c r="G994" s="208" t="str">
        <f>match_results!C991</f>
        <v>メトホルミン錠２５０ｍｇ</v>
      </c>
      <c r="H994" s="208">
        <f>match_results!D991</f>
        <v>335</v>
      </c>
      <c r="I994" s="218">
        <f>match_results!E991</f>
        <v>72.727272727272705</v>
      </c>
      <c r="J994" s="225"/>
      <c r="K994" s="15" t="str">
        <f ca="1">IF($J994="〇",OFFSET(集計!B$3,合体!$H994,0),"")</f>
        <v/>
      </c>
      <c r="L994" s="15" t="str">
        <f ca="1">IF($J994="〇",OFFSET(集計!C$3,合体!$H994,0),"")</f>
        <v/>
      </c>
      <c r="M994" s="202" t="str">
        <f ca="1">IF($J994="〇",OFFSET(集計!D$3,合体!$H994,0),"")</f>
        <v/>
      </c>
    </row>
    <row r="995" spans="2:13" x14ac:dyDescent="0.2">
      <c r="B995" s="201">
        <f t="shared" si="15"/>
        <v>991</v>
      </c>
      <c r="C995" s="15" t="str">
        <f>薬品マスタリスト_20260130100542!A993</f>
        <v>レボトミン顆粒１０％</v>
      </c>
      <c r="D995" s="15" t="str">
        <f>薬品マスタリスト_20260130100542!B993</f>
        <v>ﾚﾎﾞﾄﾐﾝｶﾘｭｳ10%</v>
      </c>
      <c r="E995" s="15">
        <f>薬品マスタリスト_20260130100542!C993</f>
        <v>3</v>
      </c>
      <c r="F995" s="206" t="str">
        <f>薬品マスタリスト_20260130100542!D993</f>
        <v>散</v>
      </c>
      <c r="G995" s="208" t="str">
        <f>match_results!C992</f>
        <v>レボトミン顆粒　１０％</v>
      </c>
      <c r="H995" s="208">
        <f>match_results!D992</f>
        <v>272</v>
      </c>
      <c r="I995" s="218">
        <f>match_results!E992</f>
        <v>95.238095238095198</v>
      </c>
      <c r="J995" s="225"/>
      <c r="K995" s="15" t="str">
        <f ca="1">IF($J995="〇",OFFSET(集計!B$3,合体!$H995,0),"")</f>
        <v/>
      </c>
      <c r="L995" s="15" t="str">
        <f ca="1">IF($J995="〇",OFFSET(集計!C$3,合体!$H995,0),"")</f>
        <v/>
      </c>
      <c r="M995" s="202" t="str">
        <f ca="1">IF($J995="〇",OFFSET(集計!D$3,合体!$H995,0),"")</f>
        <v/>
      </c>
    </row>
    <row r="996" spans="2:13" x14ac:dyDescent="0.2">
      <c r="B996" s="201">
        <f t="shared" si="15"/>
        <v>992</v>
      </c>
      <c r="C996" s="15" t="str">
        <f>薬品マスタリスト_20260130100542!A994</f>
        <v>レボトミン筋注２５ｍｇ</v>
      </c>
      <c r="D996" s="15" t="str">
        <f>薬品マスタリスト_20260130100542!B994</f>
        <v>ﾚﾎﾞﾄﾐﾝｷﾝﾁｭｳ25mg</v>
      </c>
      <c r="E996" s="15">
        <f>薬品マスタリスト_20260130100542!C994</f>
        <v>25</v>
      </c>
      <c r="F996" s="206" t="str">
        <f>薬品マスタリスト_20260130100542!D994</f>
        <v>注射剤</v>
      </c>
      <c r="G996" s="208" t="str">
        <f>match_results!C993</f>
        <v>トレドミン錠２５ｍｇ</v>
      </c>
      <c r="H996" s="208">
        <f>match_results!D993</f>
        <v>396</v>
      </c>
      <c r="I996" s="218">
        <f>match_results!E993</f>
        <v>66.6666666666666</v>
      </c>
      <c r="J996" s="225"/>
      <c r="K996" s="15" t="str">
        <f ca="1">IF($J996="〇",OFFSET(集計!B$3,合体!$H996,0),"")</f>
        <v/>
      </c>
      <c r="L996" s="15" t="str">
        <f ca="1">IF($J996="〇",OFFSET(集計!C$3,合体!$H996,0),"")</f>
        <v/>
      </c>
      <c r="M996" s="202" t="str">
        <f ca="1">IF($J996="〇",OFFSET(集計!D$3,合体!$H996,0),"")</f>
        <v/>
      </c>
    </row>
    <row r="997" spans="2:13" x14ac:dyDescent="0.2">
      <c r="B997" s="201">
        <f t="shared" si="15"/>
        <v>993</v>
      </c>
      <c r="C997" s="15" t="str">
        <f>薬品マスタリスト_20260130100542!A995</f>
        <v>レボフロキサシン細粒１０％「ＤＳＥＰ」</v>
      </c>
      <c r="D997" s="15" t="str">
        <f>薬品マスタリスト_20260130100542!B995</f>
        <v>ﾚﾎﾞﾌﾛｷｻｼﾝｻｲﾘｭｳ10%｢DSEP｣</v>
      </c>
      <c r="E997" s="15">
        <f>薬品マスタリスト_20260130100542!C995</f>
        <v>3</v>
      </c>
      <c r="F997" s="206" t="str">
        <f>薬品マスタリスト_20260130100542!D995</f>
        <v>散</v>
      </c>
      <c r="G997" s="208" t="str">
        <f>match_results!C994</f>
        <v>レボフロキサシン細粒１０％「ＤＳＥＰ］</v>
      </c>
      <c r="H997" s="208">
        <f>match_results!D994</f>
        <v>260</v>
      </c>
      <c r="I997" s="218">
        <f>match_results!E994</f>
        <v>94.736842105263094</v>
      </c>
      <c r="J997" s="225"/>
      <c r="K997" s="15" t="str">
        <f ca="1">IF($J997="〇",OFFSET(集計!B$3,合体!$H997,0),"")</f>
        <v/>
      </c>
      <c r="L997" s="15" t="str">
        <f ca="1">IF($J997="〇",OFFSET(集計!C$3,合体!$H997,0),"")</f>
        <v/>
      </c>
      <c r="M997" s="202" t="str">
        <f ca="1">IF($J997="〇",OFFSET(集計!D$3,合体!$H997,0),"")</f>
        <v/>
      </c>
    </row>
    <row r="998" spans="2:13" x14ac:dyDescent="0.2">
      <c r="B998" s="201">
        <f t="shared" si="15"/>
        <v>994</v>
      </c>
      <c r="C998" s="15" t="str">
        <f>薬品マスタリスト_20260130100542!A996</f>
        <v>レボフロキサシン錠２５０ｍｇ「ＤＳＥＰ」</v>
      </c>
      <c r="D998" s="15" t="str">
        <f>薬品マスタリスト_20260130100542!B996</f>
        <v>ﾚﾎﾞﾌﾛｷｻｼﾝｼﾞｮｳ250mg｢DSEP｣</v>
      </c>
      <c r="E998" s="15">
        <f>薬品マスタリスト_20260130100542!C996</f>
        <v>1</v>
      </c>
      <c r="F998" s="206" t="str">
        <f>薬品マスタリスト_20260130100542!D996</f>
        <v>錠剤</v>
      </c>
      <c r="G998" s="208" t="str">
        <f>match_results!C995</f>
        <v>レボフロキサシン錠２５０ｍｇ</v>
      </c>
      <c r="H998" s="208">
        <f>match_results!D995</f>
        <v>464</v>
      </c>
      <c r="I998" s="218">
        <f>match_results!E995</f>
        <v>82.352941176470495</v>
      </c>
      <c r="J998" s="225"/>
      <c r="K998" s="15" t="str">
        <f ca="1">IF($J998="〇",OFFSET(集計!B$3,合体!$H998,0),"")</f>
        <v/>
      </c>
      <c r="L998" s="15" t="str">
        <f ca="1">IF($J998="〇",OFFSET(集計!C$3,合体!$H998,0),"")</f>
        <v/>
      </c>
      <c r="M998" s="202" t="str">
        <f ca="1">IF($J998="〇",OFFSET(集計!D$3,合体!$H998,0),"")</f>
        <v/>
      </c>
    </row>
    <row r="999" spans="2:13" x14ac:dyDescent="0.2">
      <c r="B999" s="201">
        <f t="shared" si="15"/>
        <v>995</v>
      </c>
      <c r="C999" s="15" t="str">
        <f>薬品マスタリスト_20260130100542!A997</f>
        <v>レボフロキサシン点滴静注バッグ５００ｍｇ／１００ｍＬ「ＤＳＥＰ」</v>
      </c>
      <c r="D999" s="15" t="str">
        <f>薬品マスタリスト_20260130100542!B997</f>
        <v>ﾚﾎﾞﾌﾛｷｻｼﾝﾃﾝﾃｷｼﾞﾖｳﾁﾕｳﾊﾞﾂｸﾞ500MG/100MLDSEP</v>
      </c>
      <c r="E999" s="15">
        <f>薬品マスタリスト_20260130100542!C997</f>
        <v>25</v>
      </c>
      <c r="F999" s="206" t="str">
        <f>薬品マスタリスト_20260130100542!D997</f>
        <v>注射剤</v>
      </c>
      <c r="G999" s="208" t="str">
        <f>match_results!C996</f>
        <v>レボフロキサシン点滴静注バッグ</v>
      </c>
      <c r="H999" s="208">
        <f>match_results!D996</f>
        <v>481</v>
      </c>
      <c r="I999" s="218">
        <f>match_results!E996</f>
        <v>63.829787234042499</v>
      </c>
      <c r="J999" s="225"/>
      <c r="K999" s="15" t="str">
        <f ca="1">IF($J999="〇",OFFSET(集計!B$3,合体!$H999,0),"")</f>
        <v/>
      </c>
      <c r="L999" s="15" t="str">
        <f ca="1">IF($J999="〇",OFFSET(集計!C$3,合体!$H999,0),"")</f>
        <v/>
      </c>
      <c r="M999" s="202" t="str">
        <f ca="1">IF($J999="〇",OFFSET(集計!D$3,合体!$H999,0),"")</f>
        <v/>
      </c>
    </row>
    <row r="1000" spans="2:13" x14ac:dyDescent="0.2">
      <c r="B1000" s="201">
        <f t="shared" si="15"/>
        <v>996</v>
      </c>
      <c r="C1000" s="15" t="str">
        <f>薬品マスタリスト_20260130100542!A998</f>
        <v>レボフロキサシン点眼液１．５％「ニットー」</v>
      </c>
      <c r="D1000" s="15" t="str">
        <f>薬品マスタリスト_20260130100542!B998</f>
        <v>ﾚﾎﾞﾌﾛｷｻｼﾝﾃﾝｶﾞﾝｴｷ1.5%ﾆﾂﾄ-</v>
      </c>
      <c r="E1000" s="15">
        <f>薬品マスタリスト_20260130100542!C998</f>
        <v>21</v>
      </c>
      <c r="F1000" s="206" t="str">
        <f>薬品マスタリスト_20260130100542!D998</f>
        <v>点眼剤</v>
      </c>
      <c r="G1000" s="208" t="str">
        <f>match_results!C997</f>
        <v>オフロキサシン点眼液０．３％「タナベ」　５ｍｌ／本</v>
      </c>
      <c r="H1000" s="208">
        <f>match_results!D997</f>
        <v>475</v>
      </c>
      <c r="I1000" s="218">
        <f>match_results!E997</f>
        <v>56.521739130434703</v>
      </c>
      <c r="J1000" s="225"/>
      <c r="K1000" s="15" t="str">
        <f ca="1">IF($J1000="〇",OFFSET(集計!B$3,合体!$H1000,0),"")</f>
        <v/>
      </c>
      <c r="L1000" s="15" t="str">
        <f ca="1">IF($J1000="〇",OFFSET(集計!C$3,合体!$H1000,0),"")</f>
        <v/>
      </c>
      <c r="M1000" s="202" t="str">
        <f ca="1">IF($J1000="〇",OFFSET(集計!D$3,合体!$H1000,0),"")</f>
        <v/>
      </c>
    </row>
    <row r="1001" spans="2:13" x14ac:dyDescent="0.2">
      <c r="B1001" s="201">
        <f t="shared" si="15"/>
        <v>997</v>
      </c>
      <c r="C1001" s="15" t="str">
        <f>薬品マスタリスト_20260130100542!A999</f>
        <v>レボレード錠１２．５ｍｇ</v>
      </c>
      <c r="D1001" s="15" t="str">
        <f>薬品マスタリスト_20260130100542!B999</f>
        <v>ﾚﾎﾞﾚｰﾄﾞｼﾞｮｳ12.5mg</v>
      </c>
      <c r="E1001" s="15">
        <f>薬品マスタリスト_20260130100542!C999</f>
        <v>1</v>
      </c>
      <c r="F1001" s="206" t="str">
        <f>薬品マスタリスト_20260130100542!D999</f>
        <v>錠剤</v>
      </c>
      <c r="G1001" s="208" t="str">
        <f>match_results!C998</f>
        <v>レトロゾール錠２．５ｍｇ</v>
      </c>
      <c r="H1001" s="208">
        <f>match_results!D998</f>
        <v>201</v>
      </c>
      <c r="I1001" s="218">
        <f>match_results!E998</f>
        <v>66.6666666666666</v>
      </c>
      <c r="J1001" s="225"/>
      <c r="K1001" s="15" t="str">
        <f ca="1">IF($J1001="〇",OFFSET(集計!B$3,合体!$H1001,0),"")</f>
        <v/>
      </c>
      <c r="L1001" s="15" t="str">
        <f ca="1">IF($J1001="〇",OFFSET(集計!C$3,合体!$H1001,0),"")</f>
        <v/>
      </c>
      <c r="M1001" s="202" t="str">
        <f ca="1">IF($J1001="〇",OFFSET(集計!D$3,合体!$H1001,0),"")</f>
        <v/>
      </c>
    </row>
    <row r="1002" spans="2:13" x14ac:dyDescent="0.2">
      <c r="B1002" s="201">
        <f t="shared" si="15"/>
        <v>998</v>
      </c>
      <c r="C1002" s="15" t="str">
        <f>薬品マスタリスト_20260130100542!A1000</f>
        <v>レルパックス錠２０ｍｇ</v>
      </c>
      <c r="D1002" s="15" t="str">
        <f>薬品マスタリスト_20260130100542!B1000</f>
        <v>ﾚﾙﾊﾟｯｸｽｼﾞｮｳ20mg</v>
      </c>
      <c r="E1002" s="15">
        <f>薬品マスタリスト_20260130100542!C1000</f>
        <v>1</v>
      </c>
      <c r="F1002" s="206" t="str">
        <f>薬品マスタリスト_20260130100542!D1000</f>
        <v>錠剤</v>
      </c>
      <c r="G1002" s="208" t="str">
        <f>match_results!C999</f>
        <v>レルパックス</v>
      </c>
      <c r="H1002" s="208">
        <f>match_results!D999</f>
        <v>387</v>
      </c>
      <c r="I1002" s="218">
        <f>match_results!E999</f>
        <v>70.588235294117595</v>
      </c>
      <c r="J1002" s="225"/>
      <c r="K1002" s="15" t="str">
        <f ca="1">IF($J1002="〇",OFFSET(集計!B$3,合体!$H1002,0),"")</f>
        <v/>
      </c>
      <c r="L1002" s="15" t="str">
        <f ca="1">IF($J1002="〇",OFFSET(集計!C$3,合体!$H1002,0),"")</f>
        <v/>
      </c>
      <c r="M1002" s="202" t="str">
        <f ca="1">IF($J1002="〇",OFFSET(集計!D$3,合体!$H1002,0),"")</f>
        <v/>
      </c>
    </row>
    <row r="1003" spans="2:13" x14ac:dyDescent="0.2">
      <c r="B1003" s="201">
        <f t="shared" si="15"/>
        <v>999</v>
      </c>
      <c r="C1003" s="15" t="str">
        <f>薬品マスタリスト_20260130100542!A1001</f>
        <v>レルベア２００エリプタ３０吸入用</v>
      </c>
      <c r="D1003" s="15" t="str">
        <f>薬品マスタリスト_20260130100542!B1001</f>
        <v>ﾚﾙﾍﾞｱ200ｴﾘﾌﾟﾀ30ｷｭｳﾆｭｳﾖｳ</v>
      </c>
      <c r="E1003" s="15">
        <f>薬品マスタリスト_20260130100542!C1001</f>
        <v>10</v>
      </c>
      <c r="F1003" s="206" t="str">
        <f>薬品マスタリスト_20260130100542!D1001</f>
        <v>吸入剤</v>
      </c>
      <c r="G1003" s="208" t="str">
        <f>match_results!C1000</f>
        <v>レルベア２００エリプタ</v>
      </c>
      <c r="H1003" s="208">
        <f>match_results!D1000</f>
        <v>436</v>
      </c>
      <c r="I1003" s="218">
        <f>match_results!E1000</f>
        <v>81.481481481481495</v>
      </c>
      <c r="J1003" s="225"/>
      <c r="K1003" s="15" t="str">
        <f ca="1">IF($J1003="〇",OFFSET(集計!B$3,合体!$H1003,0),"")</f>
        <v/>
      </c>
      <c r="L1003" s="15" t="str">
        <f ca="1">IF($J1003="〇",OFFSET(集計!C$3,合体!$H1003,0),"")</f>
        <v/>
      </c>
      <c r="M1003" s="202" t="str">
        <f ca="1">IF($J1003="〇",OFFSET(集計!D$3,合体!$H1003,0),"")</f>
        <v/>
      </c>
    </row>
    <row r="1004" spans="2:13" x14ac:dyDescent="0.2">
      <c r="B1004" s="201">
        <f t="shared" si="15"/>
        <v>1000</v>
      </c>
      <c r="C1004" s="15" t="str">
        <f>薬品マスタリスト_20260130100542!A1002</f>
        <v>レルベア１００エリプタ３０吸入用</v>
      </c>
      <c r="D1004" s="15" t="str">
        <f>薬品マスタリスト_20260130100542!B1002</f>
        <v>ﾚﾙﾍﾞｱ100ｴﾘﾌﾟﾀ30ｷｭｳﾆｭｳﾖｳ</v>
      </c>
      <c r="E1004" s="15">
        <f>薬品マスタリスト_20260130100542!C1002</f>
        <v>10</v>
      </c>
      <c r="F1004" s="206" t="str">
        <f>薬品マスタリスト_20260130100542!D1002</f>
        <v>吸入剤</v>
      </c>
      <c r="G1004" s="208" t="str">
        <f>match_results!C1001</f>
        <v>レルベア１００エリプタ</v>
      </c>
      <c r="H1004" s="208">
        <f>match_results!D1001</f>
        <v>278</v>
      </c>
      <c r="I1004" s="218">
        <f>match_results!E1001</f>
        <v>81.481481481481495</v>
      </c>
      <c r="J1004" s="225"/>
      <c r="K1004" s="15" t="str">
        <f ca="1">IF($J1004="〇",OFFSET(集計!B$3,合体!$H1004,0),"")</f>
        <v/>
      </c>
      <c r="L1004" s="15" t="str">
        <f ca="1">IF($J1004="〇",OFFSET(集計!C$3,合体!$H1004,0),"")</f>
        <v/>
      </c>
      <c r="M1004" s="202" t="str">
        <f ca="1">IF($J1004="〇",OFFSET(集計!D$3,合体!$H1004,0),"")</f>
        <v/>
      </c>
    </row>
    <row r="1005" spans="2:13" x14ac:dyDescent="0.2">
      <c r="B1005" s="201">
        <f t="shared" si="15"/>
        <v>1001</v>
      </c>
      <c r="C1005" s="15" t="str">
        <f>薬品マスタリスト_20260130100542!A1003</f>
        <v>ロキソプロフェンナトリウム錠６０ｍｇ「日医工」</v>
      </c>
      <c r="D1005" s="15" t="str">
        <f>薬品マスタリスト_20260130100542!B1003</f>
        <v>ﾛｷｿﾌﾟﾛﾌｪﾝﾅﾄﾘｳﾑｼﾞｮｳ60mg｢ﾆﾁｲｺｳ｣</v>
      </c>
      <c r="E1005" s="15">
        <f>薬品マスタリスト_20260130100542!C1003</f>
        <v>1</v>
      </c>
      <c r="F1005" s="206" t="str">
        <f>薬品マスタリスト_20260130100542!D1003</f>
        <v>錠剤</v>
      </c>
      <c r="G1005" s="208" t="str">
        <f>match_results!C1002</f>
        <v>ロキソプロフェン錠６０ｍｇ</v>
      </c>
      <c r="H1005" s="208">
        <f>match_results!D1002</f>
        <v>588</v>
      </c>
      <c r="I1005" s="218">
        <f>match_results!E1002</f>
        <v>72.2222222222222</v>
      </c>
      <c r="J1005" s="225"/>
      <c r="K1005" s="15" t="str">
        <f ca="1">IF($J1005="〇",OFFSET(集計!B$3,合体!$H1005,0),"")</f>
        <v/>
      </c>
      <c r="L1005" s="15" t="str">
        <f ca="1">IF($J1005="〇",OFFSET(集計!C$3,合体!$H1005,0),"")</f>
        <v/>
      </c>
      <c r="M1005" s="202" t="str">
        <f ca="1">IF($J1005="〇",OFFSET(集計!D$3,合体!$H1005,0),"")</f>
        <v/>
      </c>
    </row>
    <row r="1006" spans="2:13" x14ac:dyDescent="0.2">
      <c r="B1006" s="201">
        <f t="shared" si="15"/>
        <v>1002</v>
      </c>
      <c r="C1006" s="15" t="str">
        <f>薬品マスタリスト_20260130100542!A1004</f>
        <v>ロキソニン細粒１０％</v>
      </c>
      <c r="D1006" s="15" t="str">
        <f>薬品マスタリスト_20260130100542!B1004</f>
        <v>ﾛｷｿﾆﾝｻｲﾘｭｳ10%</v>
      </c>
      <c r="E1006" s="15">
        <f>薬品マスタリスト_20260130100542!C1004</f>
        <v>3</v>
      </c>
      <c r="F1006" s="206" t="str">
        <f>薬品マスタリスト_20260130100542!D1004</f>
        <v>散</v>
      </c>
      <c r="G1006" s="208" t="str">
        <f>match_results!C1003</f>
        <v>ロキソニン細粒１０％　</v>
      </c>
      <c r="H1006" s="208">
        <f>match_results!D1003</f>
        <v>369</v>
      </c>
      <c r="I1006" s="218">
        <f>match_results!E1003</f>
        <v>100</v>
      </c>
      <c r="J1006" s="225" t="s">
        <v>3917</v>
      </c>
      <c r="K1006" s="15">
        <f ca="1">IF($J1006="〇",OFFSET(集計!B$3,合体!$H1006,0),"")</f>
        <v>13.21</v>
      </c>
      <c r="L1006" s="15">
        <f ca="1">IF($J1006="〇",OFFSET(集計!C$3,合体!$H1006,0),"")</f>
        <v>519</v>
      </c>
      <c r="M1006" s="202">
        <f ca="1">IF($J1006="〇",OFFSET(集計!D$3,合体!$H1006,0),"")</f>
        <v>6855.9900000000007</v>
      </c>
    </row>
    <row r="1007" spans="2:13" x14ac:dyDescent="0.2">
      <c r="B1007" s="201">
        <f t="shared" si="15"/>
        <v>1003</v>
      </c>
      <c r="C1007" s="15" t="str">
        <f>薬品マスタリスト_20260130100542!A1005</f>
        <v>ロキソプロフェンＮａテープ１００ｍｇ「三和」</v>
      </c>
      <c r="D1007" s="15" t="str">
        <f>薬品マスタリスト_20260130100542!B1005</f>
        <v>ﾛｷｿﾌﾟﾛﾌｪﾝNaﾃｰﾌﾟ100mg｢ｻﾝﾜ｣</v>
      </c>
      <c r="E1007" s="15">
        <f>薬品マスタリスト_20260130100542!C1005</f>
        <v>19</v>
      </c>
      <c r="F1007" s="206" t="str">
        <f>薬品マスタリスト_20260130100542!D1005</f>
        <v>貼付剤</v>
      </c>
      <c r="G1007" s="208" t="str">
        <f>match_results!C1004</f>
        <v>ロキソプロフェン錠６０ｍｇ</v>
      </c>
      <c r="H1007" s="208">
        <f>match_results!D1004</f>
        <v>588</v>
      </c>
      <c r="I1007" s="218">
        <f>match_results!E1004</f>
        <v>62.857142857142797</v>
      </c>
      <c r="J1007" s="225"/>
      <c r="K1007" s="15" t="str">
        <f ca="1">IF($J1007="〇",OFFSET(集計!B$3,合体!$H1007,0),"")</f>
        <v/>
      </c>
      <c r="L1007" s="15" t="str">
        <f ca="1">IF($J1007="〇",OFFSET(集計!C$3,合体!$H1007,0),"")</f>
        <v/>
      </c>
      <c r="M1007" s="202" t="str">
        <f ca="1">IF($J1007="〇",OFFSET(集計!D$3,合体!$H1007,0),"")</f>
        <v/>
      </c>
    </row>
    <row r="1008" spans="2:13" x14ac:dyDescent="0.2">
      <c r="B1008" s="201">
        <f t="shared" si="15"/>
        <v>1004</v>
      </c>
      <c r="C1008" s="15" t="str">
        <f>薬品マスタリスト_20260130100542!A1006</f>
        <v>ロキソプロフェンＮａテープ１００ｍｇ「科研」</v>
      </c>
      <c r="D1008" s="15" t="str">
        <f>薬品マスタリスト_20260130100542!B1006</f>
        <v>ﾛｷｿﾌﾟﾛﾌｴﾝNAﾃ-ﾌﾟ100MGｶｹﾝ</v>
      </c>
      <c r="E1008" s="15">
        <f>薬品マスタリスト_20260130100542!C1006</f>
        <v>19</v>
      </c>
      <c r="F1008" s="206" t="str">
        <f>薬品マスタリスト_20260130100542!D1006</f>
        <v>貼付剤</v>
      </c>
      <c r="G1008" s="208" t="str">
        <f>match_results!C1005</f>
        <v>ロキソプロフェン錠６０ｍｇ</v>
      </c>
      <c r="H1008" s="208">
        <f>match_results!D1005</f>
        <v>588</v>
      </c>
      <c r="I1008" s="218">
        <f>match_results!E1005</f>
        <v>62.857142857142797</v>
      </c>
      <c r="J1008" s="225"/>
      <c r="K1008" s="15" t="str">
        <f ca="1">IF($J1008="〇",OFFSET(集計!B$3,合体!$H1008,0),"")</f>
        <v/>
      </c>
      <c r="L1008" s="15" t="str">
        <f ca="1">IF($J1008="〇",OFFSET(集計!C$3,合体!$H1008,0),"")</f>
        <v/>
      </c>
      <c r="M1008" s="202" t="str">
        <f ca="1">IF($J1008="〇",OFFSET(集計!D$3,合体!$H1008,0),"")</f>
        <v/>
      </c>
    </row>
    <row r="1009" spans="2:13" x14ac:dyDescent="0.2">
      <c r="B1009" s="201">
        <f t="shared" si="15"/>
        <v>1005</v>
      </c>
      <c r="C1009" s="15" t="str">
        <f>薬品マスタリスト_20260130100542!A1007</f>
        <v>ロキソプロフェンＮａテープ１００ｍｇ「ＤＳＥＰ」</v>
      </c>
      <c r="D1009" s="15" t="str">
        <f>薬品マスタリスト_20260130100542!B1007</f>
        <v>ﾛｷｿﾌﾟﾛﾌｴﾝNAﾃ-ﾌﾟ100MGDSEP</v>
      </c>
      <c r="E1009" s="15">
        <f>薬品マスタリスト_20260130100542!C1007</f>
        <v>19</v>
      </c>
      <c r="F1009" s="206" t="str">
        <f>薬品マスタリスト_20260130100542!D1007</f>
        <v>貼付剤</v>
      </c>
      <c r="G1009" s="208" t="str">
        <f>match_results!C1006</f>
        <v>ロキソプロフェン錠６０ｍｇ</v>
      </c>
      <c r="H1009" s="208">
        <f>match_results!D1006</f>
        <v>588</v>
      </c>
      <c r="I1009" s="218">
        <f>match_results!E1006</f>
        <v>59.459459459459403</v>
      </c>
      <c r="J1009" s="225"/>
      <c r="K1009" s="15" t="str">
        <f ca="1">IF($J1009="〇",OFFSET(集計!B$3,合体!$H1009,0),"")</f>
        <v/>
      </c>
      <c r="L1009" s="15" t="str">
        <f ca="1">IF($J1009="〇",OFFSET(集計!C$3,合体!$H1009,0),"")</f>
        <v/>
      </c>
      <c r="M1009" s="202" t="str">
        <f ca="1">IF($J1009="〇",OFFSET(集計!D$3,合体!$H1009,0),"")</f>
        <v/>
      </c>
    </row>
    <row r="1010" spans="2:13" x14ac:dyDescent="0.2">
      <c r="B1010" s="201">
        <f t="shared" si="15"/>
        <v>1006</v>
      </c>
      <c r="C1010" s="15" t="str">
        <f>薬品マスタリスト_20260130100542!A1008</f>
        <v>ロケルマ懸濁用散分包５ｇ</v>
      </c>
      <c r="D1010" s="15" t="str">
        <f>薬品マスタリスト_20260130100542!B1008</f>
        <v>ﾛｹﾙﾏｹﾝﾀﾞｸﾖｳｻﾝﾌﾞﾝﾎﾟｳ5G</v>
      </c>
      <c r="E1010" s="15">
        <f>薬品マスタリスト_20260130100542!C1008</f>
        <v>3</v>
      </c>
      <c r="F1010" s="206" t="str">
        <f>薬品マスタリスト_20260130100542!D1008</f>
        <v>散</v>
      </c>
      <c r="G1010" s="208" t="str">
        <f>match_results!C1007</f>
        <v>リスパダール内用液分包０．５ｍｇ／０．５ｍｌ</v>
      </c>
      <c r="H1010" s="208">
        <f>match_results!D1007</f>
        <v>259</v>
      </c>
      <c r="I1010" s="218">
        <f>match_results!E1007</f>
        <v>35.294117647058798</v>
      </c>
      <c r="J1010" s="225"/>
      <c r="K1010" s="15" t="str">
        <f ca="1">IF($J1010="〇",OFFSET(集計!B$3,合体!$H1010,0),"")</f>
        <v/>
      </c>
      <c r="L1010" s="15" t="str">
        <f ca="1">IF($J1010="〇",OFFSET(集計!C$3,合体!$H1010,0),"")</f>
        <v/>
      </c>
      <c r="M1010" s="202" t="str">
        <f ca="1">IF($J1010="〇",OFFSET(集計!D$3,合体!$H1010,0),"")</f>
        <v/>
      </c>
    </row>
    <row r="1011" spans="2:13" x14ac:dyDescent="0.2">
      <c r="B1011" s="201">
        <f t="shared" si="15"/>
        <v>1007</v>
      </c>
      <c r="C1011" s="15" t="str">
        <f>薬品マスタリスト_20260130100542!A1009</f>
        <v>ロコイド軟膏０．１％</v>
      </c>
      <c r="D1011" s="15" t="str">
        <f>薬品マスタリスト_20260130100542!B1009</f>
        <v>ﾛｺｲﾄﾞﾅﾝｺｳ0.1%</v>
      </c>
      <c r="E1011" s="15">
        <f>薬品マスタリスト_20260130100542!C1009</f>
        <v>14</v>
      </c>
      <c r="F1011" s="206" t="str">
        <f>薬品マスタリスト_20260130100542!D1009</f>
        <v>軟膏</v>
      </c>
      <c r="G1011" s="208" t="str">
        <f>match_results!C1008</f>
        <v>ロコイド軟膏０．１％</v>
      </c>
      <c r="H1011" s="208">
        <f>match_results!D1008</f>
        <v>172</v>
      </c>
      <c r="I1011" s="218">
        <f>match_results!E1008</f>
        <v>100</v>
      </c>
      <c r="J1011" s="225" t="s">
        <v>3917</v>
      </c>
      <c r="K1011" s="15">
        <f ca="1">IF($J1011="〇",OFFSET(集計!B$3,合体!$H1011,0),"")</f>
        <v>66.3</v>
      </c>
      <c r="L1011" s="15">
        <f ca="1">IF($J1011="〇",OFFSET(集計!C$3,合体!$H1011,0),"")</f>
        <v>37</v>
      </c>
      <c r="M1011" s="202">
        <f ca="1">IF($J1011="〇",OFFSET(集計!D$3,合体!$H1011,0),"")</f>
        <v>2453.1</v>
      </c>
    </row>
    <row r="1012" spans="2:13" x14ac:dyDescent="0.2">
      <c r="B1012" s="201">
        <f t="shared" si="15"/>
        <v>1008</v>
      </c>
      <c r="C1012" s="15" t="str">
        <f>薬品マスタリスト_20260130100542!A1010</f>
        <v>ロスバスタチン錠２．５ｍｇ「ニプロ」</v>
      </c>
      <c r="D1012" s="15" t="str">
        <f>薬品マスタリスト_20260130100542!B1010</f>
        <v>ﾛｽﾊﾞｽﾀﾁﾝｼﾞｮｳ2.5mg｢ﾆﾌﾟﾛ｣</v>
      </c>
      <c r="E1012" s="15">
        <f>薬品マスタリスト_20260130100542!C1010</f>
        <v>1</v>
      </c>
      <c r="F1012" s="206" t="str">
        <f>薬品マスタリスト_20260130100542!D1010</f>
        <v>錠剤</v>
      </c>
      <c r="G1012" s="208" t="str">
        <f>match_results!C1009</f>
        <v>ロスバスタチン錠２．５ｍｇ「トーワ」</v>
      </c>
      <c r="H1012" s="208">
        <f>match_results!D1009</f>
        <v>416</v>
      </c>
      <c r="I1012" s="218">
        <f>match_results!E1009</f>
        <v>83.3333333333333</v>
      </c>
      <c r="J1012" s="225"/>
      <c r="K1012" s="15" t="str">
        <f ca="1">IF($J1012="〇",OFFSET(集計!B$3,合体!$H1012,0),"")</f>
        <v/>
      </c>
      <c r="L1012" s="15" t="str">
        <f ca="1">IF($J1012="〇",OFFSET(集計!C$3,合体!$H1012,0),"")</f>
        <v/>
      </c>
      <c r="M1012" s="202" t="str">
        <f ca="1">IF($J1012="〇",OFFSET(集計!D$3,合体!$H1012,0),"")</f>
        <v/>
      </c>
    </row>
    <row r="1013" spans="2:13" x14ac:dyDescent="0.2">
      <c r="B1013" s="201">
        <f t="shared" si="15"/>
        <v>1009</v>
      </c>
      <c r="C1013" s="15" t="str">
        <f>薬品マスタリスト_20260130100542!A1011</f>
        <v>ロスバスタチン錠２．５ｍｇ「トーワ」</v>
      </c>
      <c r="D1013" s="15" t="str">
        <f>薬品マスタリスト_20260130100542!B1011</f>
        <v>ﾛｽﾊﾞｽﾀﾁﾝｼﾞﾖｳ2.5MGﾄ-ﾜ</v>
      </c>
      <c r="E1013" s="15">
        <f>薬品マスタリスト_20260130100542!C1011</f>
        <v>1</v>
      </c>
      <c r="F1013" s="206" t="str">
        <f>薬品マスタリスト_20260130100542!D1011</f>
        <v>錠剤</v>
      </c>
      <c r="G1013" s="208" t="str">
        <f>match_results!C1010</f>
        <v>ロスバスタチン錠２．５ｍｇ「トーワ」</v>
      </c>
      <c r="H1013" s="208">
        <f>match_results!D1010</f>
        <v>416</v>
      </c>
      <c r="I1013" s="218">
        <f>match_results!E1010</f>
        <v>100</v>
      </c>
      <c r="J1013" s="225" t="s">
        <v>3917</v>
      </c>
      <c r="K1013" s="15">
        <f ca="1">IF($J1013="〇",OFFSET(集計!B$3,合体!$H1013,0),"")</f>
        <v>8.9</v>
      </c>
      <c r="L1013" s="15">
        <f ca="1">IF($J1013="〇",OFFSET(集計!C$3,合体!$H1013,0),"")</f>
        <v>966.5</v>
      </c>
      <c r="M1013" s="202">
        <f ca="1">IF($J1013="〇",OFFSET(集計!D$3,合体!$H1013,0),"")</f>
        <v>8601.85</v>
      </c>
    </row>
    <row r="1014" spans="2:13" x14ac:dyDescent="0.2">
      <c r="B1014" s="201">
        <f t="shared" si="15"/>
        <v>1010</v>
      </c>
      <c r="C1014" s="15" t="str">
        <f>薬品マスタリスト_20260130100542!A1012</f>
        <v>ロゼレム錠８ｍｇ</v>
      </c>
      <c r="D1014" s="15" t="str">
        <f>薬品マスタリスト_20260130100542!B1012</f>
        <v>ﾛｾﾞﾚﾑｼﾞｮｳ8mg</v>
      </c>
      <c r="E1014" s="15">
        <f>薬品マスタリスト_20260130100542!C1012</f>
        <v>1</v>
      </c>
      <c r="F1014" s="206" t="str">
        <f>薬品マスタリスト_20260130100542!D1012</f>
        <v>錠剤</v>
      </c>
      <c r="G1014" s="208" t="str">
        <f>match_results!C1011</f>
        <v>ロゼレム錠８ｍｇ</v>
      </c>
      <c r="H1014" s="208">
        <f>match_results!D1011</f>
        <v>399</v>
      </c>
      <c r="I1014" s="218">
        <f>match_results!E1011</f>
        <v>100</v>
      </c>
      <c r="J1014" s="225" t="s">
        <v>3917</v>
      </c>
      <c r="K1014" s="15">
        <f ca="1">IF($J1014="〇",OFFSET(集計!B$3,合体!$H1014,0),"")</f>
        <v>38.44</v>
      </c>
      <c r="L1014" s="15">
        <f ca="1">IF($J1014="〇",OFFSET(集計!C$3,合体!$H1014,0),"")</f>
        <v>199</v>
      </c>
      <c r="M1014" s="202">
        <f ca="1">IF($J1014="〇",OFFSET(集計!D$3,合体!$H1014,0),"")</f>
        <v>7649.5599999999995</v>
      </c>
    </row>
    <row r="1015" spans="2:13" x14ac:dyDescent="0.2">
      <c r="B1015" s="201">
        <f t="shared" si="15"/>
        <v>1011</v>
      </c>
      <c r="C1015" s="15" t="str">
        <f>薬品マスタリスト_20260130100542!A1013</f>
        <v>ロートエキス散</v>
      </c>
      <c r="D1015" s="15" t="str">
        <f>薬品マスタリスト_20260130100542!B1013</f>
        <v>ﾛｰﾄｴｷｽｻﾝ</v>
      </c>
      <c r="E1015" s="15">
        <f>薬品マスタリスト_20260130100542!C1013</f>
        <v>3</v>
      </c>
      <c r="F1015" s="206" t="str">
        <f>薬品マスタリスト_20260130100542!D1013</f>
        <v>散</v>
      </c>
      <c r="G1015" s="208" t="str">
        <f>match_results!C1012</f>
        <v>ラクツロースシロップ</v>
      </c>
      <c r="H1015" s="208">
        <f>match_results!D1012</f>
        <v>153</v>
      </c>
      <c r="I1015" s="218">
        <f>match_results!E1012</f>
        <v>35.294117647058798</v>
      </c>
      <c r="J1015" s="225"/>
      <c r="K1015" s="15" t="str">
        <f ca="1">IF($J1015="〇",OFFSET(集計!B$3,合体!$H1015,0),"")</f>
        <v/>
      </c>
      <c r="L1015" s="15" t="str">
        <f ca="1">IF($J1015="〇",OFFSET(集計!C$3,合体!$H1015,0),"")</f>
        <v/>
      </c>
      <c r="M1015" s="202" t="str">
        <f ca="1">IF($J1015="〇",OFFSET(集計!D$3,合体!$H1015,0),"")</f>
        <v/>
      </c>
    </row>
    <row r="1016" spans="2:13" x14ac:dyDescent="0.2">
      <c r="B1016" s="201">
        <f t="shared" si="15"/>
        <v>1012</v>
      </c>
      <c r="C1016" s="15" t="str">
        <f>薬品マスタリスト_20260130100542!A1014</f>
        <v>ロドピン錠２５ｍｇ</v>
      </c>
      <c r="D1016" s="15" t="str">
        <f>薬品マスタリスト_20260130100542!B1014</f>
        <v>ﾛﾄﾞﾋﾟﾝｼﾞｮｳ25mg</v>
      </c>
      <c r="E1016" s="15">
        <f>薬品マスタリスト_20260130100542!C1014</f>
        <v>1</v>
      </c>
      <c r="F1016" s="206" t="str">
        <f>薬品マスタリスト_20260130100542!D1014</f>
        <v>錠剤</v>
      </c>
      <c r="G1016" s="208" t="str">
        <f>match_results!C1013</f>
        <v>ロドピン錠２５ｍｇ　</v>
      </c>
      <c r="H1016" s="208">
        <f>match_results!D1013</f>
        <v>526</v>
      </c>
      <c r="I1016" s="218">
        <f>match_results!E1013</f>
        <v>100</v>
      </c>
      <c r="J1016" s="225" t="s">
        <v>3917</v>
      </c>
      <c r="K1016" s="15">
        <f ca="1">IF($J1016="〇",OFFSET(集計!B$3,合体!$H1016,0),"")</f>
        <v>9.5</v>
      </c>
      <c r="L1016" s="15">
        <f ca="1">IF($J1016="〇",OFFSET(集計!C$3,合体!$H1016,0),"")</f>
        <v>1776</v>
      </c>
      <c r="M1016" s="202">
        <f ca="1">IF($J1016="〇",OFFSET(集計!D$3,合体!$H1016,0),"")</f>
        <v>16872</v>
      </c>
    </row>
    <row r="1017" spans="2:13" x14ac:dyDescent="0.2">
      <c r="B1017" s="201">
        <f t="shared" si="15"/>
        <v>1013</v>
      </c>
      <c r="C1017" s="15" t="str">
        <f>薬品マスタリスト_20260130100542!A1015</f>
        <v>ロドピン錠５０ｍｇ</v>
      </c>
      <c r="D1017" s="15" t="str">
        <f>薬品マスタリスト_20260130100542!B1015</f>
        <v>ﾛﾄﾞﾋﾟﾝｼﾞｮｳ50mg</v>
      </c>
      <c r="E1017" s="15">
        <f>薬品マスタリスト_20260130100542!C1015</f>
        <v>1</v>
      </c>
      <c r="F1017" s="206" t="str">
        <f>薬品マスタリスト_20260130100542!D1015</f>
        <v>錠剤</v>
      </c>
      <c r="G1017" s="208" t="str">
        <f>match_results!C1014</f>
        <v>ロドピン錠５０ｍｇ　</v>
      </c>
      <c r="H1017" s="208">
        <f>match_results!D1014</f>
        <v>589</v>
      </c>
      <c r="I1017" s="218">
        <f>match_results!E1014</f>
        <v>100</v>
      </c>
      <c r="J1017" s="225" t="s">
        <v>3917</v>
      </c>
      <c r="K1017" s="15">
        <f ca="1">IF($J1017="〇",OFFSET(集計!B$3,合体!$H1017,0),"")</f>
        <v>17.25</v>
      </c>
      <c r="L1017" s="15">
        <f ca="1">IF($J1017="〇",OFFSET(集計!C$3,合体!$H1017,0),"")</f>
        <v>1770.5882352941176</v>
      </c>
      <c r="M1017" s="202">
        <f ca="1">IF($J1017="〇",OFFSET(集計!D$3,合体!$H1017,0),"")</f>
        <v>30542.647058823528</v>
      </c>
    </row>
    <row r="1018" spans="2:13" x14ac:dyDescent="0.2">
      <c r="B1018" s="201">
        <f t="shared" si="15"/>
        <v>1014</v>
      </c>
      <c r="C1018" s="15" t="str">
        <f>薬品マスタリスト_20260130100542!A1016</f>
        <v>ロドピン細粒５０％</v>
      </c>
      <c r="D1018" s="15" t="str">
        <f>薬品マスタリスト_20260130100542!B1016</f>
        <v>ﾛﾄﾞﾋﾟﾝｻｲﾘｭｳ50%</v>
      </c>
      <c r="E1018" s="15">
        <f>薬品マスタリスト_20260130100542!C1016</f>
        <v>3</v>
      </c>
      <c r="F1018" s="206" t="str">
        <f>薬品マスタリスト_20260130100542!D1016</f>
        <v>散</v>
      </c>
      <c r="G1018" s="208" t="str">
        <f>match_results!C1015</f>
        <v>ロドピン細粒５０％</v>
      </c>
      <c r="H1018" s="208">
        <f>match_results!D1015</f>
        <v>550</v>
      </c>
      <c r="I1018" s="218">
        <f>match_results!E1015</f>
        <v>100</v>
      </c>
      <c r="J1018" s="225" t="s">
        <v>3917</v>
      </c>
      <c r="K1018" s="15">
        <f ca="1">IF($J1018="〇",OFFSET(集計!B$3,合体!$H1018,0),"")</f>
        <v>173.1</v>
      </c>
      <c r="L1018" s="15">
        <f ca="1">IF($J1018="〇",OFFSET(集計!C$3,合体!$H1018,0),"")</f>
        <v>125</v>
      </c>
      <c r="M1018" s="202">
        <f ca="1">IF($J1018="〇",OFFSET(集計!D$3,合体!$H1018,0),"")</f>
        <v>21637.5</v>
      </c>
    </row>
    <row r="1019" spans="2:13" x14ac:dyDescent="0.2">
      <c r="B1019" s="201">
        <f t="shared" si="15"/>
        <v>1015</v>
      </c>
      <c r="C1019" s="15" t="str">
        <f>薬品マスタリスト_20260130100542!A1017</f>
        <v>ロナセンテープ２０ｍｇ</v>
      </c>
      <c r="D1019" s="15" t="str">
        <f>薬品マスタリスト_20260130100542!B1017</f>
        <v>ﾛﾅｾﾝﾃｰﾌﾟ20mg</v>
      </c>
      <c r="E1019" s="15">
        <f>薬品マスタリスト_20260130100542!C1017</f>
        <v>19</v>
      </c>
      <c r="F1019" s="206" t="str">
        <f>薬品マスタリスト_20260130100542!D1017</f>
        <v>貼付剤</v>
      </c>
      <c r="G1019" s="208" t="str">
        <f>match_results!C1016</f>
        <v>ロナセンテープ２０ｍｇ</v>
      </c>
      <c r="H1019" s="208">
        <f>match_results!D1016</f>
        <v>569</v>
      </c>
      <c r="I1019" s="218">
        <f>match_results!E1016</f>
        <v>100</v>
      </c>
      <c r="J1019" s="225" t="s">
        <v>3917</v>
      </c>
      <c r="K1019" s="15">
        <f ca="1">IF($J1019="〇",OFFSET(集計!B$3,合体!$H1019,0),"")</f>
        <v>207.14</v>
      </c>
      <c r="L1019" s="15">
        <f ca="1">IF($J1019="〇",OFFSET(集計!C$3,合体!$H1019,0),"")</f>
        <v>119</v>
      </c>
      <c r="M1019" s="202">
        <f ca="1">IF($J1019="〇",OFFSET(集計!D$3,合体!$H1019,0),"")</f>
        <v>24649.66</v>
      </c>
    </row>
    <row r="1020" spans="2:13" x14ac:dyDescent="0.2">
      <c r="B1020" s="201">
        <f t="shared" si="15"/>
        <v>1016</v>
      </c>
      <c r="C1020" s="15" t="str">
        <f>薬品マスタリスト_20260130100542!A1018</f>
        <v>ロナセンテープ４０ｍｇ</v>
      </c>
      <c r="D1020" s="15" t="str">
        <f>薬品マスタリスト_20260130100542!B1018</f>
        <v>ﾛﾅｾﾝﾃｰﾌﾟ40mg</v>
      </c>
      <c r="E1020" s="15">
        <f>薬品マスタリスト_20260130100542!C1018</f>
        <v>19</v>
      </c>
      <c r="F1020" s="206" t="str">
        <f>薬品マスタリスト_20260130100542!D1018</f>
        <v>貼付剤</v>
      </c>
      <c r="G1020" s="208" t="str">
        <f>match_results!C1017</f>
        <v>ロナセンテープ４０ｍｇ</v>
      </c>
      <c r="H1020" s="208">
        <f>match_results!D1017</f>
        <v>608</v>
      </c>
      <c r="I1020" s="218">
        <f>match_results!E1017</f>
        <v>100</v>
      </c>
      <c r="J1020" s="225" t="s">
        <v>3917</v>
      </c>
      <c r="K1020" s="15">
        <f ca="1">IF($J1020="〇",OFFSET(集計!B$3,合体!$H1020,0),"")</f>
        <v>385.71</v>
      </c>
      <c r="L1020" s="15">
        <f ca="1">IF($J1020="〇",OFFSET(集計!C$3,合体!$H1020,0),"")</f>
        <v>98</v>
      </c>
      <c r="M1020" s="202">
        <f ca="1">IF($J1020="〇",OFFSET(集計!D$3,合体!$H1020,0),"")</f>
        <v>37799.579999999994</v>
      </c>
    </row>
    <row r="1021" spans="2:13" x14ac:dyDescent="0.2">
      <c r="B1021" s="201">
        <f t="shared" si="15"/>
        <v>1017</v>
      </c>
      <c r="C1021" s="15" t="str">
        <f>薬品マスタリスト_20260130100542!A1019</f>
        <v>ロピニロール徐放錠２ｍｇ「サワイ」</v>
      </c>
      <c r="D1021" s="15" t="str">
        <f>薬品マスタリスト_20260130100542!B1019</f>
        <v>ﾛﾋﾟﾆﾛｰﾙｼﾞｮﾎｳｼﾞｮｳ2mg｢ｻﾜｲ｣</v>
      </c>
      <c r="E1021" s="15">
        <f>薬品マスタリスト_20260130100542!C1019</f>
        <v>1</v>
      </c>
      <c r="F1021" s="206" t="str">
        <f>薬品マスタリスト_20260130100542!D1019</f>
        <v>錠剤</v>
      </c>
      <c r="G1021" s="208" t="str">
        <f>match_results!C1018</f>
        <v>アリピプラゾール錠１ｍｇ「サワイ」</v>
      </c>
      <c r="H1021" s="208">
        <f>match_results!D1018</f>
        <v>313</v>
      </c>
      <c r="I1021" s="218">
        <f>match_results!E1018</f>
        <v>64.705882352941103</v>
      </c>
      <c r="J1021" s="225"/>
      <c r="K1021" s="15" t="str">
        <f ca="1">IF($J1021="〇",OFFSET(集計!B$3,合体!$H1021,0),"")</f>
        <v/>
      </c>
      <c r="L1021" s="15" t="str">
        <f ca="1">IF($J1021="〇",OFFSET(集計!C$3,合体!$H1021,0),"")</f>
        <v/>
      </c>
      <c r="M1021" s="202" t="str">
        <f ca="1">IF($J1021="〇",OFFSET(集計!D$3,合体!$H1021,0),"")</f>
        <v/>
      </c>
    </row>
    <row r="1022" spans="2:13" x14ac:dyDescent="0.2">
      <c r="B1022" s="201">
        <f t="shared" si="15"/>
        <v>1018</v>
      </c>
      <c r="C1022" s="15" t="str">
        <f>薬品マスタリスト_20260130100542!A1020</f>
        <v>ロフラゼプ酸エチル錠１ｍｇ「ＳＮ」</v>
      </c>
      <c r="D1022" s="15" t="str">
        <f>薬品マスタリスト_20260130100542!B1020</f>
        <v>ﾛﾌﾗｾﾞﾌﾟｻﾝｴﾁﾙｼﾞｮｳ1mg｢SN｣</v>
      </c>
      <c r="E1022" s="15">
        <f>薬品マスタリスト_20260130100542!C1020</f>
        <v>1</v>
      </c>
      <c r="F1022" s="206" t="str">
        <f>薬品マスタリスト_20260130100542!D1020</f>
        <v>錠剤</v>
      </c>
      <c r="G1022" s="208" t="str">
        <f>match_results!C1019</f>
        <v>フルニトラゼパム錠１ｍｇ「アメル」</v>
      </c>
      <c r="H1022" s="208">
        <f>match_results!D1019</f>
        <v>421</v>
      </c>
      <c r="I1022" s="218">
        <f>match_results!E1019</f>
        <v>52.941176470588204</v>
      </c>
      <c r="J1022" s="225"/>
      <c r="K1022" s="15" t="str">
        <f ca="1">IF($J1022="〇",OFFSET(集計!B$3,合体!$H1022,0),"")</f>
        <v/>
      </c>
      <c r="L1022" s="15" t="str">
        <f ca="1">IF($J1022="〇",OFFSET(集計!C$3,合体!$H1022,0),"")</f>
        <v/>
      </c>
      <c r="M1022" s="202" t="str">
        <f ca="1">IF($J1022="〇",OFFSET(集計!D$3,合体!$H1022,0),"")</f>
        <v/>
      </c>
    </row>
    <row r="1023" spans="2:13" x14ac:dyDescent="0.2">
      <c r="B1023" s="201">
        <f t="shared" si="15"/>
        <v>1019</v>
      </c>
      <c r="C1023" s="15" t="str">
        <f>薬品マスタリスト_20260130100542!A1021</f>
        <v>ロペミンカプセル１ｍｇ</v>
      </c>
      <c r="D1023" s="15" t="str">
        <f>薬品マスタリスト_20260130100542!B1021</f>
        <v>ﾛﾍﾟﾐﾝｶﾌﾟｾﾙ1mg</v>
      </c>
      <c r="E1023" s="15">
        <f>薬品マスタリスト_20260130100542!C1021</f>
        <v>2</v>
      </c>
      <c r="F1023" s="206" t="str">
        <f>薬品マスタリスト_20260130100542!D1021</f>
        <v>カプセル</v>
      </c>
      <c r="G1023" s="208" t="str">
        <f>match_results!C1020</f>
        <v>ロペミンカプセル１ｍｇ</v>
      </c>
      <c r="H1023" s="208">
        <f>match_results!D1020</f>
        <v>110</v>
      </c>
      <c r="I1023" s="218">
        <f>match_results!E1020</f>
        <v>100</v>
      </c>
      <c r="J1023" s="225" t="s">
        <v>3917</v>
      </c>
      <c r="K1023" s="15">
        <f ca="1">IF($J1023="〇",OFFSET(集計!B$3,合体!$H1023,0),"")</f>
        <v>9.52</v>
      </c>
      <c r="L1023" s="15">
        <f ca="1">IF($J1023="〇",OFFSET(集計!C$3,合体!$H1023,0),"")</f>
        <v>162</v>
      </c>
      <c r="M1023" s="202">
        <f ca="1">IF($J1023="〇",OFFSET(集計!D$3,合体!$H1023,0),"")</f>
        <v>1542.24</v>
      </c>
    </row>
    <row r="1024" spans="2:13" x14ac:dyDescent="0.2">
      <c r="B1024" s="201">
        <f t="shared" si="15"/>
        <v>1020</v>
      </c>
      <c r="C1024" s="15" t="str">
        <f>薬品マスタリスト_20260130100542!A1022</f>
        <v>ロラゼパム錠０．５ｍｇ「サワイ」</v>
      </c>
      <c r="D1024" s="15" t="str">
        <f>薬品マスタリスト_20260130100542!B1022</f>
        <v>ﾛﾗｾﾞﾊﾟﾑｼﾞｮｳ0.5mg｢ｻﾜｲ｣</v>
      </c>
      <c r="E1024" s="15">
        <f>薬品マスタリスト_20260130100542!C1022</f>
        <v>1</v>
      </c>
      <c r="F1024" s="206" t="str">
        <f>薬品マスタリスト_20260130100542!D1022</f>
        <v>錠剤</v>
      </c>
      <c r="G1024" s="208" t="str">
        <f>match_results!C1021</f>
        <v>ロラゼパム錠０．５ｍｇ</v>
      </c>
      <c r="H1024" s="208">
        <f>match_results!D1021</f>
        <v>266</v>
      </c>
      <c r="I1024" s="218">
        <f>match_results!E1021</f>
        <v>81.481481481481495</v>
      </c>
      <c r="J1024" s="225"/>
      <c r="K1024" s="15" t="str">
        <f ca="1">IF($J1024="〇",OFFSET(集計!B$3,合体!$H1024,0),"")</f>
        <v/>
      </c>
      <c r="L1024" s="15" t="str">
        <f ca="1">IF($J1024="〇",OFFSET(集計!C$3,合体!$H1024,0),"")</f>
        <v/>
      </c>
      <c r="M1024" s="202" t="str">
        <f ca="1">IF($J1024="〇",OFFSET(集計!D$3,合体!$H1024,0),"")</f>
        <v/>
      </c>
    </row>
    <row r="1025" spans="2:13" x14ac:dyDescent="0.2">
      <c r="B1025" s="201">
        <f t="shared" si="15"/>
        <v>1021</v>
      </c>
      <c r="C1025" s="15" t="str">
        <f>薬品マスタリスト_20260130100542!A1023</f>
        <v>ロラメット錠１．０</v>
      </c>
      <c r="D1025" s="15" t="str">
        <f>薬品マスタリスト_20260130100542!B1023</f>
        <v>ﾛﾗﾒｯﾄｼﾞｮｳ1.0</v>
      </c>
      <c r="E1025" s="15">
        <f>薬品マスタリスト_20260130100542!C1023</f>
        <v>1</v>
      </c>
      <c r="F1025" s="206" t="str">
        <f>薬品マスタリスト_20260130100542!D1023</f>
        <v>錠剤</v>
      </c>
      <c r="G1025" s="208" t="str">
        <f>match_results!C1022</f>
        <v>ロラメット錠１．０　（アスカ）　（シン）</v>
      </c>
      <c r="H1025" s="208">
        <f>match_results!D1022</f>
        <v>555</v>
      </c>
      <c r="I1025" s="218">
        <f>match_results!E1022</f>
        <v>62.068965517241303</v>
      </c>
      <c r="J1025" s="225"/>
      <c r="K1025" s="15" t="str">
        <f ca="1">IF($J1025="〇",OFFSET(集計!B$3,合体!$H1025,0),"")</f>
        <v/>
      </c>
      <c r="L1025" s="15" t="str">
        <f ca="1">IF($J1025="〇",OFFSET(集計!C$3,合体!$H1025,0),"")</f>
        <v/>
      </c>
      <c r="M1025" s="202" t="str">
        <f ca="1">IF($J1025="〇",OFFSET(集計!D$3,合体!$H1025,0),"")</f>
        <v/>
      </c>
    </row>
    <row r="1026" spans="2:13" x14ac:dyDescent="0.2">
      <c r="B1026" s="201">
        <f t="shared" si="15"/>
        <v>1022</v>
      </c>
      <c r="C1026" s="15" t="str">
        <f>薬品マスタリスト_20260130100542!A1024</f>
        <v>ワゴスチグミン注０．５ｍｇ</v>
      </c>
      <c r="D1026" s="15" t="str">
        <f>薬品マスタリスト_20260130100542!B1024</f>
        <v>ﾜｺﾞｽﾁｸﾞﾐﾝﾁｭｳ0.5mg</v>
      </c>
      <c r="E1026" s="15">
        <f>薬品マスタリスト_20260130100542!C1024</f>
        <v>25</v>
      </c>
      <c r="F1026" s="206" t="str">
        <f>薬品マスタリスト_20260130100542!D1024</f>
        <v>注射剤</v>
      </c>
      <c r="G1026" s="208" t="str">
        <f>match_results!C1023</f>
        <v>リバスチグミンテープ４．５ｍｇ　２８枚</v>
      </c>
      <c r="H1026" s="208">
        <f>match_results!D1023</f>
        <v>391</v>
      </c>
      <c r="I1026" s="218">
        <f>match_results!E1023</f>
        <v>56.25</v>
      </c>
      <c r="J1026" s="225"/>
      <c r="K1026" s="15" t="str">
        <f ca="1">IF($J1026="〇",OFFSET(集計!B$3,合体!$H1026,0),"")</f>
        <v/>
      </c>
      <c r="L1026" s="15" t="str">
        <f ca="1">IF($J1026="〇",OFFSET(集計!C$3,合体!$H1026,0),"")</f>
        <v/>
      </c>
      <c r="M1026" s="202" t="str">
        <f ca="1">IF($J1026="〇",OFFSET(集計!D$3,合体!$H1026,0),"")</f>
        <v/>
      </c>
    </row>
    <row r="1027" spans="2:13" x14ac:dyDescent="0.2">
      <c r="B1027" s="201">
        <f t="shared" si="15"/>
        <v>1023</v>
      </c>
      <c r="C1027" s="15" t="str">
        <f>薬品マスタリスト_20260130100542!A1025</f>
        <v>ワソラン静注５ｍｇ</v>
      </c>
      <c r="D1027" s="15" t="str">
        <f>薬品マスタリスト_20260130100542!B1025</f>
        <v>ﾜｿﾗﾝｼﾞｮｳﾁｭｳ5mg</v>
      </c>
      <c r="E1027" s="15">
        <f>薬品マスタリスト_20260130100542!C1025</f>
        <v>25</v>
      </c>
      <c r="F1027" s="206" t="str">
        <f>薬品マスタリスト_20260130100542!D1025</f>
        <v>注射剤</v>
      </c>
      <c r="G1027" s="208" t="str">
        <f>match_results!C1024</f>
        <v>ワソラン静注５ｍｇ</v>
      </c>
      <c r="H1027" s="208">
        <f>match_results!D1024</f>
        <v>154</v>
      </c>
      <c r="I1027" s="218">
        <f>match_results!E1024</f>
        <v>100</v>
      </c>
      <c r="J1027" s="225" t="s">
        <v>3917</v>
      </c>
      <c r="K1027" s="15">
        <f ca="1">IF($J1027="〇",OFFSET(集計!B$3,合体!$H1027,0),"")</f>
        <v>189.8</v>
      </c>
      <c r="L1027" s="15">
        <f ca="1">IF($J1027="〇",OFFSET(集計!C$3,合体!$H1027,0),"")</f>
        <v>12</v>
      </c>
      <c r="M1027" s="202">
        <f ca="1">IF($J1027="〇",OFFSET(集計!D$3,合体!$H1027,0),"")</f>
        <v>2277.6000000000004</v>
      </c>
    </row>
    <row r="1028" spans="2:13" x14ac:dyDescent="0.2">
      <c r="B1028" s="201">
        <f t="shared" si="15"/>
        <v>1024</v>
      </c>
      <c r="C1028" s="15" t="str">
        <f>薬品マスタリスト_20260130100542!A1026</f>
        <v>ワソラン錠４０ｍｇ</v>
      </c>
      <c r="D1028" s="15" t="str">
        <f>薬品マスタリスト_20260130100542!B1026</f>
        <v>ﾜｿﾗﾝｼﾞｮｳ40mg</v>
      </c>
      <c r="E1028" s="15">
        <f>薬品マスタリスト_20260130100542!C1026</f>
        <v>1</v>
      </c>
      <c r="F1028" s="206" t="str">
        <f>薬品マスタリスト_20260130100542!D1026</f>
        <v>錠剤</v>
      </c>
      <c r="G1028" s="208" t="str">
        <f>match_results!C1025</f>
        <v>ワソラン錠４０ｍｇ</v>
      </c>
      <c r="H1028" s="208">
        <f>match_results!D1025</f>
        <v>51</v>
      </c>
      <c r="I1028" s="218">
        <f>match_results!E1025</f>
        <v>100</v>
      </c>
      <c r="J1028" s="225" t="s">
        <v>3917</v>
      </c>
      <c r="K1028" s="15">
        <f ca="1">IF($J1028="〇",OFFSET(集計!B$3,合体!$H1028,0),"")</f>
        <v>6.41</v>
      </c>
      <c r="L1028" s="15">
        <f ca="1">IF($J1028="〇",OFFSET(集計!C$3,合体!$H1028,0),"")</f>
        <v>100</v>
      </c>
      <c r="M1028" s="202">
        <f ca="1">IF($J1028="〇",OFFSET(集計!D$3,合体!$H1028,0),"")</f>
        <v>641</v>
      </c>
    </row>
    <row r="1029" spans="2:13" x14ac:dyDescent="0.2">
      <c r="B1029" s="201">
        <f t="shared" si="15"/>
        <v>1025</v>
      </c>
      <c r="C1029" s="15" t="str">
        <f>薬品マスタリスト_20260130100542!A1027</f>
        <v>ワーファリン錠１ｍｇ</v>
      </c>
      <c r="D1029" s="15" t="str">
        <f>薬品マスタリスト_20260130100542!B1027</f>
        <v>ﾜｰﾌｧﾘﾝｼﾞｮｳ1mg</v>
      </c>
      <c r="E1029" s="15">
        <f>薬品マスタリスト_20260130100542!C1027</f>
        <v>1</v>
      </c>
      <c r="F1029" s="206" t="str">
        <f>薬品マスタリスト_20260130100542!D1027</f>
        <v>錠剤</v>
      </c>
      <c r="G1029" s="208" t="str">
        <f>match_results!C1026</f>
        <v>ワーファリン</v>
      </c>
      <c r="H1029" s="208">
        <f>match_results!D1026</f>
        <v>183</v>
      </c>
      <c r="I1029" s="218">
        <f>match_results!E1026</f>
        <v>75</v>
      </c>
      <c r="J1029" s="225"/>
      <c r="K1029" s="15" t="str">
        <f ca="1">IF($J1029="〇",OFFSET(集計!B$3,合体!$H1029,0),"")</f>
        <v/>
      </c>
      <c r="L1029" s="15" t="str">
        <f ca="1">IF($J1029="〇",OFFSET(集計!C$3,合体!$H1029,0),"")</f>
        <v/>
      </c>
      <c r="M1029" s="202" t="str">
        <f ca="1">IF($J1029="〇",OFFSET(集計!D$3,合体!$H1029,0),"")</f>
        <v/>
      </c>
    </row>
    <row r="1030" spans="2:13" x14ac:dyDescent="0.2">
      <c r="B1030" s="201">
        <f t="shared" si="15"/>
        <v>1026</v>
      </c>
      <c r="C1030" s="15" t="str">
        <f>薬品マスタリスト_20260130100542!A1028</f>
        <v>ワンパル２号輸液1200</v>
      </c>
      <c r="D1030" s="15" t="str">
        <f>薬品マスタリスト_20260130100542!B1028</f>
        <v>ﾜﾝﾊﾟﾙ2ｺﾞｳﾕｴｷ</v>
      </c>
      <c r="E1030" s="15">
        <f>薬品マスタリスト_20260130100542!C1028</f>
        <v>25</v>
      </c>
      <c r="F1030" s="206" t="str">
        <f>薬品マスタリスト_20260130100542!D1028</f>
        <v>注射剤</v>
      </c>
      <c r="G1030" s="208" t="str">
        <f>match_results!C1027</f>
        <v>ワンパル２号輸液８００</v>
      </c>
      <c r="H1030" s="208">
        <f>match_results!D1027</f>
        <v>625</v>
      </c>
      <c r="I1030" s="218">
        <f>match_results!E1027</f>
        <v>69.565217391304301</v>
      </c>
      <c r="J1030" s="225"/>
      <c r="K1030" s="15" t="str">
        <f ca="1">IF($J1030="〇",OFFSET(集計!B$3,合体!$H1030,0),"")</f>
        <v/>
      </c>
      <c r="L1030" s="15" t="str">
        <f ca="1">IF($J1030="〇",OFFSET(集計!C$3,合体!$H1030,0),"")</f>
        <v/>
      </c>
      <c r="M1030" s="202" t="str">
        <f ca="1">IF($J1030="〇",OFFSET(集計!D$3,合体!$H1030,0),"")</f>
        <v/>
      </c>
    </row>
    <row r="1031" spans="2:13" x14ac:dyDescent="0.2">
      <c r="B1031" s="201">
        <f t="shared" ref="B1031:B1032" si="16">B1030+1</f>
        <v>1027</v>
      </c>
      <c r="C1031" s="15" t="str">
        <f>薬品マスタリスト_20260130100542!A1029</f>
        <v>ワンパル２号輸液</v>
      </c>
      <c r="D1031" s="15" t="str">
        <f>薬品マスタリスト_20260130100542!B1029</f>
        <v>ﾜﾝﾊﾟﾙ2ｺﾞｳﾕｴｷ</v>
      </c>
      <c r="E1031" s="15">
        <f>薬品マスタリスト_20260130100542!C1029</f>
        <v>25</v>
      </c>
      <c r="F1031" s="206" t="str">
        <f>薬品マスタリスト_20260130100542!D1029</f>
        <v>注射剤</v>
      </c>
      <c r="G1031" s="208" t="str">
        <f>match_results!C1028</f>
        <v>ワンパル２号輸液８００</v>
      </c>
      <c r="H1031" s="208">
        <f>match_results!D1028</f>
        <v>625</v>
      </c>
      <c r="I1031" s="218">
        <f>match_results!E1028</f>
        <v>84.210526315789394</v>
      </c>
      <c r="J1031" s="225"/>
      <c r="K1031" s="15" t="str">
        <f ca="1">IF($J1031="〇",OFFSET(集計!B$3,合体!$H1031,0),"")</f>
        <v/>
      </c>
      <c r="L1031" s="15" t="str">
        <f ca="1">IF($J1031="〇",OFFSET(集計!C$3,合体!$H1031,0),"")</f>
        <v/>
      </c>
      <c r="M1031" s="202" t="str">
        <f ca="1">IF($J1031="〇",OFFSET(集計!D$3,合体!$H1031,0),"")</f>
        <v/>
      </c>
    </row>
    <row r="1032" spans="2:13" ht="13.8" thickBot="1" x14ac:dyDescent="0.25">
      <c r="B1032" s="203">
        <f t="shared" si="16"/>
        <v>1028</v>
      </c>
      <c r="C1032" s="204" t="str">
        <f>薬品マスタリスト_20260130100542!A1030</f>
        <v>ワンパル１号輸液</v>
      </c>
      <c r="D1032" s="204" t="str">
        <f>薬品マスタリスト_20260130100542!B1030</f>
        <v>ﾜﾝﾊﾟﾙ1ｺﾞｳﾕｴｷ</v>
      </c>
      <c r="E1032" s="204">
        <f>薬品マスタリスト_20260130100542!C1030</f>
        <v>25</v>
      </c>
      <c r="F1032" s="207" t="str">
        <f>薬品マスタリスト_20260130100542!D1030</f>
        <v>注射剤</v>
      </c>
      <c r="G1032" s="209" t="str">
        <f>match_results!C1029</f>
        <v>ワンパル２号輸液８００</v>
      </c>
      <c r="H1032" s="209">
        <f>match_results!D1029</f>
        <v>625</v>
      </c>
      <c r="I1032" s="219">
        <f>match_results!E1029</f>
        <v>73.684210526315795</v>
      </c>
      <c r="J1032" s="226"/>
      <c r="K1032" s="204" t="str">
        <f ca="1">IF($J1032="〇",OFFSET(集計!B$3,合体!$H1032,0),"")</f>
        <v/>
      </c>
      <c r="L1032" s="204" t="str">
        <f ca="1">IF($J1032="〇",OFFSET(集計!C$3,合体!$H1032,0),"")</f>
        <v/>
      </c>
      <c r="M1032" s="205" t="str">
        <f ca="1">IF($J1032="〇",OFFSET(集計!D$3,合体!$H1032,0),"")</f>
        <v/>
      </c>
    </row>
  </sheetData>
  <autoFilter ref="B4:M1032" xr:uid="{FC4D55D3-30D1-49B5-BBF2-CE90A5EC4124}"/>
  <phoneticPr fontId="2"/>
  <conditionalFormatting sqref="I1:I1048576">
    <cfRule type="cellIs" dxfId="0" priority="2" operator="equal">
      <formula>100</formula>
    </cfRule>
    <cfRule type="cellIs" dxfId="1" priority="1" operator="between">
      <formula>70</formula>
      <formula>99.9999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515D-BFB6-43DC-8483-85B52274B532}">
  <dimension ref="A1:E1029"/>
  <sheetViews>
    <sheetView workbookViewId="0">
      <selection activeCell="I14" sqref="I14"/>
    </sheetView>
  </sheetViews>
  <sheetFormatPr defaultRowHeight="13.2" x14ac:dyDescent="0.2"/>
  <cols>
    <col min="1" max="1" width="8.88671875" bestFit="1" customWidth="1"/>
    <col min="2" max="2" width="57.44140625" bestFit="1" customWidth="1"/>
    <col min="3" max="3" width="50" bestFit="1" customWidth="1"/>
    <col min="4" max="4" width="8.88671875" bestFit="1" customWidth="1"/>
    <col min="5" max="5" width="14.77734375" style="210" bestFit="1" customWidth="1"/>
  </cols>
  <sheetData>
    <row r="1" spans="1:5" x14ac:dyDescent="0.2">
      <c r="A1" t="s">
        <v>3479</v>
      </c>
      <c r="B1" t="s">
        <v>3480</v>
      </c>
      <c r="C1" t="s">
        <v>3481</v>
      </c>
      <c r="D1" t="s">
        <v>3482</v>
      </c>
      <c r="E1" s="210" t="s">
        <v>3483</v>
      </c>
    </row>
    <row r="2" spans="1:5" x14ac:dyDescent="0.2">
      <c r="A2">
        <v>1</v>
      </c>
      <c r="B2" t="s">
        <v>3471</v>
      </c>
      <c r="C2" t="s">
        <v>3484</v>
      </c>
      <c r="D2">
        <v>93</v>
      </c>
      <c r="E2" s="210">
        <v>96</v>
      </c>
    </row>
    <row r="3" spans="1:5" x14ac:dyDescent="0.2">
      <c r="A3">
        <v>2</v>
      </c>
      <c r="B3" t="s">
        <v>3469</v>
      </c>
      <c r="C3" t="s">
        <v>1289</v>
      </c>
      <c r="D3">
        <v>127</v>
      </c>
      <c r="E3" s="210">
        <v>48.648648648648603</v>
      </c>
    </row>
    <row r="4" spans="1:5" x14ac:dyDescent="0.2">
      <c r="A4">
        <v>3</v>
      </c>
      <c r="B4" t="s">
        <v>3467</v>
      </c>
      <c r="C4" t="s">
        <v>3885</v>
      </c>
      <c r="D4">
        <v>99</v>
      </c>
      <c r="E4" s="210">
        <v>47.619047619047599</v>
      </c>
    </row>
    <row r="5" spans="1:5" x14ac:dyDescent="0.2">
      <c r="A5">
        <v>4</v>
      </c>
      <c r="B5" t="s">
        <v>3465</v>
      </c>
      <c r="C5" t="s">
        <v>3465</v>
      </c>
      <c r="D5">
        <v>1</v>
      </c>
      <c r="E5" s="210">
        <v>100</v>
      </c>
    </row>
    <row r="6" spans="1:5" x14ac:dyDescent="0.2">
      <c r="A6">
        <v>5</v>
      </c>
      <c r="B6" t="s">
        <v>302</v>
      </c>
      <c r="C6" t="s">
        <v>302</v>
      </c>
      <c r="D6">
        <v>208</v>
      </c>
      <c r="E6" s="210">
        <v>100</v>
      </c>
    </row>
    <row r="7" spans="1:5" x14ac:dyDescent="0.2">
      <c r="A7">
        <v>6</v>
      </c>
      <c r="B7" t="s">
        <v>3462</v>
      </c>
      <c r="C7" t="s">
        <v>3485</v>
      </c>
      <c r="D7">
        <v>204</v>
      </c>
      <c r="E7" s="210">
        <v>68.965517241379303</v>
      </c>
    </row>
    <row r="8" spans="1:5" x14ac:dyDescent="0.2">
      <c r="A8">
        <v>7</v>
      </c>
      <c r="B8" t="s">
        <v>303</v>
      </c>
      <c r="C8" t="s">
        <v>303</v>
      </c>
      <c r="D8">
        <v>235</v>
      </c>
      <c r="E8" s="210">
        <v>100</v>
      </c>
    </row>
    <row r="9" spans="1:5" x14ac:dyDescent="0.2">
      <c r="A9">
        <v>8</v>
      </c>
      <c r="B9" t="s">
        <v>3459</v>
      </c>
      <c r="C9" t="s">
        <v>3486</v>
      </c>
      <c r="D9">
        <v>2</v>
      </c>
      <c r="E9" s="210">
        <v>76.190476190476105</v>
      </c>
    </row>
    <row r="10" spans="1:5" x14ac:dyDescent="0.2">
      <c r="A10">
        <v>9</v>
      </c>
      <c r="B10" t="s">
        <v>3457</v>
      </c>
      <c r="C10" t="s">
        <v>3487</v>
      </c>
      <c r="D10">
        <v>230</v>
      </c>
      <c r="E10" s="210">
        <v>82.758620689655103</v>
      </c>
    </row>
    <row r="11" spans="1:5" x14ac:dyDescent="0.2">
      <c r="A11">
        <v>10</v>
      </c>
      <c r="B11" t="s">
        <v>3455</v>
      </c>
      <c r="C11" t="s">
        <v>3488</v>
      </c>
      <c r="D11">
        <v>579</v>
      </c>
      <c r="E11" s="210">
        <v>76.470588235294102</v>
      </c>
    </row>
    <row r="12" spans="1:5" x14ac:dyDescent="0.2">
      <c r="A12">
        <v>11</v>
      </c>
      <c r="B12" t="s">
        <v>3453</v>
      </c>
      <c r="C12" t="s">
        <v>3489</v>
      </c>
      <c r="D12">
        <v>331</v>
      </c>
      <c r="E12" s="210">
        <v>84.848484848484802</v>
      </c>
    </row>
    <row r="13" spans="1:5" x14ac:dyDescent="0.2">
      <c r="A13">
        <v>12</v>
      </c>
      <c r="B13" t="s">
        <v>3451</v>
      </c>
      <c r="C13" t="s">
        <v>3490</v>
      </c>
      <c r="D13">
        <v>231</v>
      </c>
      <c r="E13" s="210">
        <v>70.588235294117595</v>
      </c>
    </row>
    <row r="14" spans="1:5" x14ac:dyDescent="0.2">
      <c r="A14">
        <v>13</v>
      </c>
      <c r="B14" t="s">
        <v>3449</v>
      </c>
      <c r="C14" t="s">
        <v>3491</v>
      </c>
      <c r="D14">
        <v>85</v>
      </c>
      <c r="E14" s="210">
        <v>70</v>
      </c>
    </row>
    <row r="15" spans="1:5" x14ac:dyDescent="0.2">
      <c r="A15">
        <v>14</v>
      </c>
      <c r="B15" t="s">
        <v>3447</v>
      </c>
      <c r="C15" t="s">
        <v>3492</v>
      </c>
      <c r="D15">
        <v>601</v>
      </c>
      <c r="E15" s="210">
        <v>81.25</v>
      </c>
    </row>
    <row r="16" spans="1:5" x14ac:dyDescent="0.2">
      <c r="A16">
        <v>15</v>
      </c>
      <c r="B16" t="s">
        <v>3445</v>
      </c>
      <c r="C16" t="s">
        <v>3443</v>
      </c>
      <c r="D16">
        <v>365</v>
      </c>
      <c r="E16" s="210">
        <v>85</v>
      </c>
    </row>
    <row r="17" spans="1:5" x14ac:dyDescent="0.2">
      <c r="A17">
        <v>16</v>
      </c>
      <c r="B17" t="s">
        <v>3443</v>
      </c>
      <c r="C17" t="s">
        <v>3443</v>
      </c>
      <c r="D17">
        <v>365</v>
      </c>
      <c r="E17" s="210">
        <v>100</v>
      </c>
    </row>
    <row r="18" spans="1:5" x14ac:dyDescent="0.2">
      <c r="A18">
        <v>17</v>
      </c>
      <c r="B18" t="s">
        <v>3441</v>
      </c>
      <c r="C18" t="s">
        <v>3443</v>
      </c>
      <c r="D18">
        <v>365</v>
      </c>
      <c r="E18" s="210">
        <v>78.947368421052602</v>
      </c>
    </row>
    <row r="19" spans="1:5" x14ac:dyDescent="0.2">
      <c r="A19">
        <v>18</v>
      </c>
      <c r="B19" t="s">
        <v>3439</v>
      </c>
      <c r="C19" t="s">
        <v>199</v>
      </c>
      <c r="D19">
        <v>301</v>
      </c>
      <c r="E19" s="210">
        <v>61.538461538461497</v>
      </c>
    </row>
    <row r="20" spans="1:5" x14ac:dyDescent="0.2">
      <c r="A20">
        <v>19</v>
      </c>
      <c r="B20" t="s">
        <v>3437</v>
      </c>
      <c r="C20" t="s">
        <v>3493</v>
      </c>
      <c r="D20">
        <v>330</v>
      </c>
      <c r="E20" s="210">
        <v>61.538461538461497</v>
      </c>
    </row>
    <row r="21" spans="1:5" x14ac:dyDescent="0.2">
      <c r="A21">
        <v>20</v>
      </c>
      <c r="B21" t="s">
        <v>3435</v>
      </c>
      <c r="C21" t="s">
        <v>3494</v>
      </c>
      <c r="D21">
        <v>157</v>
      </c>
      <c r="E21" s="210">
        <v>66.6666666666666</v>
      </c>
    </row>
    <row r="22" spans="1:5" x14ac:dyDescent="0.2">
      <c r="A22">
        <v>21</v>
      </c>
      <c r="B22" t="s">
        <v>3433</v>
      </c>
      <c r="C22" t="s">
        <v>3495</v>
      </c>
      <c r="D22">
        <v>355</v>
      </c>
      <c r="E22" s="210">
        <v>86.956521739130395</v>
      </c>
    </row>
    <row r="23" spans="1:5" x14ac:dyDescent="0.2">
      <c r="A23">
        <v>22</v>
      </c>
      <c r="B23" t="s">
        <v>3431</v>
      </c>
      <c r="C23" t="s">
        <v>3431</v>
      </c>
      <c r="D23">
        <v>309</v>
      </c>
      <c r="E23" s="210">
        <v>100</v>
      </c>
    </row>
    <row r="24" spans="1:5" x14ac:dyDescent="0.2">
      <c r="A24">
        <v>23</v>
      </c>
      <c r="B24" t="s">
        <v>3429</v>
      </c>
      <c r="C24" t="s">
        <v>3429</v>
      </c>
      <c r="D24">
        <v>227</v>
      </c>
      <c r="E24" s="210">
        <v>100</v>
      </c>
    </row>
    <row r="25" spans="1:5" x14ac:dyDescent="0.2">
      <c r="A25">
        <v>24</v>
      </c>
      <c r="B25" t="s">
        <v>3427</v>
      </c>
      <c r="C25" t="s">
        <v>3496</v>
      </c>
      <c r="D25">
        <v>219</v>
      </c>
      <c r="E25" s="210">
        <v>81.632653061224403</v>
      </c>
    </row>
    <row r="26" spans="1:5" x14ac:dyDescent="0.2">
      <c r="A26">
        <v>25</v>
      </c>
      <c r="B26" t="s">
        <v>3425</v>
      </c>
      <c r="C26" t="s">
        <v>3497</v>
      </c>
      <c r="D26">
        <v>106</v>
      </c>
      <c r="E26" s="210">
        <v>56</v>
      </c>
    </row>
    <row r="27" spans="1:5" x14ac:dyDescent="0.2">
      <c r="A27">
        <v>26</v>
      </c>
      <c r="B27" t="s">
        <v>3423</v>
      </c>
      <c r="C27" t="s">
        <v>3497</v>
      </c>
      <c r="D27">
        <v>106</v>
      </c>
      <c r="E27" s="210">
        <v>77.7777777777777</v>
      </c>
    </row>
    <row r="28" spans="1:5" x14ac:dyDescent="0.2">
      <c r="A28">
        <v>27</v>
      </c>
      <c r="B28" t="s">
        <v>3421</v>
      </c>
      <c r="C28" t="s">
        <v>3498</v>
      </c>
      <c r="D28">
        <v>322</v>
      </c>
      <c r="E28" s="210">
        <v>93.75</v>
      </c>
    </row>
    <row r="29" spans="1:5" x14ac:dyDescent="0.2">
      <c r="A29">
        <v>28</v>
      </c>
      <c r="B29" t="s">
        <v>3419</v>
      </c>
      <c r="C29" t="s">
        <v>3499</v>
      </c>
      <c r="D29">
        <v>292</v>
      </c>
      <c r="E29" s="210">
        <v>70.588235294117595</v>
      </c>
    </row>
    <row r="30" spans="1:5" x14ac:dyDescent="0.2">
      <c r="A30">
        <v>29</v>
      </c>
      <c r="B30" t="s">
        <v>3417</v>
      </c>
      <c r="C30" t="s">
        <v>3500</v>
      </c>
      <c r="D30">
        <v>81</v>
      </c>
      <c r="E30" s="210">
        <v>75</v>
      </c>
    </row>
    <row r="31" spans="1:5" x14ac:dyDescent="0.2">
      <c r="A31">
        <v>30</v>
      </c>
      <c r="B31" t="s">
        <v>3415</v>
      </c>
      <c r="C31" t="s">
        <v>3500</v>
      </c>
      <c r="D31">
        <v>81</v>
      </c>
      <c r="E31" s="210">
        <v>69.230769230769198</v>
      </c>
    </row>
    <row r="32" spans="1:5" x14ac:dyDescent="0.2">
      <c r="A32">
        <v>31</v>
      </c>
      <c r="B32" t="s">
        <v>3413</v>
      </c>
      <c r="C32" t="s">
        <v>3500</v>
      </c>
      <c r="D32">
        <v>81</v>
      </c>
      <c r="E32" s="210">
        <v>76.923076923076906</v>
      </c>
    </row>
    <row r="33" spans="1:5" x14ac:dyDescent="0.2">
      <c r="A33">
        <v>32</v>
      </c>
      <c r="B33" t="s">
        <v>3411</v>
      </c>
      <c r="C33" t="s">
        <v>3501</v>
      </c>
      <c r="D33">
        <v>274</v>
      </c>
      <c r="E33" s="210">
        <v>81.818181818181799</v>
      </c>
    </row>
    <row r="34" spans="1:5" x14ac:dyDescent="0.2">
      <c r="A34">
        <v>33</v>
      </c>
      <c r="B34" t="s">
        <v>3409</v>
      </c>
      <c r="C34" t="s">
        <v>3409</v>
      </c>
      <c r="D34">
        <v>114</v>
      </c>
      <c r="E34" s="210">
        <v>100</v>
      </c>
    </row>
    <row r="35" spans="1:5" x14ac:dyDescent="0.2">
      <c r="A35">
        <v>34</v>
      </c>
      <c r="B35" t="s">
        <v>3407</v>
      </c>
      <c r="C35" t="s">
        <v>3502</v>
      </c>
      <c r="D35">
        <v>169</v>
      </c>
      <c r="E35" s="210">
        <v>91.6666666666666</v>
      </c>
    </row>
    <row r="36" spans="1:5" x14ac:dyDescent="0.2">
      <c r="A36">
        <v>35</v>
      </c>
      <c r="B36" t="s">
        <v>3405</v>
      </c>
      <c r="C36" t="s">
        <v>3503</v>
      </c>
      <c r="D36">
        <v>390</v>
      </c>
      <c r="E36" s="210">
        <v>77.272727272727195</v>
      </c>
    </row>
    <row r="37" spans="1:5" x14ac:dyDescent="0.2">
      <c r="A37">
        <v>36</v>
      </c>
      <c r="B37" t="s">
        <v>3403</v>
      </c>
      <c r="C37" t="s">
        <v>3403</v>
      </c>
      <c r="D37">
        <v>380</v>
      </c>
      <c r="E37" s="210">
        <v>100</v>
      </c>
    </row>
    <row r="38" spans="1:5" x14ac:dyDescent="0.2">
      <c r="A38">
        <v>37</v>
      </c>
      <c r="B38" t="s">
        <v>305</v>
      </c>
      <c r="C38" t="s">
        <v>305</v>
      </c>
      <c r="D38">
        <v>236</v>
      </c>
      <c r="E38" s="210">
        <v>100</v>
      </c>
    </row>
    <row r="39" spans="1:5" x14ac:dyDescent="0.2">
      <c r="A39">
        <v>38</v>
      </c>
      <c r="B39" t="s">
        <v>3400</v>
      </c>
      <c r="C39" t="s">
        <v>3504</v>
      </c>
      <c r="D39">
        <v>213</v>
      </c>
      <c r="E39" s="210">
        <v>72.727272727272705</v>
      </c>
    </row>
    <row r="40" spans="1:5" x14ac:dyDescent="0.2">
      <c r="A40">
        <v>39</v>
      </c>
      <c r="B40" t="s">
        <v>3398</v>
      </c>
      <c r="C40" t="s">
        <v>3505</v>
      </c>
      <c r="D40">
        <v>327</v>
      </c>
      <c r="E40" s="210">
        <v>64.285714285714207</v>
      </c>
    </row>
    <row r="41" spans="1:5" x14ac:dyDescent="0.2">
      <c r="A41">
        <v>40</v>
      </c>
      <c r="B41" t="s">
        <v>3396</v>
      </c>
      <c r="C41" t="s">
        <v>3396</v>
      </c>
      <c r="D41">
        <v>630</v>
      </c>
      <c r="E41" s="210">
        <v>100</v>
      </c>
    </row>
    <row r="42" spans="1:5" x14ac:dyDescent="0.2">
      <c r="A42">
        <v>41</v>
      </c>
      <c r="B42" t="s">
        <v>3394</v>
      </c>
      <c r="C42" t="s">
        <v>3396</v>
      </c>
      <c r="D42">
        <v>630</v>
      </c>
      <c r="E42" s="210">
        <v>85</v>
      </c>
    </row>
    <row r="43" spans="1:5" x14ac:dyDescent="0.2">
      <c r="A43">
        <v>42</v>
      </c>
      <c r="B43" t="s">
        <v>3392</v>
      </c>
      <c r="C43" t="s">
        <v>3392</v>
      </c>
      <c r="D43">
        <v>647</v>
      </c>
      <c r="E43" s="210">
        <v>100</v>
      </c>
    </row>
    <row r="44" spans="1:5" x14ac:dyDescent="0.2">
      <c r="A44">
        <v>43</v>
      </c>
      <c r="B44" t="s">
        <v>3390</v>
      </c>
      <c r="C44" t="s">
        <v>3392</v>
      </c>
      <c r="D44">
        <v>647</v>
      </c>
      <c r="E44" s="210">
        <v>85</v>
      </c>
    </row>
    <row r="45" spans="1:5" x14ac:dyDescent="0.2">
      <c r="A45">
        <v>44</v>
      </c>
      <c r="B45" t="s">
        <v>3388</v>
      </c>
      <c r="C45" t="s">
        <v>3392</v>
      </c>
      <c r="D45">
        <v>647</v>
      </c>
      <c r="E45" s="210">
        <v>82.926829268292593</v>
      </c>
    </row>
    <row r="46" spans="1:5" x14ac:dyDescent="0.2">
      <c r="A46">
        <v>45</v>
      </c>
      <c r="B46" t="s">
        <v>3386</v>
      </c>
      <c r="C46" t="s">
        <v>3506</v>
      </c>
      <c r="D46">
        <v>617</v>
      </c>
      <c r="E46" s="210">
        <v>81.25</v>
      </c>
    </row>
    <row r="47" spans="1:5" x14ac:dyDescent="0.2">
      <c r="A47">
        <v>46</v>
      </c>
      <c r="B47" t="s">
        <v>3384</v>
      </c>
      <c r="C47" t="s">
        <v>3506</v>
      </c>
      <c r="D47">
        <v>617</v>
      </c>
      <c r="E47" s="210">
        <v>85.714285714285694</v>
      </c>
    </row>
    <row r="48" spans="1:5" x14ac:dyDescent="0.2">
      <c r="A48">
        <v>47</v>
      </c>
      <c r="B48" t="s">
        <v>3382</v>
      </c>
      <c r="C48" t="s">
        <v>3507</v>
      </c>
      <c r="D48">
        <v>49</v>
      </c>
      <c r="E48" s="210">
        <v>84.848484848484802</v>
      </c>
    </row>
    <row r="49" spans="1:5" x14ac:dyDescent="0.2">
      <c r="A49">
        <v>48</v>
      </c>
      <c r="B49" t="s">
        <v>3380</v>
      </c>
      <c r="C49" t="s">
        <v>3508</v>
      </c>
      <c r="D49">
        <v>299</v>
      </c>
      <c r="E49" s="210">
        <v>66.6666666666666</v>
      </c>
    </row>
    <row r="50" spans="1:5" x14ac:dyDescent="0.2">
      <c r="A50">
        <v>49</v>
      </c>
      <c r="B50" t="s">
        <v>3378</v>
      </c>
      <c r="C50" t="s">
        <v>3322</v>
      </c>
      <c r="D50">
        <v>313</v>
      </c>
      <c r="E50" s="210">
        <v>76.470588235294102</v>
      </c>
    </row>
    <row r="51" spans="1:5" x14ac:dyDescent="0.2">
      <c r="A51">
        <v>50</v>
      </c>
      <c r="B51" t="s">
        <v>3376</v>
      </c>
      <c r="C51" t="s">
        <v>3494</v>
      </c>
      <c r="D51">
        <v>157</v>
      </c>
      <c r="E51" s="210">
        <v>100</v>
      </c>
    </row>
    <row r="52" spans="1:5" x14ac:dyDescent="0.2">
      <c r="A52">
        <v>51</v>
      </c>
      <c r="B52" t="s">
        <v>3374</v>
      </c>
      <c r="C52" t="s">
        <v>3494</v>
      </c>
      <c r="D52">
        <v>157</v>
      </c>
      <c r="E52" s="210">
        <v>78.571428571428498</v>
      </c>
    </row>
    <row r="53" spans="1:5" x14ac:dyDescent="0.2">
      <c r="A53">
        <v>52</v>
      </c>
      <c r="B53" t="s">
        <v>3372</v>
      </c>
      <c r="C53" t="s">
        <v>3509</v>
      </c>
      <c r="D53">
        <v>251</v>
      </c>
      <c r="E53" s="210">
        <v>85.714285714285694</v>
      </c>
    </row>
    <row r="54" spans="1:5" x14ac:dyDescent="0.2">
      <c r="A54">
        <v>53</v>
      </c>
      <c r="B54" t="s">
        <v>3370</v>
      </c>
      <c r="C54" t="s">
        <v>3875</v>
      </c>
      <c r="D54">
        <v>278</v>
      </c>
      <c r="E54" s="210">
        <v>41.6666666666666</v>
      </c>
    </row>
    <row r="55" spans="1:5" x14ac:dyDescent="0.2">
      <c r="A55">
        <v>54</v>
      </c>
      <c r="B55" t="s">
        <v>3368</v>
      </c>
      <c r="C55" t="s">
        <v>3510</v>
      </c>
      <c r="D55">
        <v>137</v>
      </c>
      <c r="E55" s="210">
        <v>76.923076923076906</v>
      </c>
    </row>
    <row r="56" spans="1:5" x14ac:dyDescent="0.2">
      <c r="A56">
        <v>55</v>
      </c>
      <c r="B56" t="s">
        <v>3366</v>
      </c>
      <c r="C56" t="s">
        <v>3511</v>
      </c>
      <c r="D56">
        <v>290</v>
      </c>
      <c r="E56" s="210">
        <v>77.419354838709594</v>
      </c>
    </row>
    <row r="57" spans="1:5" x14ac:dyDescent="0.2">
      <c r="A57">
        <v>56</v>
      </c>
      <c r="B57" t="s">
        <v>3364</v>
      </c>
      <c r="C57" t="s">
        <v>3512</v>
      </c>
      <c r="D57">
        <v>129</v>
      </c>
      <c r="E57" s="210">
        <v>88.8888888888888</v>
      </c>
    </row>
    <row r="58" spans="1:5" x14ac:dyDescent="0.2">
      <c r="A58">
        <v>57</v>
      </c>
      <c r="B58" t="s">
        <v>3362</v>
      </c>
      <c r="C58" t="s">
        <v>3513</v>
      </c>
      <c r="D58">
        <v>653</v>
      </c>
      <c r="E58" s="210">
        <v>83.3333333333333</v>
      </c>
    </row>
    <row r="59" spans="1:5" x14ac:dyDescent="0.2">
      <c r="A59">
        <v>58</v>
      </c>
      <c r="B59" t="s">
        <v>3360</v>
      </c>
      <c r="C59" t="s">
        <v>3514</v>
      </c>
      <c r="D59">
        <v>472</v>
      </c>
      <c r="E59" s="210">
        <v>78.571428571428498</v>
      </c>
    </row>
    <row r="60" spans="1:5" x14ac:dyDescent="0.2">
      <c r="A60">
        <v>59</v>
      </c>
      <c r="B60" t="s">
        <v>3358</v>
      </c>
      <c r="C60" t="s">
        <v>1363</v>
      </c>
      <c r="D60">
        <v>379</v>
      </c>
      <c r="E60" s="210">
        <v>76.923076923076906</v>
      </c>
    </row>
    <row r="61" spans="1:5" x14ac:dyDescent="0.2">
      <c r="A61">
        <v>60</v>
      </c>
      <c r="B61" t="s">
        <v>3356</v>
      </c>
      <c r="C61" t="s">
        <v>3515</v>
      </c>
      <c r="D61">
        <v>577</v>
      </c>
      <c r="E61" s="210">
        <v>61.538461538461497</v>
      </c>
    </row>
    <row r="62" spans="1:5" x14ac:dyDescent="0.2">
      <c r="A62">
        <v>61</v>
      </c>
      <c r="B62" t="s">
        <v>3354</v>
      </c>
      <c r="C62" t="s">
        <v>3515</v>
      </c>
      <c r="D62">
        <v>577</v>
      </c>
      <c r="E62" s="210">
        <v>63.157894736842103</v>
      </c>
    </row>
    <row r="63" spans="1:5" x14ac:dyDescent="0.2">
      <c r="A63">
        <v>62</v>
      </c>
      <c r="B63" t="s">
        <v>3352</v>
      </c>
      <c r="C63" t="s">
        <v>3807</v>
      </c>
      <c r="D63">
        <v>205</v>
      </c>
      <c r="E63" s="210">
        <v>40</v>
      </c>
    </row>
    <row r="64" spans="1:5" x14ac:dyDescent="0.2">
      <c r="A64">
        <v>63</v>
      </c>
      <c r="B64" t="s">
        <v>3350</v>
      </c>
      <c r="C64" t="s">
        <v>933</v>
      </c>
      <c r="D64">
        <v>323</v>
      </c>
      <c r="E64" s="210">
        <v>58.823529411764703</v>
      </c>
    </row>
    <row r="65" spans="1:5" x14ac:dyDescent="0.2">
      <c r="A65">
        <v>64</v>
      </c>
      <c r="B65" t="s">
        <v>3348</v>
      </c>
      <c r="C65" t="s">
        <v>3516</v>
      </c>
      <c r="D65">
        <v>599</v>
      </c>
      <c r="E65" s="210">
        <v>84.615384615384599</v>
      </c>
    </row>
    <row r="66" spans="1:5" x14ac:dyDescent="0.2">
      <c r="A66">
        <v>65</v>
      </c>
      <c r="B66" t="s">
        <v>3346</v>
      </c>
      <c r="C66" t="s">
        <v>3516</v>
      </c>
      <c r="D66">
        <v>599</v>
      </c>
      <c r="E66" s="210">
        <v>66.6666666666666</v>
      </c>
    </row>
    <row r="67" spans="1:5" x14ac:dyDescent="0.2">
      <c r="A67">
        <v>66</v>
      </c>
      <c r="B67" t="s">
        <v>3344</v>
      </c>
      <c r="C67" t="s">
        <v>3517</v>
      </c>
      <c r="D67">
        <v>314</v>
      </c>
      <c r="E67" s="210">
        <v>64.285714285714207</v>
      </c>
    </row>
    <row r="68" spans="1:5" x14ac:dyDescent="0.2">
      <c r="A68">
        <v>67</v>
      </c>
      <c r="B68" t="s">
        <v>3342</v>
      </c>
      <c r="C68" t="s">
        <v>3330</v>
      </c>
      <c r="D68">
        <v>492</v>
      </c>
      <c r="E68" s="210">
        <v>82.051282051282001</v>
      </c>
    </row>
    <row r="69" spans="1:5" x14ac:dyDescent="0.2">
      <c r="A69">
        <v>68</v>
      </c>
      <c r="B69" t="s">
        <v>3340</v>
      </c>
      <c r="C69" t="s">
        <v>3330</v>
      </c>
      <c r="D69">
        <v>492</v>
      </c>
      <c r="E69" s="210">
        <v>80</v>
      </c>
    </row>
    <row r="70" spans="1:5" x14ac:dyDescent="0.2">
      <c r="A70">
        <v>69</v>
      </c>
      <c r="B70" t="s">
        <v>3338</v>
      </c>
      <c r="C70" t="s">
        <v>3326</v>
      </c>
      <c r="D70">
        <v>504</v>
      </c>
      <c r="E70" s="210">
        <v>80</v>
      </c>
    </row>
    <row r="71" spans="1:5" x14ac:dyDescent="0.2">
      <c r="A71">
        <v>70</v>
      </c>
      <c r="B71" t="s">
        <v>3336</v>
      </c>
      <c r="C71" t="s">
        <v>3326</v>
      </c>
      <c r="D71">
        <v>504</v>
      </c>
      <c r="E71" s="210">
        <v>82.051282051282001</v>
      </c>
    </row>
    <row r="72" spans="1:5" x14ac:dyDescent="0.2">
      <c r="A72">
        <v>71</v>
      </c>
      <c r="B72" t="s">
        <v>3334</v>
      </c>
      <c r="C72" t="s">
        <v>3324</v>
      </c>
      <c r="D72">
        <v>125</v>
      </c>
      <c r="E72" s="210">
        <v>78.787878787878697</v>
      </c>
    </row>
    <row r="73" spans="1:5" x14ac:dyDescent="0.2">
      <c r="A73">
        <v>72</v>
      </c>
      <c r="B73" t="s">
        <v>3332</v>
      </c>
      <c r="C73" t="s">
        <v>3328</v>
      </c>
      <c r="D73">
        <v>612</v>
      </c>
      <c r="E73" s="210">
        <v>82.926829268292593</v>
      </c>
    </row>
    <row r="74" spans="1:5" x14ac:dyDescent="0.2">
      <c r="A74">
        <v>73</v>
      </c>
      <c r="B74" t="s">
        <v>3330</v>
      </c>
      <c r="C74" t="s">
        <v>3330</v>
      </c>
      <c r="D74">
        <v>492</v>
      </c>
      <c r="E74" s="210">
        <v>100</v>
      </c>
    </row>
    <row r="75" spans="1:5" x14ac:dyDescent="0.2">
      <c r="A75">
        <v>74</v>
      </c>
      <c r="B75" t="s">
        <v>3328</v>
      </c>
      <c r="C75" t="s">
        <v>3328</v>
      </c>
      <c r="D75">
        <v>612</v>
      </c>
      <c r="E75" s="210">
        <v>100</v>
      </c>
    </row>
    <row r="76" spans="1:5" x14ac:dyDescent="0.2">
      <c r="A76">
        <v>75</v>
      </c>
      <c r="B76" t="s">
        <v>3326</v>
      </c>
      <c r="C76" t="s">
        <v>3326</v>
      </c>
      <c r="D76">
        <v>504</v>
      </c>
      <c r="E76" s="210">
        <v>100</v>
      </c>
    </row>
    <row r="77" spans="1:5" x14ac:dyDescent="0.2">
      <c r="A77">
        <v>76</v>
      </c>
      <c r="B77" t="s">
        <v>3324</v>
      </c>
      <c r="C77" t="s">
        <v>3324</v>
      </c>
      <c r="D77">
        <v>125</v>
      </c>
      <c r="E77" s="210">
        <v>100</v>
      </c>
    </row>
    <row r="78" spans="1:5" x14ac:dyDescent="0.2">
      <c r="A78">
        <v>77</v>
      </c>
      <c r="B78" t="s">
        <v>3322</v>
      </c>
      <c r="C78" t="s">
        <v>3322</v>
      </c>
      <c r="D78">
        <v>313</v>
      </c>
      <c r="E78" s="210">
        <v>100</v>
      </c>
    </row>
    <row r="79" spans="1:5" x14ac:dyDescent="0.2">
      <c r="A79">
        <v>78</v>
      </c>
      <c r="B79" t="s">
        <v>3320</v>
      </c>
      <c r="C79" t="s">
        <v>3492</v>
      </c>
      <c r="D79">
        <v>601</v>
      </c>
      <c r="E79" s="210">
        <v>50</v>
      </c>
    </row>
    <row r="80" spans="1:5" x14ac:dyDescent="0.2">
      <c r="A80">
        <v>79</v>
      </c>
      <c r="B80" t="s">
        <v>3318</v>
      </c>
      <c r="C80" t="s">
        <v>3318</v>
      </c>
      <c r="D80">
        <v>240</v>
      </c>
      <c r="E80" s="210">
        <v>100</v>
      </c>
    </row>
    <row r="81" spans="1:5" x14ac:dyDescent="0.2">
      <c r="A81">
        <v>80</v>
      </c>
      <c r="B81" t="s">
        <v>3316</v>
      </c>
      <c r="C81" t="s">
        <v>3518</v>
      </c>
      <c r="D81">
        <v>470</v>
      </c>
      <c r="E81" s="210">
        <v>71.428571428571402</v>
      </c>
    </row>
    <row r="82" spans="1:5" x14ac:dyDescent="0.2">
      <c r="A82">
        <v>81</v>
      </c>
      <c r="B82" t="s">
        <v>3314</v>
      </c>
      <c r="C82" t="s">
        <v>3519</v>
      </c>
      <c r="D82">
        <v>270</v>
      </c>
      <c r="E82" s="210">
        <v>83.720930232558104</v>
      </c>
    </row>
    <row r="83" spans="1:5" x14ac:dyDescent="0.2">
      <c r="A83">
        <v>82</v>
      </c>
      <c r="B83" t="s">
        <v>3312</v>
      </c>
      <c r="C83" t="s">
        <v>3518</v>
      </c>
      <c r="D83">
        <v>470</v>
      </c>
      <c r="E83" s="210">
        <v>85.714285714285694</v>
      </c>
    </row>
    <row r="84" spans="1:5" x14ac:dyDescent="0.2">
      <c r="A84">
        <v>83</v>
      </c>
      <c r="B84" t="s">
        <v>1309</v>
      </c>
      <c r="C84" t="s">
        <v>3813</v>
      </c>
      <c r="D84">
        <v>265</v>
      </c>
      <c r="E84" s="210">
        <v>54.545454545454497</v>
      </c>
    </row>
    <row r="85" spans="1:5" x14ac:dyDescent="0.2">
      <c r="A85">
        <v>84</v>
      </c>
      <c r="B85" t="s">
        <v>3309</v>
      </c>
      <c r="C85" t="s">
        <v>3520</v>
      </c>
      <c r="D85">
        <v>468</v>
      </c>
      <c r="E85" s="210">
        <v>81.25</v>
      </c>
    </row>
    <row r="86" spans="1:5" x14ac:dyDescent="0.2">
      <c r="A86">
        <v>85</v>
      </c>
      <c r="B86" t="s">
        <v>939</v>
      </c>
      <c r="C86" t="s">
        <v>3521</v>
      </c>
      <c r="D86">
        <v>256</v>
      </c>
      <c r="E86" s="210">
        <v>100</v>
      </c>
    </row>
    <row r="87" spans="1:5" x14ac:dyDescent="0.2">
      <c r="A87">
        <v>86</v>
      </c>
      <c r="B87" t="s">
        <v>3306</v>
      </c>
      <c r="C87" t="s">
        <v>3521</v>
      </c>
      <c r="D87">
        <v>256</v>
      </c>
      <c r="E87" s="210">
        <v>63.157894736842103</v>
      </c>
    </row>
    <row r="88" spans="1:5" x14ac:dyDescent="0.2">
      <c r="A88">
        <v>87</v>
      </c>
      <c r="B88" t="s">
        <v>3304</v>
      </c>
      <c r="C88" t="s">
        <v>3872</v>
      </c>
      <c r="D88">
        <v>481</v>
      </c>
      <c r="E88" s="210">
        <v>52.631578947368403</v>
      </c>
    </row>
    <row r="89" spans="1:5" x14ac:dyDescent="0.2">
      <c r="A89">
        <v>88</v>
      </c>
      <c r="B89" t="s">
        <v>3302</v>
      </c>
      <c r="C89" t="s">
        <v>3522</v>
      </c>
      <c r="D89">
        <v>520</v>
      </c>
      <c r="E89" s="210">
        <v>83.870967741935402</v>
      </c>
    </row>
    <row r="90" spans="1:5" x14ac:dyDescent="0.2">
      <c r="A90">
        <v>89</v>
      </c>
      <c r="B90" t="s">
        <v>3300</v>
      </c>
      <c r="C90" t="s">
        <v>3687</v>
      </c>
      <c r="D90">
        <v>168</v>
      </c>
      <c r="E90" s="210">
        <v>58.064516129032199</v>
      </c>
    </row>
    <row r="91" spans="1:5" x14ac:dyDescent="0.2">
      <c r="A91">
        <v>90</v>
      </c>
      <c r="B91" t="s">
        <v>3298</v>
      </c>
      <c r="C91" t="s">
        <v>3571</v>
      </c>
      <c r="D91">
        <v>596</v>
      </c>
      <c r="E91" s="210">
        <v>53.846153846153797</v>
      </c>
    </row>
    <row r="92" spans="1:5" x14ac:dyDescent="0.2">
      <c r="A92">
        <v>91</v>
      </c>
      <c r="B92" t="s">
        <v>3296</v>
      </c>
      <c r="C92" t="s">
        <v>3249</v>
      </c>
      <c r="D92">
        <v>370</v>
      </c>
      <c r="E92" s="210">
        <v>66.6666666666666</v>
      </c>
    </row>
    <row r="93" spans="1:5" x14ac:dyDescent="0.2">
      <c r="A93">
        <v>92</v>
      </c>
      <c r="B93" t="s">
        <v>3294</v>
      </c>
      <c r="C93" t="s">
        <v>1632</v>
      </c>
      <c r="D93">
        <v>662</v>
      </c>
      <c r="E93" s="210">
        <v>64</v>
      </c>
    </row>
    <row r="94" spans="1:5" x14ac:dyDescent="0.2">
      <c r="A94">
        <v>93</v>
      </c>
      <c r="B94" t="s">
        <v>3292</v>
      </c>
      <c r="C94" t="s">
        <v>3491</v>
      </c>
      <c r="D94">
        <v>85</v>
      </c>
      <c r="E94" s="210">
        <v>63.636363636363598</v>
      </c>
    </row>
    <row r="95" spans="1:5" x14ac:dyDescent="0.2">
      <c r="A95">
        <v>94</v>
      </c>
      <c r="B95" t="s">
        <v>3290</v>
      </c>
      <c r="C95" t="s">
        <v>1606</v>
      </c>
      <c r="D95">
        <v>194</v>
      </c>
      <c r="E95" s="210">
        <v>61.1111111111111</v>
      </c>
    </row>
    <row r="96" spans="1:5" x14ac:dyDescent="0.2">
      <c r="A96">
        <v>95</v>
      </c>
      <c r="B96" t="s">
        <v>3288</v>
      </c>
      <c r="C96" t="s">
        <v>1989</v>
      </c>
      <c r="D96">
        <v>664</v>
      </c>
      <c r="E96" s="210">
        <v>62.068965517241303</v>
      </c>
    </row>
    <row r="97" spans="1:5" x14ac:dyDescent="0.2">
      <c r="A97">
        <v>96</v>
      </c>
      <c r="B97" t="s">
        <v>3286</v>
      </c>
      <c r="C97" t="s">
        <v>3523</v>
      </c>
      <c r="D97">
        <v>326</v>
      </c>
      <c r="E97" s="210">
        <v>80.952380952380906</v>
      </c>
    </row>
    <row r="98" spans="1:5" x14ac:dyDescent="0.2">
      <c r="A98">
        <v>97</v>
      </c>
      <c r="B98" t="s">
        <v>3284</v>
      </c>
      <c r="C98" t="s">
        <v>1810</v>
      </c>
      <c r="D98">
        <v>440</v>
      </c>
      <c r="E98" s="210">
        <v>19.999999999999901</v>
      </c>
    </row>
    <row r="99" spans="1:5" x14ac:dyDescent="0.2">
      <c r="A99">
        <v>98</v>
      </c>
      <c r="B99" t="s">
        <v>3282</v>
      </c>
      <c r="C99" t="s">
        <v>3524</v>
      </c>
      <c r="D99">
        <v>395</v>
      </c>
      <c r="E99" s="210">
        <v>70</v>
      </c>
    </row>
    <row r="100" spans="1:5" x14ac:dyDescent="0.2">
      <c r="A100">
        <v>99</v>
      </c>
      <c r="B100" t="s">
        <v>3280</v>
      </c>
      <c r="C100" t="s">
        <v>3525</v>
      </c>
      <c r="D100">
        <v>364</v>
      </c>
      <c r="E100" s="210">
        <v>60.869565217391298</v>
      </c>
    </row>
    <row r="101" spans="1:5" x14ac:dyDescent="0.2">
      <c r="A101">
        <v>100</v>
      </c>
      <c r="B101" t="s">
        <v>3278</v>
      </c>
      <c r="C101" t="s">
        <v>1783</v>
      </c>
      <c r="D101">
        <v>185</v>
      </c>
      <c r="E101" s="210">
        <v>60</v>
      </c>
    </row>
    <row r="102" spans="1:5" x14ac:dyDescent="0.2">
      <c r="A102">
        <v>101</v>
      </c>
      <c r="B102" t="s">
        <v>3276</v>
      </c>
      <c r="C102" t="s">
        <v>1783</v>
      </c>
      <c r="D102">
        <v>185</v>
      </c>
      <c r="E102" s="210">
        <v>48</v>
      </c>
    </row>
    <row r="103" spans="1:5" x14ac:dyDescent="0.2">
      <c r="A103">
        <v>102</v>
      </c>
      <c r="B103" t="s">
        <v>3274</v>
      </c>
      <c r="C103" t="s">
        <v>3526</v>
      </c>
      <c r="D103">
        <v>4</v>
      </c>
      <c r="E103" s="210">
        <v>70.588235294117595</v>
      </c>
    </row>
    <row r="104" spans="1:5" x14ac:dyDescent="0.2">
      <c r="A104">
        <v>103</v>
      </c>
      <c r="B104" t="s">
        <v>3272</v>
      </c>
      <c r="C104" t="s">
        <v>3527</v>
      </c>
      <c r="D104">
        <v>39</v>
      </c>
      <c r="E104" s="210">
        <v>75</v>
      </c>
    </row>
    <row r="105" spans="1:5" x14ac:dyDescent="0.2">
      <c r="A105">
        <v>104</v>
      </c>
      <c r="B105" t="s">
        <v>3270</v>
      </c>
      <c r="C105" t="s">
        <v>3270</v>
      </c>
      <c r="D105">
        <v>637</v>
      </c>
      <c r="E105" s="210">
        <v>100</v>
      </c>
    </row>
    <row r="106" spans="1:5" x14ac:dyDescent="0.2">
      <c r="A106">
        <v>105</v>
      </c>
      <c r="B106" t="s">
        <v>3268</v>
      </c>
      <c r="C106" t="s">
        <v>3268</v>
      </c>
      <c r="D106">
        <v>661</v>
      </c>
      <c r="E106" s="210">
        <v>100</v>
      </c>
    </row>
    <row r="107" spans="1:5" x14ac:dyDescent="0.2">
      <c r="A107">
        <v>106</v>
      </c>
      <c r="B107" t="s">
        <v>3266</v>
      </c>
      <c r="C107" t="s">
        <v>3266</v>
      </c>
      <c r="D107">
        <v>5</v>
      </c>
      <c r="E107" s="210">
        <v>100</v>
      </c>
    </row>
    <row r="108" spans="1:5" x14ac:dyDescent="0.2">
      <c r="A108">
        <v>107</v>
      </c>
      <c r="B108" t="s">
        <v>1267</v>
      </c>
      <c r="C108" t="s">
        <v>3528</v>
      </c>
      <c r="D108">
        <v>419</v>
      </c>
      <c r="E108" s="210">
        <v>70.588235294117595</v>
      </c>
    </row>
    <row r="109" spans="1:5" x14ac:dyDescent="0.2">
      <c r="A109">
        <v>108</v>
      </c>
      <c r="B109" t="s">
        <v>3263</v>
      </c>
      <c r="C109" t="s">
        <v>3261</v>
      </c>
      <c r="D109">
        <v>654</v>
      </c>
      <c r="E109" s="210">
        <v>82.352941176470495</v>
      </c>
    </row>
    <row r="110" spans="1:5" x14ac:dyDescent="0.2">
      <c r="A110">
        <v>109</v>
      </c>
      <c r="B110" t="s">
        <v>3261</v>
      </c>
      <c r="C110" t="s">
        <v>3261</v>
      </c>
      <c r="D110">
        <v>654</v>
      </c>
      <c r="E110" s="210">
        <v>100</v>
      </c>
    </row>
    <row r="111" spans="1:5" x14ac:dyDescent="0.2">
      <c r="A111">
        <v>110</v>
      </c>
      <c r="B111" t="s">
        <v>79</v>
      </c>
      <c r="C111" t="s">
        <v>79</v>
      </c>
      <c r="D111">
        <v>646</v>
      </c>
      <c r="E111" s="210">
        <v>100</v>
      </c>
    </row>
    <row r="112" spans="1:5" x14ac:dyDescent="0.2">
      <c r="A112">
        <v>111</v>
      </c>
      <c r="B112" t="s">
        <v>80</v>
      </c>
      <c r="C112" t="s">
        <v>80</v>
      </c>
      <c r="D112">
        <v>665</v>
      </c>
      <c r="E112" s="210">
        <v>100</v>
      </c>
    </row>
    <row r="113" spans="1:5" x14ac:dyDescent="0.2">
      <c r="A113">
        <v>112</v>
      </c>
      <c r="B113" t="s">
        <v>3257</v>
      </c>
      <c r="C113" t="s">
        <v>3529</v>
      </c>
      <c r="D113">
        <v>229</v>
      </c>
      <c r="E113" s="210">
        <v>63.157894736842103</v>
      </c>
    </row>
    <row r="114" spans="1:5" x14ac:dyDescent="0.2">
      <c r="A114">
        <v>113</v>
      </c>
      <c r="B114" t="s">
        <v>3255</v>
      </c>
      <c r="C114" t="s">
        <v>79</v>
      </c>
      <c r="D114">
        <v>646</v>
      </c>
      <c r="E114" s="210">
        <v>63.157894736842103</v>
      </c>
    </row>
    <row r="115" spans="1:5" x14ac:dyDescent="0.2">
      <c r="A115">
        <v>114</v>
      </c>
      <c r="B115" t="s">
        <v>3253</v>
      </c>
      <c r="C115" t="s">
        <v>3530</v>
      </c>
      <c r="D115">
        <v>82</v>
      </c>
      <c r="E115" s="210">
        <v>75</v>
      </c>
    </row>
    <row r="116" spans="1:5" x14ac:dyDescent="0.2">
      <c r="A116">
        <v>115</v>
      </c>
      <c r="B116" t="s">
        <v>3251</v>
      </c>
      <c r="C116" t="s">
        <v>3531</v>
      </c>
      <c r="D116">
        <v>334</v>
      </c>
      <c r="E116" s="210">
        <v>76.923076923076906</v>
      </c>
    </row>
    <row r="117" spans="1:5" x14ac:dyDescent="0.2">
      <c r="A117">
        <v>116</v>
      </c>
      <c r="B117" t="s">
        <v>3249</v>
      </c>
      <c r="C117" t="s">
        <v>3249</v>
      </c>
      <c r="D117">
        <v>370</v>
      </c>
      <c r="E117" s="210">
        <v>100</v>
      </c>
    </row>
    <row r="118" spans="1:5" x14ac:dyDescent="0.2">
      <c r="A118">
        <v>117</v>
      </c>
      <c r="B118" t="s">
        <v>3247</v>
      </c>
      <c r="C118" t="s">
        <v>3530</v>
      </c>
      <c r="D118">
        <v>82</v>
      </c>
      <c r="E118" s="210">
        <v>53.846153846153797</v>
      </c>
    </row>
    <row r="119" spans="1:5" x14ac:dyDescent="0.2">
      <c r="A119">
        <v>118</v>
      </c>
      <c r="B119" t="s">
        <v>3245</v>
      </c>
      <c r="C119" t="s">
        <v>3532</v>
      </c>
      <c r="D119">
        <v>6</v>
      </c>
      <c r="E119" s="210">
        <v>82.758620689655103</v>
      </c>
    </row>
    <row r="120" spans="1:5" x14ac:dyDescent="0.2">
      <c r="A120">
        <v>119</v>
      </c>
      <c r="B120" t="s">
        <v>3243</v>
      </c>
      <c r="C120" t="s">
        <v>3533</v>
      </c>
      <c r="D120">
        <v>27</v>
      </c>
      <c r="E120" s="210">
        <v>100</v>
      </c>
    </row>
    <row r="121" spans="1:5" x14ac:dyDescent="0.2">
      <c r="A121">
        <v>120</v>
      </c>
      <c r="B121" t="s">
        <v>3241</v>
      </c>
      <c r="C121" t="s">
        <v>3534</v>
      </c>
      <c r="D121">
        <v>284</v>
      </c>
      <c r="E121" s="210">
        <v>87.179487179487097</v>
      </c>
    </row>
    <row r="122" spans="1:5" x14ac:dyDescent="0.2">
      <c r="A122">
        <v>121</v>
      </c>
      <c r="B122" t="s">
        <v>3239</v>
      </c>
      <c r="C122" t="s">
        <v>3239</v>
      </c>
      <c r="D122">
        <v>36</v>
      </c>
      <c r="E122" s="210">
        <v>100</v>
      </c>
    </row>
    <row r="123" spans="1:5" x14ac:dyDescent="0.2">
      <c r="A123">
        <v>122</v>
      </c>
      <c r="B123" t="s">
        <v>3237</v>
      </c>
      <c r="C123" t="s">
        <v>3535</v>
      </c>
      <c r="D123">
        <v>450</v>
      </c>
      <c r="E123" s="210">
        <v>78.787878787878697</v>
      </c>
    </row>
    <row r="124" spans="1:5" x14ac:dyDescent="0.2">
      <c r="A124">
        <v>123</v>
      </c>
      <c r="B124" t="s">
        <v>3235</v>
      </c>
      <c r="C124" t="s">
        <v>3491</v>
      </c>
      <c r="D124">
        <v>85</v>
      </c>
      <c r="E124" s="210">
        <v>66.6666666666666</v>
      </c>
    </row>
    <row r="125" spans="1:5" x14ac:dyDescent="0.2">
      <c r="A125">
        <v>124</v>
      </c>
      <c r="B125" t="s">
        <v>3233</v>
      </c>
      <c r="C125" t="s">
        <v>3536</v>
      </c>
      <c r="D125">
        <v>649</v>
      </c>
      <c r="E125" s="210">
        <v>88.8888888888888</v>
      </c>
    </row>
    <row r="126" spans="1:5" x14ac:dyDescent="0.2">
      <c r="A126">
        <v>125</v>
      </c>
      <c r="B126" t="s">
        <v>3231</v>
      </c>
      <c r="C126" t="s">
        <v>3231</v>
      </c>
      <c r="D126">
        <v>366</v>
      </c>
      <c r="E126" s="210">
        <v>100</v>
      </c>
    </row>
    <row r="127" spans="1:5" x14ac:dyDescent="0.2">
      <c r="A127">
        <v>126</v>
      </c>
      <c r="B127" t="s">
        <v>3229</v>
      </c>
      <c r="C127" t="s">
        <v>3787</v>
      </c>
      <c r="D127">
        <v>553</v>
      </c>
      <c r="E127" s="210">
        <v>55.172413793103402</v>
      </c>
    </row>
    <row r="128" spans="1:5" x14ac:dyDescent="0.2">
      <c r="A128">
        <v>127</v>
      </c>
      <c r="B128" t="s">
        <v>3226</v>
      </c>
      <c r="C128" t="s">
        <v>3537</v>
      </c>
      <c r="D128">
        <v>140</v>
      </c>
      <c r="E128" s="210">
        <v>96.969696969696898</v>
      </c>
    </row>
    <row r="129" spans="1:5" x14ac:dyDescent="0.2">
      <c r="A129">
        <v>128</v>
      </c>
      <c r="B129" t="s">
        <v>3224</v>
      </c>
      <c r="C129" t="s">
        <v>3538</v>
      </c>
      <c r="D129">
        <v>641</v>
      </c>
      <c r="E129" s="210">
        <v>75.675675675675606</v>
      </c>
    </row>
    <row r="130" spans="1:5" x14ac:dyDescent="0.2">
      <c r="A130">
        <v>129</v>
      </c>
      <c r="B130" t="s">
        <v>3222</v>
      </c>
      <c r="C130" t="s">
        <v>3222</v>
      </c>
      <c r="D130">
        <v>497</v>
      </c>
      <c r="E130" s="210">
        <v>100</v>
      </c>
    </row>
    <row r="131" spans="1:5" x14ac:dyDescent="0.2">
      <c r="A131">
        <v>130</v>
      </c>
      <c r="B131" t="s">
        <v>3220</v>
      </c>
      <c r="C131" t="s">
        <v>3220</v>
      </c>
      <c r="D131">
        <v>570</v>
      </c>
      <c r="E131" s="210">
        <v>100</v>
      </c>
    </row>
    <row r="132" spans="1:5" x14ac:dyDescent="0.2">
      <c r="A132">
        <v>131</v>
      </c>
      <c r="B132" t="s">
        <v>3218</v>
      </c>
      <c r="C132" t="s">
        <v>3220</v>
      </c>
      <c r="D132">
        <v>570</v>
      </c>
      <c r="E132" s="210">
        <v>59.259259259259203</v>
      </c>
    </row>
    <row r="133" spans="1:5" x14ac:dyDescent="0.2">
      <c r="A133">
        <v>132</v>
      </c>
      <c r="B133" t="s">
        <v>3216</v>
      </c>
      <c r="C133" t="s">
        <v>3624</v>
      </c>
      <c r="D133">
        <v>324</v>
      </c>
      <c r="E133" s="210">
        <v>54.545454545454497</v>
      </c>
    </row>
    <row r="134" spans="1:5" x14ac:dyDescent="0.2">
      <c r="A134">
        <v>133</v>
      </c>
      <c r="B134" t="s">
        <v>1187</v>
      </c>
      <c r="C134" t="s">
        <v>3539</v>
      </c>
      <c r="D134">
        <v>455</v>
      </c>
      <c r="E134" s="210">
        <v>80</v>
      </c>
    </row>
    <row r="135" spans="1:5" x14ac:dyDescent="0.2">
      <c r="A135">
        <v>134</v>
      </c>
      <c r="B135" t="s">
        <v>3213</v>
      </c>
      <c r="C135" t="s">
        <v>3539</v>
      </c>
      <c r="D135">
        <v>455</v>
      </c>
      <c r="E135" s="210">
        <v>77.7777777777777</v>
      </c>
    </row>
    <row r="136" spans="1:5" x14ac:dyDescent="0.2">
      <c r="A136">
        <v>135</v>
      </c>
      <c r="B136" t="s">
        <v>3211</v>
      </c>
      <c r="C136" t="s">
        <v>3540</v>
      </c>
      <c r="D136">
        <v>517</v>
      </c>
      <c r="E136" s="210">
        <v>62.5</v>
      </c>
    </row>
    <row r="137" spans="1:5" x14ac:dyDescent="0.2">
      <c r="A137">
        <v>136</v>
      </c>
      <c r="B137" t="s">
        <v>1444</v>
      </c>
      <c r="C137" t="s">
        <v>3541</v>
      </c>
      <c r="D137">
        <v>232</v>
      </c>
      <c r="E137" s="210">
        <v>70</v>
      </c>
    </row>
    <row r="138" spans="1:5" x14ac:dyDescent="0.2">
      <c r="A138">
        <v>137</v>
      </c>
      <c r="B138" t="s">
        <v>3208</v>
      </c>
      <c r="C138" t="s">
        <v>3541</v>
      </c>
      <c r="D138">
        <v>232</v>
      </c>
      <c r="E138" s="210">
        <v>84.615384615384599</v>
      </c>
    </row>
    <row r="139" spans="1:5" x14ac:dyDescent="0.2">
      <c r="A139">
        <v>138</v>
      </c>
      <c r="B139" t="s">
        <v>3206</v>
      </c>
      <c r="C139" t="s">
        <v>3541</v>
      </c>
      <c r="D139">
        <v>232</v>
      </c>
      <c r="E139" s="210">
        <v>81.481481481481495</v>
      </c>
    </row>
    <row r="140" spans="1:5" x14ac:dyDescent="0.2">
      <c r="A140">
        <v>139</v>
      </c>
      <c r="B140" t="s">
        <v>3204</v>
      </c>
      <c r="C140" t="s">
        <v>3204</v>
      </c>
      <c r="D140">
        <v>319</v>
      </c>
      <c r="E140" s="210">
        <v>100</v>
      </c>
    </row>
    <row r="141" spans="1:5" x14ac:dyDescent="0.2">
      <c r="A141">
        <v>140</v>
      </c>
      <c r="B141" t="s">
        <v>3202</v>
      </c>
      <c r="C141" t="s">
        <v>3542</v>
      </c>
      <c r="D141">
        <v>443</v>
      </c>
      <c r="E141" s="210">
        <v>76.470588235294102</v>
      </c>
    </row>
    <row r="142" spans="1:5" x14ac:dyDescent="0.2">
      <c r="A142">
        <v>141</v>
      </c>
      <c r="B142" t="s">
        <v>3200</v>
      </c>
      <c r="C142" t="s">
        <v>3542</v>
      </c>
      <c r="D142">
        <v>443</v>
      </c>
      <c r="E142" s="210">
        <v>91.428571428571402</v>
      </c>
    </row>
    <row r="143" spans="1:5" x14ac:dyDescent="0.2">
      <c r="A143">
        <v>142</v>
      </c>
      <c r="B143" t="s">
        <v>3198</v>
      </c>
      <c r="C143" t="s">
        <v>2747</v>
      </c>
      <c r="D143">
        <v>30</v>
      </c>
      <c r="E143" s="210">
        <v>45.454545454545404</v>
      </c>
    </row>
    <row r="144" spans="1:5" x14ac:dyDescent="0.2">
      <c r="A144">
        <v>143</v>
      </c>
      <c r="B144" t="s">
        <v>3196</v>
      </c>
      <c r="C144" t="s">
        <v>3543</v>
      </c>
      <c r="D144">
        <v>344</v>
      </c>
      <c r="E144" s="210">
        <v>66.6666666666666</v>
      </c>
    </row>
    <row r="145" spans="1:5" x14ac:dyDescent="0.2">
      <c r="A145">
        <v>144</v>
      </c>
      <c r="B145" t="s">
        <v>3194</v>
      </c>
      <c r="C145" t="s">
        <v>3543</v>
      </c>
      <c r="D145">
        <v>344</v>
      </c>
      <c r="E145" s="210">
        <v>75</v>
      </c>
    </row>
    <row r="146" spans="1:5" x14ac:dyDescent="0.2">
      <c r="A146">
        <v>145</v>
      </c>
      <c r="B146" t="s">
        <v>3192</v>
      </c>
      <c r="C146" t="s">
        <v>3544</v>
      </c>
      <c r="D146">
        <v>466</v>
      </c>
      <c r="E146" s="210">
        <v>75</v>
      </c>
    </row>
    <row r="147" spans="1:5" x14ac:dyDescent="0.2">
      <c r="A147">
        <v>146</v>
      </c>
      <c r="B147" t="s">
        <v>3190</v>
      </c>
      <c r="C147" t="s">
        <v>3559</v>
      </c>
      <c r="D147">
        <v>336</v>
      </c>
      <c r="E147" s="210">
        <v>52.631578947368403</v>
      </c>
    </row>
    <row r="148" spans="1:5" x14ac:dyDescent="0.2">
      <c r="A148">
        <v>147</v>
      </c>
      <c r="B148" t="s">
        <v>3188</v>
      </c>
      <c r="C148" t="s">
        <v>3543</v>
      </c>
      <c r="D148">
        <v>344</v>
      </c>
      <c r="E148" s="210">
        <v>64</v>
      </c>
    </row>
    <row r="149" spans="1:5" x14ac:dyDescent="0.2">
      <c r="A149">
        <v>148</v>
      </c>
      <c r="B149" t="s">
        <v>3186</v>
      </c>
      <c r="C149" t="s">
        <v>3545</v>
      </c>
      <c r="D149">
        <v>587</v>
      </c>
      <c r="E149" s="210">
        <v>75.675675675675606</v>
      </c>
    </row>
    <row r="150" spans="1:5" x14ac:dyDescent="0.2">
      <c r="A150">
        <v>149</v>
      </c>
      <c r="B150" t="s">
        <v>3184</v>
      </c>
      <c r="C150" t="s">
        <v>3546</v>
      </c>
      <c r="D150">
        <v>648</v>
      </c>
      <c r="E150" s="210">
        <v>70</v>
      </c>
    </row>
    <row r="151" spans="1:5" x14ac:dyDescent="0.2">
      <c r="A151">
        <v>150</v>
      </c>
      <c r="B151" t="s">
        <v>3182</v>
      </c>
      <c r="C151" t="s">
        <v>3543</v>
      </c>
      <c r="D151">
        <v>344</v>
      </c>
      <c r="E151" s="210">
        <v>58.064516129032199</v>
      </c>
    </row>
    <row r="152" spans="1:5" x14ac:dyDescent="0.2">
      <c r="A152">
        <v>151</v>
      </c>
      <c r="B152" t="s">
        <v>3180</v>
      </c>
      <c r="C152" t="s">
        <v>3543</v>
      </c>
      <c r="D152">
        <v>344</v>
      </c>
      <c r="E152" s="210">
        <v>58.064516129032199</v>
      </c>
    </row>
    <row r="153" spans="1:5" x14ac:dyDescent="0.2">
      <c r="A153">
        <v>152</v>
      </c>
      <c r="B153" t="s">
        <v>3179</v>
      </c>
      <c r="C153" t="s">
        <v>3179</v>
      </c>
      <c r="D153">
        <v>305</v>
      </c>
      <c r="E153" s="210">
        <v>100</v>
      </c>
    </row>
    <row r="154" spans="1:5" x14ac:dyDescent="0.2">
      <c r="A154">
        <v>153</v>
      </c>
      <c r="B154" t="s">
        <v>3177</v>
      </c>
      <c r="C154" t="s">
        <v>3886</v>
      </c>
      <c r="D154">
        <v>383</v>
      </c>
      <c r="E154" s="210">
        <v>48.484848484848399</v>
      </c>
    </row>
    <row r="155" spans="1:5" x14ac:dyDescent="0.2">
      <c r="A155">
        <v>154</v>
      </c>
      <c r="B155" t="s">
        <v>3175</v>
      </c>
      <c r="C155" t="s">
        <v>3175</v>
      </c>
      <c r="D155">
        <v>382</v>
      </c>
      <c r="E155" s="210">
        <v>100</v>
      </c>
    </row>
    <row r="156" spans="1:5" x14ac:dyDescent="0.2">
      <c r="A156">
        <v>155</v>
      </c>
      <c r="B156" t="s">
        <v>3173</v>
      </c>
      <c r="C156" t="s">
        <v>3887</v>
      </c>
      <c r="D156">
        <v>88</v>
      </c>
      <c r="E156" s="210">
        <v>54.054054054053999</v>
      </c>
    </row>
    <row r="157" spans="1:5" x14ac:dyDescent="0.2">
      <c r="A157">
        <v>156</v>
      </c>
      <c r="B157" t="s">
        <v>3171</v>
      </c>
      <c r="C157" t="s">
        <v>3888</v>
      </c>
      <c r="D157">
        <v>119</v>
      </c>
      <c r="E157" s="210">
        <v>43.478260869565197</v>
      </c>
    </row>
    <row r="158" spans="1:5" x14ac:dyDescent="0.2">
      <c r="A158">
        <v>157</v>
      </c>
      <c r="B158" t="s">
        <v>314</v>
      </c>
      <c r="C158" t="s">
        <v>314</v>
      </c>
      <c r="D158">
        <v>60</v>
      </c>
      <c r="E158" s="210">
        <v>100</v>
      </c>
    </row>
    <row r="159" spans="1:5" x14ac:dyDescent="0.2">
      <c r="A159">
        <v>158</v>
      </c>
      <c r="B159" t="s">
        <v>3168</v>
      </c>
      <c r="C159" t="s">
        <v>3168</v>
      </c>
      <c r="D159">
        <v>528</v>
      </c>
      <c r="E159" s="210">
        <v>100</v>
      </c>
    </row>
    <row r="160" spans="1:5" x14ac:dyDescent="0.2">
      <c r="A160">
        <v>159</v>
      </c>
      <c r="B160" t="s">
        <v>3166</v>
      </c>
      <c r="C160" t="s">
        <v>3164</v>
      </c>
      <c r="D160">
        <v>70</v>
      </c>
      <c r="E160" s="210">
        <v>55.172413793103402</v>
      </c>
    </row>
    <row r="161" spans="1:5" x14ac:dyDescent="0.2">
      <c r="A161">
        <v>160</v>
      </c>
      <c r="B161" t="s">
        <v>3164</v>
      </c>
      <c r="C161" t="s">
        <v>3164</v>
      </c>
      <c r="D161">
        <v>70</v>
      </c>
      <c r="E161" s="210">
        <v>100</v>
      </c>
    </row>
    <row r="162" spans="1:5" x14ac:dyDescent="0.2">
      <c r="A162">
        <v>161</v>
      </c>
      <c r="B162" t="s">
        <v>3162</v>
      </c>
      <c r="C162" t="s">
        <v>3547</v>
      </c>
      <c r="D162">
        <v>281</v>
      </c>
      <c r="E162" s="210">
        <v>82.758620689655103</v>
      </c>
    </row>
    <row r="163" spans="1:5" x14ac:dyDescent="0.2">
      <c r="A163">
        <v>162</v>
      </c>
      <c r="B163" t="s">
        <v>1356</v>
      </c>
      <c r="C163" t="s">
        <v>1356</v>
      </c>
      <c r="D163">
        <v>78</v>
      </c>
      <c r="E163" s="210">
        <v>100</v>
      </c>
    </row>
    <row r="164" spans="1:5" x14ac:dyDescent="0.2">
      <c r="A164">
        <v>163</v>
      </c>
      <c r="B164" t="s">
        <v>1357</v>
      </c>
      <c r="C164" t="s">
        <v>1357</v>
      </c>
      <c r="D164">
        <v>37</v>
      </c>
      <c r="E164" s="210">
        <v>100</v>
      </c>
    </row>
    <row r="165" spans="1:5" x14ac:dyDescent="0.2">
      <c r="A165">
        <v>164</v>
      </c>
      <c r="B165" t="s">
        <v>3158</v>
      </c>
      <c r="C165" t="s">
        <v>1357</v>
      </c>
      <c r="D165">
        <v>37</v>
      </c>
      <c r="E165" s="210">
        <v>70</v>
      </c>
    </row>
    <row r="166" spans="1:5" x14ac:dyDescent="0.2">
      <c r="A166">
        <v>165</v>
      </c>
      <c r="B166" t="s">
        <v>3156</v>
      </c>
      <c r="C166" t="s">
        <v>3548</v>
      </c>
      <c r="D166">
        <v>286</v>
      </c>
      <c r="E166" s="210">
        <v>82.051282051282001</v>
      </c>
    </row>
    <row r="167" spans="1:5" x14ac:dyDescent="0.2">
      <c r="A167">
        <v>166</v>
      </c>
      <c r="B167" t="s">
        <v>3154</v>
      </c>
      <c r="C167" t="s">
        <v>3064</v>
      </c>
      <c r="D167">
        <v>478</v>
      </c>
      <c r="E167" s="210">
        <v>61.1111111111111</v>
      </c>
    </row>
    <row r="168" spans="1:5" x14ac:dyDescent="0.2">
      <c r="A168">
        <v>167</v>
      </c>
      <c r="B168" t="s">
        <v>3152</v>
      </c>
      <c r="C168" t="s">
        <v>3152</v>
      </c>
      <c r="D168">
        <v>427</v>
      </c>
      <c r="E168" s="210">
        <v>100</v>
      </c>
    </row>
    <row r="169" spans="1:5" x14ac:dyDescent="0.2">
      <c r="A169">
        <v>168</v>
      </c>
      <c r="B169" t="s">
        <v>3150</v>
      </c>
      <c r="C169" t="s">
        <v>3549</v>
      </c>
      <c r="D169">
        <v>197</v>
      </c>
      <c r="E169" s="210">
        <v>78.787878787878697</v>
      </c>
    </row>
    <row r="170" spans="1:5" x14ac:dyDescent="0.2">
      <c r="A170">
        <v>169</v>
      </c>
      <c r="B170" t="s">
        <v>3148</v>
      </c>
      <c r="C170" t="s">
        <v>3550</v>
      </c>
      <c r="D170">
        <v>72</v>
      </c>
      <c r="E170" s="210">
        <v>71.428571428571402</v>
      </c>
    </row>
    <row r="171" spans="1:5" x14ac:dyDescent="0.2">
      <c r="A171">
        <v>170</v>
      </c>
      <c r="B171" t="s">
        <v>3146</v>
      </c>
      <c r="C171" t="s">
        <v>3551</v>
      </c>
      <c r="D171">
        <v>182</v>
      </c>
      <c r="E171" s="210">
        <v>86.6666666666666</v>
      </c>
    </row>
    <row r="172" spans="1:5" x14ac:dyDescent="0.2">
      <c r="A172">
        <v>171</v>
      </c>
      <c r="B172" t="s">
        <v>3144</v>
      </c>
      <c r="C172" t="s">
        <v>1194</v>
      </c>
      <c r="D172">
        <v>134</v>
      </c>
      <c r="E172" s="210">
        <v>58.823529411764703</v>
      </c>
    </row>
    <row r="173" spans="1:5" x14ac:dyDescent="0.2">
      <c r="A173">
        <v>172</v>
      </c>
      <c r="B173" t="s">
        <v>3142</v>
      </c>
      <c r="C173" t="s">
        <v>3552</v>
      </c>
      <c r="D173">
        <v>644</v>
      </c>
      <c r="E173" s="210">
        <v>85.714285714285694</v>
      </c>
    </row>
    <row r="174" spans="1:5" x14ac:dyDescent="0.2">
      <c r="A174">
        <v>173</v>
      </c>
      <c r="B174" t="s">
        <v>3140</v>
      </c>
      <c r="C174" t="s">
        <v>3136</v>
      </c>
      <c r="D174">
        <v>628</v>
      </c>
      <c r="E174" s="210">
        <v>88.8888888888888</v>
      </c>
    </row>
    <row r="175" spans="1:5" x14ac:dyDescent="0.2">
      <c r="A175">
        <v>174</v>
      </c>
      <c r="B175" t="s">
        <v>3138</v>
      </c>
      <c r="C175" t="s">
        <v>3136</v>
      </c>
      <c r="D175">
        <v>628</v>
      </c>
      <c r="E175" s="210">
        <v>88.8888888888888</v>
      </c>
    </row>
    <row r="176" spans="1:5" x14ac:dyDescent="0.2">
      <c r="A176">
        <v>175</v>
      </c>
      <c r="B176" t="s">
        <v>3136</v>
      </c>
      <c r="C176" t="s">
        <v>3136</v>
      </c>
      <c r="D176">
        <v>628</v>
      </c>
      <c r="E176" s="210">
        <v>100</v>
      </c>
    </row>
    <row r="177" spans="1:5" x14ac:dyDescent="0.2">
      <c r="A177">
        <v>176</v>
      </c>
      <c r="B177" t="s">
        <v>3134</v>
      </c>
      <c r="C177" t="s">
        <v>3136</v>
      </c>
      <c r="D177">
        <v>628</v>
      </c>
      <c r="E177" s="210">
        <v>43.478260869565197</v>
      </c>
    </row>
    <row r="178" spans="1:5" x14ac:dyDescent="0.2">
      <c r="A178">
        <v>177</v>
      </c>
      <c r="B178" t="s">
        <v>3132</v>
      </c>
      <c r="C178" t="s">
        <v>3553</v>
      </c>
      <c r="D178">
        <v>475</v>
      </c>
      <c r="E178" s="210">
        <v>74.418604651162795</v>
      </c>
    </row>
    <row r="179" spans="1:5" x14ac:dyDescent="0.2">
      <c r="A179">
        <v>178</v>
      </c>
      <c r="B179" t="s">
        <v>3130</v>
      </c>
      <c r="C179" t="s">
        <v>3554</v>
      </c>
      <c r="D179">
        <v>445</v>
      </c>
      <c r="E179" s="210">
        <v>80</v>
      </c>
    </row>
    <row r="180" spans="1:5" x14ac:dyDescent="0.2">
      <c r="A180">
        <v>179</v>
      </c>
      <c r="B180" t="s">
        <v>3128</v>
      </c>
      <c r="C180" t="s">
        <v>3555</v>
      </c>
      <c r="D180">
        <v>600</v>
      </c>
      <c r="E180" s="210">
        <v>80</v>
      </c>
    </row>
    <row r="181" spans="1:5" x14ac:dyDescent="0.2">
      <c r="A181">
        <v>180</v>
      </c>
      <c r="B181" t="s">
        <v>3126</v>
      </c>
      <c r="C181" t="s">
        <v>3556</v>
      </c>
      <c r="D181">
        <v>627</v>
      </c>
      <c r="E181" s="210">
        <v>81.25</v>
      </c>
    </row>
    <row r="182" spans="1:5" x14ac:dyDescent="0.2">
      <c r="A182">
        <v>181</v>
      </c>
      <c r="B182" t="s">
        <v>3124</v>
      </c>
      <c r="C182" t="s">
        <v>3124</v>
      </c>
      <c r="D182">
        <v>474</v>
      </c>
      <c r="E182" s="210">
        <v>100</v>
      </c>
    </row>
    <row r="183" spans="1:5" x14ac:dyDescent="0.2">
      <c r="A183">
        <v>182</v>
      </c>
      <c r="B183" t="s">
        <v>3122</v>
      </c>
      <c r="C183" t="s">
        <v>3556</v>
      </c>
      <c r="D183">
        <v>627</v>
      </c>
      <c r="E183" s="210">
        <v>86.6666666666666</v>
      </c>
    </row>
    <row r="184" spans="1:5" x14ac:dyDescent="0.2">
      <c r="A184">
        <v>183</v>
      </c>
      <c r="B184" t="s">
        <v>3120</v>
      </c>
      <c r="C184" t="s">
        <v>3555</v>
      </c>
      <c r="D184">
        <v>600</v>
      </c>
      <c r="E184" s="210">
        <v>85.714285714285694</v>
      </c>
    </row>
    <row r="185" spans="1:5" x14ac:dyDescent="0.2">
      <c r="A185">
        <v>184</v>
      </c>
      <c r="B185" t="s">
        <v>3118</v>
      </c>
      <c r="C185" t="s">
        <v>3554</v>
      </c>
      <c r="D185">
        <v>445</v>
      </c>
      <c r="E185" s="210">
        <v>85.714285714285694</v>
      </c>
    </row>
    <row r="186" spans="1:5" x14ac:dyDescent="0.2">
      <c r="A186">
        <v>185</v>
      </c>
      <c r="B186" t="s">
        <v>3116</v>
      </c>
      <c r="C186" t="s">
        <v>3124</v>
      </c>
      <c r="D186">
        <v>474</v>
      </c>
      <c r="E186" s="210">
        <v>80</v>
      </c>
    </row>
    <row r="187" spans="1:5" x14ac:dyDescent="0.2">
      <c r="A187">
        <v>186</v>
      </c>
      <c r="B187" t="s">
        <v>3114</v>
      </c>
      <c r="C187" t="s">
        <v>3554</v>
      </c>
      <c r="D187">
        <v>445</v>
      </c>
      <c r="E187" s="210">
        <v>77.419354838709594</v>
      </c>
    </row>
    <row r="188" spans="1:5" x14ac:dyDescent="0.2">
      <c r="A188">
        <v>187</v>
      </c>
      <c r="B188" t="s">
        <v>3112</v>
      </c>
      <c r="C188" t="s">
        <v>3555</v>
      </c>
      <c r="D188">
        <v>600</v>
      </c>
      <c r="E188" s="210">
        <v>82.758620689655103</v>
      </c>
    </row>
    <row r="189" spans="1:5" x14ac:dyDescent="0.2">
      <c r="A189">
        <v>188</v>
      </c>
      <c r="B189" t="s">
        <v>3110</v>
      </c>
      <c r="C189" t="s">
        <v>3556</v>
      </c>
      <c r="D189">
        <v>627</v>
      </c>
      <c r="E189" s="210">
        <v>83.870967741935402</v>
      </c>
    </row>
    <row r="190" spans="1:5" x14ac:dyDescent="0.2">
      <c r="A190">
        <v>189</v>
      </c>
      <c r="B190" t="s">
        <v>3108</v>
      </c>
      <c r="C190" t="s">
        <v>3124</v>
      </c>
      <c r="D190">
        <v>474</v>
      </c>
      <c r="E190" s="210">
        <v>77.419354838709594</v>
      </c>
    </row>
    <row r="191" spans="1:5" x14ac:dyDescent="0.2">
      <c r="A191">
        <v>190</v>
      </c>
      <c r="B191" t="s">
        <v>3106</v>
      </c>
      <c r="C191" t="s">
        <v>3554</v>
      </c>
      <c r="D191">
        <v>445</v>
      </c>
      <c r="E191" s="210">
        <v>82.758620689655103</v>
      </c>
    </row>
    <row r="192" spans="1:5" x14ac:dyDescent="0.2">
      <c r="A192">
        <v>191</v>
      </c>
      <c r="B192" t="s">
        <v>3104</v>
      </c>
      <c r="C192" t="s">
        <v>3720</v>
      </c>
      <c r="D192">
        <v>118</v>
      </c>
      <c r="E192" s="210">
        <v>48</v>
      </c>
    </row>
    <row r="193" spans="1:5" x14ac:dyDescent="0.2">
      <c r="A193">
        <v>192</v>
      </c>
      <c r="B193" t="s">
        <v>3102</v>
      </c>
      <c r="C193" t="s">
        <v>3102</v>
      </c>
      <c r="D193">
        <v>308</v>
      </c>
      <c r="E193" s="210">
        <v>100</v>
      </c>
    </row>
    <row r="194" spans="1:5" x14ac:dyDescent="0.2">
      <c r="A194">
        <v>193</v>
      </c>
      <c r="B194" t="s">
        <v>3100</v>
      </c>
      <c r="C194" t="s">
        <v>3557</v>
      </c>
      <c r="D194">
        <v>376</v>
      </c>
      <c r="E194" s="210">
        <v>66.6666666666666</v>
      </c>
    </row>
    <row r="195" spans="1:5" x14ac:dyDescent="0.2">
      <c r="A195">
        <v>194</v>
      </c>
      <c r="B195" t="s">
        <v>3098</v>
      </c>
      <c r="C195" t="s">
        <v>3557</v>
      </c>
      <c r="D195">
        <v>376</v>
      </c>
      <c r="E195" s="210">
        <v>75</v>
      </c>
    </row>
    <row r="196" spans="1:5" x14ac:dyDescent="0.2">
      <c r="A196">
        <v>195</v>
      </c>
      <c r="B196" t="s">
        <v>3096</v>
      </c>
      <c r="C196" t="s">
        <v>3554</v>
      </c>
      <c r="D196">
        <v>445</v>
      </c>
      <c r="E196" s="210">
        <v>64</v>
      </c>
    </row>
    <row r="197" spans="1:5" x14ac:dyDescent="0.2">
      <c r="A197">
        <v>196</v>
      </c>
      <c r="B197" t="s">
        <v>3094</v>
      </c>
      <c r="C197" t="s">
        <v>3558</v>
      </c>
      <c r="D197">
        <v>422</v>
      </c>
      <c r="E197" s="210">
        <v>73.684210526315795</v>
      </c>
    </row>
    <row r="198" spans="1:5" x14ac:dyDescent="0.2">
      <c r="A198">
        <v>197</v>
      </c>
      <c r="B198" t="s">
        <v>3092</v>
      </c>
      <c r="C198" t="s">
        <v>3559</v>
      </c>
      <c r="D198">
        <v>336</v>
      </c>
      <c r="E198" s="210">
        <v>66.6666666666666</v>
      </c>
    </row>
    <row r="199" spans="1:5" x14ac:dyDescent="0.2">
      <c r="A199">
        <v>198</v>
      </c>
      <c r="B199" t="s">
        <v>3090</v>
      </c>
      <c r="C199" t="s">
        <v>1810</v>
      </c>
      <c r="D199">
        <v>440</v>
      </c>
      <c r="E199" s="210">
        <v>19.047619047619001</v>
      </c>
    </row>
    <row r="200" spans="1:5" x14ac:dyDescent="0.2">
      <c r="A200">
        <v>199</v>
      </c>
      <c r="B200" t="s">
        <v>3088</v>
      </c>
      <c r="C200" t="s">
        <v>1810</v>
      </c>
      <c r="D200">
        <v>440</v>
      </c>
      <c r="E200" s="210">
        <v>19.047619047619001</v>
      </c>
    </row>
    <row r="201" spans="1:5" x14ac:dyDescent="0.2">
      <c r="A201">
        <v>200</v>
      </c>
      <c r="B201" t="s">
        <v>94</v>
      </c>
      <c r="C201" t="s">
        <v>1978</v>
      </c>
      <c r="D201">
        <v>639</v>
      </c>
      <c r="E201" s="210">
        <v>52.631578947368403</v>
      </c>
    </row>
    <row r="202" spans="1:5" x14ac:dyDescent="0.2">
      <c r="A202">
        <v>201</v>
      </c>
      <c r="B202" t="s">
        <v>3085</v>
      </c>
      <c r="C202" t="s">
        <v>2301</v>
      </c>
      <c r="D202">
        <v>43</v>
      </c>
      <c r="E202" s="210">
        <v>80</v>
      </c>
    </row>
    <row r="203" spans="1:5" x14ac:dyDescent="0.2">
      <c r="A203">
        <v>202</v>
      </c>
      <c r="B203" t="s">
        <v>3083</v>
      </c>
      <c r="C203" t="s">
        <v>96</v>
      </c>
      <c r="D203">
        <v>352</v>
      </c>
      <c r="E203" s="210">
        <v>87.179487179487097</v>
      </c>
    </row>
    <row r="204" spans="1:5" x14ac:dyDescent="0.2">
      <c r="A204">
        <v>203</v>
      </c>
      <c r="B204" t="s">
        <v>3081</v>
      </c>
      <c r="C204" t="s">
        <v>3081</v>
      </c>
      <c r="D204">
        <v>568</v>
      </c>
      <c r="E204" s="210">
        <v>100</v>
      </c>
    </row>
    <row r="205" spans="1:5" x14ac:dyDescent="0.2">
      <c r="A205">
        <v>204</v>
      </c>
      <c r="B205" t="s">
        <v>3079</v>
      </c>
      <c r="C205" t="s">
        <v>3081</v>
      </c>
      <c r="D205">
        <v>568</v>
      </c>
      <c r="E205" s="210">
        <v>82.352941176470495</v>
      </c>
    </row>
    <row r="206" spans="1:5" x14ac:dyDescent="0.2">
      <c r="A206">
        <v>205</v>
      </c>
      <c r="B206" t="s">
        <v>3077</v>
      </c>
      <c r="C206" t="s">
        <v>3075</v>
      </c>
      <c r="D206">
        <v>483</v>
      </c>
      <c r="E206" s="210">
        <v>83.3333333333333</v>
      </c>
    </row>
    <row r="207" spans="1:5" x14ac:dyDescent="0.2">
      <c r="A207">
        <v>206</v>
      </c>
      <c r="B207" t="s">
        <v>3075</v>
      </c>
      <c r="C207" t="s">
        <v>3075</v>
      </c>
      <c r="D207">
        <v>483</v>
      </c>
      <c r="E207" s="210">
        <v>100</v>
      </c>
    </row>
    <row r="208" spans="1:5" x14ac:dyDescent="0.2">
      <c r="A208">
        <v>207</v>
      </c>
      <c r="B208" t="s">
        <v>3073</v>
      </c>
      <c r="C208" t="s">
        <v>3560</v>
      </c>
      <c r="D208">
        <v>245</v>
      </c>
      <c r="E208" s="210">
        <v>80</v>
      </c>
    </row>
    <row r="209" spans="1:5" x14ac:dyDescent="0.2">
      <c r="A209">
        <v>208</v>
      </c>
      <c r="B209" t="s">
        <v>3071</v>
      </c>
      <c r="C209" t="s">
        <v>97</v>
      </c>
      <c r="D209">
        <v>307</v>
      </c>
      <c r="E209" s="210">
        <v>97.297297297297305</v>
      </c>
    </row>
    <row r="210" spans="1:5" x14ac:dyDescent="0.2">
      <c r="A210">
        <v>209</v>
      </c>
      <c r="B210" t="s">
        <v>3069</v>
      </c>
      <c r="C210" t="s">
        <v>98</v>
      </c>
      <c r="D210">
        <v>429</v>
      </c>
      <c r="E210" s="210">
        <v>97.297297297297305</v>
      </c>
    </row>
    <row r="211" spans="1:5" x14ac:dyDescent="0.2">
      <c r="A211">
        <v>210</v>
      </c>
      <c r="B211" t="s">
        <v>20</v>
      </c>
      <c r="C211" t="s">
        <v>3561</v>
      </c>
      <c r="D211">
        <v>480</v>
      </c>
      <c r="E211" s="210">
        <v>82.758620689655103</v>
      </c>
    </row>
    <row r="212" spans="1:5" x14ac:dyDescent="0.2">
      <c r="A212">
        <v>211</v>
      </c>
      <c r="B212" t="s">
        <v>3066</v>
      </c>
      <c r="C212" t="s">
        <v>3562</v>
      </c>
      <c r="D212">
        <v>381</v>
      </c>
      <c r="E212" s="210">
        <v>66.6666666666666</v>
      </c>
    </row>
    <row r="213" spans="1:5" x14ac:dyDescent="0.2">
      <c r="A213">
        <v>212</v>
      </c>
      <c r="B213" t="s">
        <v>3064</v>
      </c>
      <c r="C213" t="s">
        <v>3064</v>
      </c>
      <c r="D213">
        <v>478</v>
      </c>
      <c r="E213" s="210">
        <v>100</v>
      </c>
    </row>
    <row r="214" spans="1:5" x14ac:dyDescent="0.2">
      <c r="A214">
        <v>213</v>
      </c>
      <c r="B214" t="s">
        <v>3062</v>
      </c>
      <c r="C214" t="s">
        <v>3064</v>
      </c>
      <c r="D214">
        <v>478</v>
      </c>
      <c r="E214" s="210">
        <v>80</v>
      </c>
    </row>
    <row r="215" spans="1:5" x14ac:dyDescent="0.2">
      <c r="A215">
        <v>214</v>
      </c>
      <c r="B215" t="s">
        <v>3060</v>
      </c>
      <c r="C215" t="s">
        <v>3562</v>
      </c>
      <c r="D215">
        <v>381</v>
      </c>
      <c r="E215" s="210">
        <v>84.848484848484802</v>
      </c>
    </row>
    <row r="216" spans="1:5" x14ac:dyDescent="0.2">
      <c r="A216">
        <v>215</v>
      </c>
      <c r="B216" t="s">
        <v>3058</v>
      </c>
      <c r="C216" t="s">
        <v>376</v>
      </c>
      <c r="D216">
        <v>237</v>
      </c>
      <c r="E216" s="210">
        <v>70</v>
      </c>
    </row>
    <row r="217" spans="1:5" x14ac:dyDescent="0.2">
      <c r="A217">
        <v>216</v>
      </c>
      <c r="B217" t="s">
        <v>3056</v>
      </c>
      <c r="C217" t="s">
        <v>3563</v>
      </c>
      <c r="D217">
        <v>357</v>
      </c>
      <c r="E217" s="210">
        <v>90</v>
      </c>
    </row>
    <row r="218" spans="1:5" x14ac:dyDescent="0.2">
      <c r="A218">
        <v>217</v>
      </c>
      <c r="B218" t="s">
        <v>376</v>
      </c>
      <c r="C218" t="s">
        <v>376</v>
      </c>
      <c r="D218">
        <v>237</v>
      </c>
      <c r="E218" s="210">
        <v>100</v>
      </c>
    </row>
    <row r="219" spans="1:5" x14ac:dyDescent="0.2">
      <c r="A219">
        <v>218</v>
      </c>
      <c r="B219" t="s">
        <v>3053</v>
      </c>
      <c r="C219" t="s">
        <v>3564</v>
      </c>
      <c r="D219">
        <v>7</v>
      </c>
      <c r="E219" s="210">
        <v>96</v>
      </c>
    </row>
    <row r="220" spans="1:5" x14ac:dyDescent="0.2">
      <c r="A220">
        <v>219</v>
      </c>
      <c r="B220" t="s">
        <v>3051</v>
      </c>
      <c r="C220" t="s">
        <v>3565</v>
      </c>
      <c r="D220">
        <v>9</v>
      </c>
      <c r="E220" s="210">
        <v>83.870967741935402</v>
      </c>
    </row>
    <row r="221" spans="1:5" x14ac:dyDescent="0.2">
      <c r="A221">
        <v>220</v>
      </c>
      <c r="B221" t="s">
        <v>3049</v>
      </c>
      <c r="C221" t="s">
        <v>3049</v>
      </c>
      <c r="D221">
        <v>38</v>
      </c>
      <c r="E221" s="210">
        <v>100</v>
      </c>
    </row>
    <row r="222" spans="1:5" x14ac:dyDescent="0.2">
      <c r="A222">
        <v>221</v>
      </c>
      <c r="B222" t="s">
        <v>3047</v>
      </c>
      <c r="C222" t="s">
        <v>3566</v>
      </c>
      <c r="D222">
        <v>8</v>
      </c>
      <c r="E222" s="210">
        <v>90.322580645161196</v>
      </c>
    </row>
    <row r="223" spans="1:5" x14ac:dyDescent="0.2">
      <c r="A223">
        <v>222</v>
      </c>
      <c r="B223" t="s">
        <v>3045</v>
      </c>
      <c r="C223" t="s">
        <v>3124</v>
      </c>
      <c r="D223">
        <v>474</v>
      </c>
      <c r="E223" s="210">
        <v>27.586206896551701</v>
      </c>
    </row>
    <row r="224" spans="1:5" x14ac:dyDescent="0.2">
      <c r="A224">
        <v>223</v>
      </c>
      <c r="B224" t="s">
        <v>3043</v>
      </c>
      <c r="C224" t="s">
        <v>3567</v>
      </c>
      <c r="D224">
        <v>120</v>
      </c>
      <c r="E224" s="210">
        <v>72.2222222222222</v>
      </c>
    </row>
    <row r="225" spans="1:5" x14ac:dyDescent="0.2">
      <c r="A225">
        <v>224</v>
      </c>
      <c r="B225" t="s">
        <v>3041</v>
      </c>
      <c r="C225" t="s">
        <v>3041</v>
      </c>
      <c r="D225">
        <v>176</v>
      </c>
      <c r="E225" s="210">
        <v>100</v>
      </c>
    </row>
    <row r="226" spans="1:5" x14ac:dyDescent="0.2">
      <c r="A226">
        <v>225</v>
      </c>
      <c r="B226" t="s">
        <v>3039</v>
      </c>
      <c r="C226" t="s">
        <v>3543</v>
      </c>
      <c r="D226">
        <v>344</v>
      </c>
      <c r="E226" s="210">
        <v>12.5</v>
      </c>
    </row>
    <row r="227" spans="1:5" x14ac:dyDescent="0.2">
      <c r="A227">
        <v>226</v>
      </c>
      <c r="B227" t="s">
        <v>3037</v>
      </c>
      <c r="C227" t="s">
        <v>3568</v>
      </c>
      <c r="D227">
        <v>418</v>
      </c>
      <c r="E227" s="210">
        <v>83.870967741935402</v>
      </c>
    </row>
    <row r="228" spans="1:5" x14ac:dyDescent="0.2">
      <c r="A228">
        <v>227</v>
      </c>
      <c r="B228" t="s">
        <v>3035</v>
      </c>
      <c r="C228" t="s">
        <v>3569</v>
      </c>
      <c r="D228">
        <v>519</v>
      </c>
      <c r="E228" s="210">
        <v>81.481481481481495</v>
      </c>
    </row>
    <row r="229" spans="1:5" x14ac:dyDescent="0.2">
      <c r="A229">
        <v>228</v>
      </c>
      <c r="B229" t="s">
        <v>3033</v>
      </c>
      <c r="C229" t="s">
        <v>3570</v>
      </c>
      <c r="D229">
        <v>607</v>
      </c>
      <c r="E229" s="210">
        <v>82.758620689655103</v>
      </c>
    </row>
    <row r="230" spans="1:5" x14ac:dyDescent="0.2">
      <c r="A230">
        <v>229</v>
      </c>
      <c r="B230" t="s">
        <v>3031</v>
      </c>
      <c r="C230" t="s">
        <v>3571</v>
      </c>
      <c r="D230">
        <v>596</v>
      </c>
      <c r="E230" s="210">
        <v>82.758620689655103</v>
      </c>
    </row>
    <row r="231" spans="1:5" x14ac:dyDescent="0.2">
      <c r="A231">
        <v>230</v>
      </c>
      <c r="B231" t="s">
        <v>3029</v>
      </c>
      <c r="C231" t="s">
        <v>3572</v>
      </c>
      <c r="D231">
        <v>540</v>
      </c>
      <c r="E231" s="210">
        <v>81.481481481481495</v>
      </c>
    </row>
    <row r="232" spans="1:5" x14ac:dyDescent="0.2">
      <c r="A232">
        <v>231</v>
      </c>
      <c r="B232" t="s">
        <v>3027</v>
      </c>
      <c r="C232" t="s">
        <v>3573</v>
      </c>
      <c r="D232">
        <v>386</v>
      </c>
      <c r="E232" s="210">
        <v>90.909090909090907</v>
      </c>
    </row>
    <row r="233" spans="1:5" x14ac:dyDescent="0.2">
      <c r="A233">
        <v>232</v>
      </c>
      <c r="B233" t="s">
        <v>3025</v>
      </c>
      <c r="C233" t="s">
        <v>3573</v>
      </c>
      <c r="D233">
        <v>386</v>
      </c>
      <c r="E233" s="210">
        <v>81.818181818181799</v>
      </c>
    </row>
    <row r="234" spans="1:5" x14ac:dyDescent="0.2">
      <c r="A234">
        <v>233</v>
      </c>
      <c r="B234" t="s">
        <v>3023</v>
      </c>
      <c r="C234" t="s">
        <v>3023</v>
      </c>
      <c r="D234">
        <v>638</v>
      </c>
      <c r="E234" s="210">
        <v>100</v>
      </c>
    </row>
    <row r="235" spans="1:5" x14ac:dyDescent="0.2">
      <c r="A235">
        <v>234</v>
      </c>
      <c r="B235" t="s">
        <v>1140</v>
      </c>
      <c r="C235" t="s">
        <v>3574</v>
      </c>
      <c r="D235">
        <v>181</v>
      </c>
      <c r="E235" s="210">
        <v>78.571428571428498</v>
      </c>
    </row>
    <row r="236" spans="1:5" x14ac:dyDescent="0.2">
      <c r="A236">
        <v>235</v>
      </c>
      <c r="B236" t="s">
        <v>3020</v>
      </c>
      <c r="C236" t="s">
        <v>3020</v>
      </c>
      <c r="D236">
        <v>634</v>
      </c>
      <c r="E236" s="210">
        <v>100</v>
      </c>
    </row>
    <row r="237" spans="1:5" x14ac:dyDescent="0.2">
      <c r="A237">
        <v>236</v>
      </c>
      <c r="B237" t="s">
        <v>3018</v>
      </c>
      <c r="C237" t="s">
        <v>3889</v>
      </c>
      <c r="D237">
        <v>456</v>
      </c>
      <c r="E237" s="210">
        <v>45.161290322580598</v>
      </c>
    </row>
    <row r="238" spans="1:5" x14ac:dyDescent="0.2">
      <c r="A238">
        <v>237</v>
      </c>
      <c r="B238" t="s">
        <v>3016</v>
      </c>
      <c r="C238" t="s">
        <v>3890</v>
      </c>
      <c r="D238">
        <v>221</v>
      </c>
      <c r="E238" s="210">
        <v>50</v>
      </c>
    </row>
    <row r="239" spans="1:5" x14ac:dyDescent="0.2">
      <c r="A239">
        <v>238</v>
      </c>
      <c r="B239" t="s">
        <v>3014</v>
      </c>
      <c r="C239" t="s">
        <v>3891</v>
      </c>
      <c r="D239">
        <v>132</v>
      </c>
      <c r="E239" s="210">
        <v>42.424242424242401</v>
      </c>
    </row>
    <row r="240" spans="1:5" x14ac:dyDescent="0.2">
      <c r="A240">
        <v>239</v>
      </c>
      <c r="B240" t="s">
        <v>3012</v>
      </c>
      <c r="C240" t="s">
        <v>3892</v>
      </c>
      <c r="D240">
        <v>315</v>
      </c>
      <c r="E240" s="210">
        <v>44.4444444444444</v>
      </c>
    </row>
    <row r="241" spans="1:5" x14ac:dyDescent="0.2">
      <c r="A241">
        <v>240</v>
      </c>
      <c r="B241" t="s">
        <v>3010</v>
      </c>
      <c r="C241" t="s">
        <v>3893</v>
      </c>
      <c r="D241">
        <v>228</v>
      </c>
      <c r="E241" s="210">
        <v>45.161290322580598</v>
      </c>
    </row>
    <row r="242" spans="1:5" x14ac:dyDescent="0.2">
      <c r="A242">
        <v>241</v>
      </c>
      <c r="B242" t="s">
        <v>3008</v>
      </c>
      <c r="C242" t="s">
        <v>3894</v>
      </c>
      <c r="D242">
        <v>537</v>
      </c>
      <c r="E242" s="210">
        <v>48.648648648648603</v>
      </c>
    </row>
    <row r="243" spans="1:5" x14ac:dyDescent="0.2">
      <c r="A243">
        <v>242</v>
      </c>
      <c r="B243" t="s">
        <v>3006</v>
      </c>
      <c r="C243" t="s">
        <v>3892</v>
      </c>
      <c r="D243">
        <v>315</v>
      </c>
      <c r="E243" s="210">
        <v>34.285714285714199</v>
      </c>
    </row>
    <row r="244" spans="1:5" x14ac:dyDescent="0.2">
      <c r="A244">
        <v>243</v>
      </c>
      <c r="B244" t="s">
        <v>3004</v>
      </c>
      <c r="C244" t="s">
        <v>3572</v>
      </c>
      <c r="D244">
        <v>540</v>
      </c>
      <c r="E244" s="210">
        <v>31.999999999999901</v>
      </c>
    </row>
    <row r="245" spans="1:5" x14ac:dyDescent="0.2">
      <c r="A245">
        <v>244</v>
      </c>
      <c r="B245" t="s">
        <v>3002</v>
      </c>
      <c r="C245" t="s">
        <v>3895</v>
      </c>
      <c r="D245">
        <v>586</v>
      </c>
      <c r="E245" s="210">
        <v>42.424242424242401</v>
      </c>
    </row>
    <row r="246" spans="1:5" x14ac:dyDescent="0.2">
      <c r="A246">
        <v>245</v>
      </c>
      <c r="B246" t="s">
        <v>3000</v>
      </c>
      <c r="C246" t="s">
        <v>3575</v>
      </c>
      <c r="D246">
        <v>503</v>
      </c>
      <c r="E246" s="210">
        <v>96</v>
      </c>
    </row>
    <row r="247" spans="1:5" x14ac:dyDescent="0.2">
      <c r="A247">
        <v>246</v>
      </c>
      <c r="B247" t="s">
        <v>2998</v>
      </c>
      <c r="C247" t="s">
        <v>2998</v>
      </c>
      <c r="D247">
        <v>583</v>
      </c>
      <c r="E247" s="210">
        <v>100</v>
      </c>
    </row>
    <row r="248" spans="1:5" x14ac:dyDescent="0.2">
      <c r="A248">
        <v>247</v>
      </c>
      <c r="B248" t="s">
        <v>2996</v>
      </c>
      <c r="C248" t="s">
        <v>2996</v>
      </c>
      <c r="D248">
        <v>112</v>
      </c>
      <c r="E248" s="210">
        <v>100</v>
      </c>
    </row>
    <row r="249" spans="1:5" x14ac:dyDescent="0.2">
      <c r="A249">
        <v>248</v>
      </c>
      <c r="B249" t="s">
        <v>2994</v>
      </c>
      <c r="C249" t="s">
        <v>2994</v>
      </c>
      <c r="D249">
        <v>58</v>
      </c>
      <c r="E249" s="210">
        <v>100</v>
      </c>
    </row>
    <row r="250" spans="1:5" x14ac:dyDescent="0.2">
      <c r="A250">
        <v>249</v>
      </c>
      <c r="B250" t="s">
        <v>2992</v>
      </c>
      <c r="C250" t="s">
        <v>3525</v>
      </c>
      <c r="D250">
        <v>364</v>
      </c>
      <c r="E250" s="210">
        <v>72.727272727272705</v>
      </c>
    </row>
    <row r="251" spans="1:5" x14ac:dyDescent="0.2">
      <c r="A251">
        <v>250</v>
      </c>
      <c r="B251" t="s">
        <v>2990</v>
      </c>
      <c r="C251" t="s">
        <v>3576</v>
      </c>
      <c r="D251">
        <v>558</v>
      </c>
      <c r="E251" s="210">
        <v>83.3333333333333</v>
      </c>
    </row>
    <row r="252" spans="1:5" x14ac:dyDescent="0.2">
      <c r="A252">
        <v>251</v>
      </c>
      <c r="B252" t="s">
        <v>2988</v>
      </c>
      <c r="C252" t="s">
        <v>3577</v>
      </c>
      <c r="D252">
        <v>135</v>
      </c>
      <c r="E252" s="210">
        <v>90.909090909090907</v>
      </c>
    </row>
    <row r="253" spans="1:5" x14ac:dyDescent="0.2">
      <c r="A253">
        <v>252</v>
      </c>
      <c r="B253" t="s">
        <v>1425</v>
      </c>
      <c r="C253" t="s">
        <v>3896</v>
      </c>
      <c r="D253">
        <v>210</v>
      </c>
      <c r="E253" s="210">
        <v>58.3333333333333</v>
      </c>
    </row>
    <row r="254" spans="1:5" x14ac:dyDescent="0.2">
      <c r="A254">
        <v>253</v>
      </c>
      <c r="B254" t="s">
        <v>2985</v>
      </c>
      <c r="C254" t="s">
        <v>3578</v>
      </c>
      <c r="D254">
        <v>556</v>
      </c>
      <c r="E254" s="210">
        <v>94.736842105263094</v>
      </c>
    </row>
    <row r="255" spans="1:5" x14ac:dyDescent="0.2">
      <c r="A255">
        <v>254</v>
      </c>
      <c r="B255" t="s">
        <v>1404</v>
      </c>
      <c r="C255" t="s">
        <v>1404</v>
      </c>
      <c r="D255">
        <v>363</v>
      </c>
      <c r="E255" s="210">
        <v>100</v>
      </c>
    </row>
    <row r="256" spans="1:5" x14ac:dyDescent="0.2">
      <c r="A256">
        <v>255</v>
      </c>
      <c r="B256" t="s">
        <v>2981</v>
      </c>
      <c r="C256" t="s">
        <v>3896</v>
      </c>
      <c r="D256">
        <v>210</v>
      </c>
      <c r="E256" s="210">
        <v>53.3333333333333</v>
      </c>
    </row>
    <row r="257" spans="1:5" x14ac:dyDescent="0.2">
      <c r="A257">
        <v>256</v>
      </c>
      <c r="B257" t="s">
        <v>2979</v>
      </c>
      <c r="C257" t="s">
        <v>3579</v>
      </c>
      <c r="D257">
        <v>218</v>
      </c>
      <c r="E257" s="210">
        <v>74.074074074074005</v>
      </c>
    </row>
    <row r="258" spans="1:5" x14ac:dyDescent="0.2">
      <c r="A258">
        <v>257</v>
      </c>
      <c r="B258" t="s">
        <v>2977</v>
      </c>
      <c r="C258" t="s">
        <v>3579</v>
      </c>
      <c r="D258">
        <v>218</v>
      </c>
      <c r="E258" s="210">
        <v>82.758620689655103</v>
      </c>
    </row>
    <row r="259" spans="1:5" x14ac:dyDescent="0.2">
      <c r="A259">
        <v>258</v>
      </c>
      <c r="B259" t="s">
        <v>2975</v>
      </c>
      <c r="C259" t="s">
        <v>3580</v>
      </c>
      <c r="D259">
        <v>244</v>
      </c>
      <c r="E259" s="210">
        <v>80.851063829787194</v>
      </c>
    </row>
    <row r="260" spans="1:5" x14ac:dyDescent="0.2">
      <c r="A260">
        <v>259</v>
      </c>
      <c r="B260" t="s">
        <v>2973</v>
      </c>
      <c r="C260" t="s">
        <v>3580</v>
      </c>
      <c r="D260">
        <v>244</v>
      </c>
      <c r="E260" s="210">
        <v>81.818181818181799</v>
      </c>
    </row>
    <row r="261" spans="1:5" x14ac:dyDescent="0.2">
      <c r="A261">
        <v>260</v>
      </c>
      <c r="B261" t="s">
        <v>2971</v>
      </c>
      <c r="C261" t="s">
        <v>3580</v>
      </c>
      <c r="D261">
        <v>244</v>
      </c>
      <c r="E261" s="210">
        <v>81.632653061224403</v>
      </c>
    </row>
    <row r="262" spans="1:5" x14ac:dyDescent="0.2">
      <c r="A262">
        <v>261</v>
      </c>
      <c r="B262" t="s">
        <v>2969</v>
      </c>
      <c r="C262" t="s">
        <v>3581</v>
      </c>
      <c r="D262">
        <v>496</v>
      </c>
      <c r="E262" s="210">
        <v>76.190476190476105</v>
      </c>
    </row>
    <row r="263" spans="1:5" x14ac:dyDescent="0.2">
      <c r="A263">
        <v>262</v>
      </c>
      <c r="B263" t="s">
        <v>2967</v>
      </c>
      <c r="C263" t="s">
        <v>164</v>
      </c>
      <c r="D263">
        <v>396</v>
      </c>
      <c r="E263" s="210">
        <v>84.210526315789394</v>
      </c>
    </row>
    <row r="264" spans="1:5" x14ac:dyDescent="0.2">
      <c r="A264">
        <v>263</v>
      </c>
      <c r="B264" t="s">
        <v>2965</v>
      </c>
      <c r="C264" t="s">
        <v>3582</v>
      </c>
      <c r="D264">
        <v>402</v>
      </c>
      <c r="E264" s="210">
        <v>90</v>
      </c>
    </row>
    <row r="265" spans="1:5" x14ac:dyDescent="0.2">
      <c r="A265">
        <v>264</v>
      </c>
      <c r="B265" t="s">
        <v>2963</v>
      </c>
      <c r="C265" t="s">
        <v>3583</v>
      </c>
      <c r="D265">
        <v>149</v>
      </c>
      <c r="E265" s="210">
        <v>75.862068965517196</v>
      </c>
    </row>
    <row r="266" spans="1:5" x14ac:dyDescent="0.2">
      <c r="A266">
        <v>265</v>
      </c>
      <c r="B266" t="s">
        <v>2961</v>
      </c>
      <c r="C266" t="s">
        <v>3584</v>
      </c>
      <c r="D266">
        <v>441</v>
      </c>
      <c r="E266" s="210">
        <v>75.862068965517196</v>
      </c>
    </row>
    <row r="267" spans="1:5" x14ac:dyDescent="0.2">
      <c r="A267">
        <v>266</v>
      </c>
      <c r="B267" t="s">
        <v>2959</v>
      </c>
      <c r="C267" t="s">
        <v>3583</v>
      </c>
      <c r="D267">
        <v>149</v>
      </c>
      <c r="E267" s="210">
        <v>78.571428571428498</v>
      </c>
    </row>
    <row r="268" spans="1:5" x14ac:dyDescent="0.2">
      <c r="A268">
        <v>267</v>
      </c>
      <c r="B268" t="s">
        <v>2957</v>
      </c>
      <c r="C268" t="s">
        <v>3584</v>
      </c>
      <c r="D268">
        <v>441</v>
      </c>
      <c r="E268" s="210">
        <v>78.571428571428498</v>
      </c>
    </row>
    <row r="269" spans="1:5" x14ac:dyDescent="0.2">
      <c r="A269">
        <v>268</v>
      </c>
      <c r="B269" t="s">
        <v>2955</v>
      </c>
      <c r="C269" t="s">
        <v>2955</v>
      </c>
      <c r="D269">
        <v>189</v>
      </c>
      <c r="E269" s="210">
        <v>100</v>
      </c>
    </row>
    <row r="270" spans="1:5" x14ac:dyDescent="0.2">
      <c r="A270">
        <v>269</v>
      </c>
      <c r="B270" t="s">
        <v>2953</v>
      </c>
      <c r="C270" t="s">
        <v>3746</v>
      </c>
      <c r="D270">
        <v>139</v>
      </c>
      <c r="E270" s="210">
        <v>38.461538461538403</v>
      </c>
    </row>
    <row r="271" spans="1:5" x14ac:dyDescent="0.2">
      <c r="A271">
        <v>270</v>
      </c>
      <c r="B271" t="s">
        <v>2951</v>
      </c>
      <c r="C271" t="s">
        <v>3585</v>
      </c>
      <c r="D271">
        <v>239</v>
      </c>
      <c r="E271" s="210">
        <v>66.6666666666666</v>
      </c>
    </row>
    <row r="272" spans="1:5" x14ac:dyDescent="0.2">
      <c r="A272">
        <v>271</v>
      </c>
      <c r="B272" t="s">
        <v>2949</v>
      </c>
      <c r="C272" t="s">
        <v>3586</v>
      </c>
      <c r="D272">
        <v>130</v>
      </c>
      <c r="E272" s="210">
        <v>70</v>
      </c>
    </row>
    <row r="273" spans="1:5" x14ac:dyDescent="0.2">
      <c r="A273">
        <v>272</v>
      </c>
      <c r="B273" t="s">
        <v>2947</v>
      </c>
      <c r="C273" t="s">
        <v>3586</v>
      </c>
      <c r="D273">
        <v>130</v>
      </c>
      <c r="E273" s="210">
        <v>68.292682926829201</v>
      </c>
    </row>
    <row r="274" spans="1:5" x14ac:dyDescent="0.2">
      <c r="A274">
        <v>273</v>
      </c>
      <c r="B274" t="s">
        <v>2945</v>
      </c>
      <c r="C274" t="s">
        <v>3586</v>
      </c>
      <c r="D274">
        <v>130</v>
      </c>
      <c r="E274" s="210">
        <v>65</v>
      </c>
    </row>
    <row r="275" spans="1:5" x14ac:dyDescent="0.2">
      <c r="A275">
        <v>274</v>
      </c>
      <c r="B275" t="s">
        <v>2943</v>
      </c>
      <c r="C275" t="s">
        <v>3586</v>
      </c>
      <c r="D275">
        <v>130</v>
      </c>
      <c r="E275" s="210">
        <v>68.292682926829201</v>
      </c>
    </row>
    <row r="276" spans="1:5" x14ac:dyDescent="0.2">
      <c r="A276">
        <v>275</v>
      </c>
      <c r="B276" t="s">
        <v>2552</v>
      </c>
      <c r="C276" t="s">
        <v>2955</v>
      </c>
      <c r="D276">
        <v>189</v>
      </c>
      <c r="E276" s="210">
        <v>39.024390243902403</v>
      </c>
    </row>
    <row r="277" spans="1:5" x14ac:dyDescent="0.2">
      <c r="A277">
        <v>276</v>
      </c>
      <c r="B277" t="s">
        <v>2940</v>
      </c>
      <c r="C277" t="s">
        <v>3587</v>
      </c>
      <c r="D277">
        <v>46</v>
      </c>
      <c r="E277" s="210">
        <v>73.3333333333333</v>
      </c>
    </row>
    <row r="278" spans="1:5" x14ac:dyDescent="0.2">
      <c r="A278">
        <v>277</v>
      </c>
      <c r="B278" t="s">
        <v>2938</v>
      </c>
      <c r="C278" t="s">
        <v>3588</v>
      </c>
      <c r="D278">
        <v>100</v>
      </c>
      <c r="E278" s="210">
        <v>64.285714285714207</v>
      </c>
    </row>
    <row r="279" spans="1:5" x14ac:dyDescent="0.2">
      <c r="A279">
        <v>278</v>
      </c>
      <c r="B279" t="s">
        <v>2936</v>
      </c>
      <c r="C279" t="s">
        <v>3589</v>
      </c>
      <c r="D279">
        <v>460</v>
      </c>
      <c r="E279" s="210">
        <v>68.571428571428498</v>
      </c>
    </row>
    <row r="280" spans="1:5" x14ac:dyDescent="0.2">
      <c r="A280">
        <v>279</v>
      </c>
      <c r="B280" t="s">
        <v>2934</v>
      </c>
      <c r="C280" t="s">
        <v>2932</v>
      </c>
      <c r="D280">
        <v>417</v>
      </c>
      <c r="E280" s="210">
        <v>75.862068965517196</v>
      </c>
    </row>
    <row r="281" spans="1:5" x14ac:dyDescent="0.2">
      <c r="A281">
        <v>280</v>
      </c>
      <c r="B281" t="s">
        <v>2932</v>
      </c>
      <c r="C281" t="s">
        <v>2932</v>
      </c>
      <c r="D281">
        <v>417</v>
      </c>
      <c r="E281" s="210">
        <v>100</v>
      </c>
    </row>
    <row r="282" spans="1:5" x14ac:dyDescent="0.2">
      <c r="A282">
        <v>281</v>
      </c>
      <c r="B282" t="s">
        <v>2930</v>
      </c>
      <c r="C282" t="s">
        <v>3590</v>
      </c>
      <c r="D282">
        <v>155</v>
      </c>
      <c r="E282" s="210">
        <v>74.074074074074005</v>
      </c>
    </row>
    <row r="283" spans="1:5" x14ac:dyDescent="0.2">
      <c r="A283">
        <v>282</v>
      </c>
      <c r="B283" t="s">
        <v>1191</v>
      </c>
      <c r="C283" t="s">
        <v>133</v>
      </c>
      <c r="D283">
        <v>560</v>
      </c>
      <c r="E283" s="210">
        <v>70</v>
      </c>
    </row>
    <row r="284" spans="1:5" x14ac:dyDescent="0.2">
      <c r="A284">
        <v>283</v>
      </c>
      <c r="B284" t="s">
        <v>2927</v>
      </c>
      <c r="C284" t="s">
        <v>3591</v>
      </c>
      <c r="D284">
        <v>196</v>
      </c>
      <c r="E284" s="210">
        <v>65</v>
      </c>
    </row>
    <row r="285" spans="1:5" x14ac:dyDescent="0.2">
      <c r="A285">
        <v>284</v>
      </c>
      <c r="B285" t="s">
        <v>2535</v>
      </c>
      <c r="C285" t="s">
        <v>3522</v>
      </c>
      <c r="D285">
        <v>520</v>
      </c>
      <c r="E285" s="210">
        <v>75</v>
      </c>
    </row>
    <row r="286" spans="1:5" x14ac:dyDescent="0.2">
      <c r="A286">
        <v>285</v>
      </c>
      <c r="B286" t="s">
        <v>2925</v>
      </c>
      <c r="C286" t="s">
        <v>314</v>
      </c>
      <c r="D286">
        <v>60</v>
      </c>
      <c r="E286" s="210">
        <v>54.545454545454497</v>
      </c>
    </row>
    <row r="287" spans="1:5" x14ac:dyDescent="0.2">
      <c r="A287">
        <v>286</v>
      </c>
      <c r="B287" t="s">
        <v>2923</v>
      </c>
      <c r="C287" t="s">
        <v>1663</v>
      </c>
      <c r="D287">
        <v>351</v>
      </c>
      <c r="E287" s="210">
        <v>70</v>
      </c>
    </row>
    <row r="288" spans="1:5" x14ac:dyDescent="0.2">
      <c r="A288">
        <v>287</v>
      </c>
      <c r="B288" t="s">
        <v>1142</v>
      </c>
      <c r="C288" t="s">
        <v>3592</v>
      </c>
      <c r="D288">
        <v>522</v>
      </c>
      <c r="E288" s="210">
        <v>94.117647058823493</v>
      </c>
    </row>
    <row r="289" spans="1:5" x14ac:dyDescent="0.2">
      <c r="A289">
        <v>288</v>
      </c>
      <c r="B289" t="s">
        <v>2920</v>
      </c>
      <c r="C289" t="s">
        <v>3877</v>
      </c>
      <c r="D289">
        <v>369</v>
      </c>
      <c r="E289" s="210">
        <v>36.363636363636303</v>
      </c>
    </row>
    <row r="290" spans="1:5" x14ac:dyDescent="0.2">
      <c r="A290">
        <v>289</v>
      </c>
      <c r="B290" t="s">
        <v>2918</v>
      </c>
      <c r="C290" t="s">
        <v>1272</v>
      </c>
      <c r="D290">
        <v>128</v>
      </c>
      <c r="E290" s="210">
        <v>52.941176470588204</v>
      </c>
    </row>
    <row r="291" spans="1:5" x14ac:dyDescent="0.2">
      <c r="A291">
        <v>290</v>
      </c>
      <c r="B291" t="s">
        <v>2916</v>
      </c>
      <c r="C291" t="s">
        <v>3647</v>
      </c>
      <c r="D291">
        <v>465</v>
      </c>
      <c r="E291" s="210">
        <v>56</v>
      </c>
    </row>
    <row r="292" spans="1:5" x14ac:dyDescent="0.2">
      <c r="A292">
        <v>291</v>
      </c>
      <c r="B292" t="s">
        <v>2914</v>
      </c>
      <c r="C292" t="s">
        <v>3524</v>
      </c>
      <c r="D292">
        <v>395</v>
      </c>
      <c r="E292" s="210">
        <v>73.684210526315795</v>
      </c>
    </row>
    <row r="293" spans="1:5" x14ac:dyDescent="0.2">
      <c r="A293">
        <v>292</v>
      </c>
      <c r="B293" t="s">
        <v>2912</v>
      </c>
      <c r="C293" t="s">
        <v>3593</v>
      </c>
      <c r="D293">
        <v>104</v>
      </c>
      <c r="E293" s="210">
        <v>71.428571428571402</v>
      </c>
    </row>
    <row r="294" spans="1:5" x14ac:dyDescent="0.2">
      <c r="A294">
        <v>293</v>
      </c>
      <c r="B294" t="s">
        <v>2909</v>
      </c>
      <c r="C294" t="s">
        <v>2909</v>
      </c>
      <c r="D294">
        <v>591</v>
      </c>
      <c r="E294" s="210">
        <v>100</v>
      </c>
    </row>
    <row r="295" spans="1:5" x14ac:dyDescent="0.2">
      <c r="A295">
        <v>294</v>
      </c>
      <c r="B295" t="s">
        <v>987</v>
      </c>
      <c r="C295" t="s">
        <v>3594</v>
      </c>
      <c r="D295">
        <v>430</v>
      </c>
      <c r="E295" s="210">
        <v>100</v>
      </c>
    </row>
    <row r="296" spans="1:5" x14ac:dyDescent="0.2">
      <c r="A296">
        <v>295</v>
      </c>
      <c r="B296" t="s">
        <v>988</v>
      </c>
      <c r="C296" t="s">
        <v>3595</v>
      </c>
      <c r="D296">
        <v>491</v>
      </c>
      <c r="E296" s="210">
        <v>100</v>
      </c>
    </row>
    <row r="297" spans="1:5" x14ac:dyDescent="0.2">
      <c r="A297">
        <v>296</v>
      </c>
      <c r="B297" t="s">
        <v>986</v>
      </c>
      <c r="C297" t="s">
        <v>3596</v>
      </c>
      <c r="D297">
        <v>467</v>
      </c>
      <c r="E297" s="210">
        <v>100</v>
      </c>
    </row>
    <row r="298" spans="1:5" x14ac:dyDescent="0.2">
      <c r="A298">
        <v>297</v>
      </c>
      <c r="B298" t="s">
        <v>2904</v>
      </c>
      <c r="C298" t="s">
        <v>3597</v>
      </c>
      <c r="D298">
        <v>449</v>
      </c>
      <c r="E298" s="210">
        <v>66.6666666666666</v>
      </c>
    </row>
    <row r="299" spans="1:5" x14ac:dyDescent="0.2">
      <c r="A299">
        <v>298</v>
      </c>
      <c r="B299" t="s">
        <v>2902</v>
      </c>
      <c r="C299" t="s">
        <v>1653</v>
      </c>
      <c r="D299">
        <v>199</v>
      </c>
      <c r="E299" s="210">
        <v>60.869565217391298</v>
      </c>
    </row>
    <row r="300" spans="1:5" x14ac:dyDescent="0.2">
      <c r="A300">
        <v>299</v>
      </c>
      <c r="B300" t="s">
        <v>2900</v>
      </c>
      <c r="C300" t="s">
        <v>3598</v>
      </c>
      <c r="D300">
        <v>462</v>
      </c>
      <c r="E300" s="210">
        <v>62.857142857142797</v>
      </c>
    </row>
    <row r="301" spans="1:5" x14ac:dyDescent="0.2">
      <c r="A301">
        <v>300</v>
      </c>
      <c r="B301" t="s">
        <v>1268</v>
      </c>
      <c r="C301" t="s">
        <v>3858</v>
      </c>
      <c r="D301">
        <v>542</v>
      </c>
      <c r="E301" s="210">
        <v>42.105263157894697</v>
      </c>
    </row>
    <row r="302" spans="1:5" x14ac:dyDescent="0.2">
      <c r="A302">
        <v>301</v>
      </c>
      <c r="B302" t="s">
        <v>1449</v>
      </c>
      <c r="C302" t="s">
        <v>116</v>
      </c>
      <c r="D302">
        <v>317</v>
      </c>
      <c r="E302" s="210">
        <v>69.230769230769198</v>
      </c>
    </row>
    <row r="303" spans="1:5" x14ac:dyDescent="0.2">
      <c r="A303">
        <v>302</v>
      </c>
      <c r="B303" t="s">
        <v>2896</v>
      </c>
      <c r="C303" t="s">
        <v>1356</v>
      </c>
      <c r="D303">
        <v>78</v>
      </c>
      <c r="E303" s="210">
        <v>42.857142857142797</v>
      </c>
    </row>
    <row r="304" spans="1:5" x14ac:dyDescent="0.2">
      <c r="A304">
        <v>303</v>
      </c>
      <c r="B304" t="s">
        <v>2894</v>
      </c>
      <c r="C304" t="s">
        <v>2428</v>
      </c>
      <c r="D304">
        <v>401</v>
      </c>
      <c r="E304" s="210">
        <v>71.428571428571402</v>
      </c>
    </row>
    <row r="305" spans="1:5" x14ac:dyDescent="0.2">
      <c r="A305">
        <v>304</v>
      </c>
      <c r="B305" t="s">
        <v>911</v>
      </c>
      <c r="C305" t="s">
        <v>911</v>
      </c>
      <c r="D305">
        <v>164</v>
      </c>
      <c r="E305" s="210">
        <v>100</v>
      </c>
    </row>
    <row r="306" spans="1:5" x14ac:dyDescent="0.2">
      <c r="A306">
        <v>305</v>
      </c>
      <c r="B306" t="s">
        <v>912</v>
      </c>
      <c r="C306" t="s">
        <v>3599</v>
      </c>
      <c r="D306">
        <v>318</v>
      </c>
      <c r="E306" s="210">
        <v>100</v>
      </c>
    </row>
    <row r="307" spans="1:5" x14ac:dyDescent="0.2">
      <c r="A307">
        <v>306</v>
      </c>
      <c r="B307" t="s">
        <v>2890</v>
      </c>
      <c r="C307" t="s">
        <v>3600</v>
      </c>
      <c r="D307">
        <v>144</v>
      </c>
      <c r="E307" s="210">
        <v>89.655172413793096</v>
      </c>
    </row>
    <row r="308" spans="1:5" x14ac:dyDescent="0.2">
      <c r="A308">
        <v>307</v>
      </c>
      <c r="B308" t="s">
        <v>2888</v>
      </c>
      <c r="C308" t="s">
        <v>3601</v>
      </c>
      <c r="D308">
        <v>77</v>
      </c>
      <c r="E308" s="210">
        <v>84.210526315789394</v>
      </c>
    </row>
    <row r="309" spans="1:5" x14ac:dyDescent="0.2">
      <c r="A309">
        <v>308</v>
      </c>
      <c r="B309" t="s">
        <v>2886</v>
      </c>
      <c r="C309" t="s">
        <v>3602</v>
      </c>
      <c r="D309">
        <v>54</v>
      </c>
      <c r="E309" s="210">
        <v>74.418604651162795</v>
      </c>
    </row>
    <row r="310" spans="1:5" x14ac:dyDescent="0.2">
      <c r="A310">
        <v>309</v>
      </c>
      <c r="B310" t="s">
        <v>119</v>
      </c>
      <c r="C310" t="s">
        <v>2955</v>
      </c>
      <c r="D310">
        <v>189</v>
      </c>
      <c r="E310" s="210">
        <v>66.6666666666666</v>
      </c>
    </row>
    <row r="311" spans="1:5" x14ac:dyDescent="0.2">
      <c r="A311">
        <v>310</v>
      </c>
      <c r="B311" t="s">
        <v>2883</v>
      </c>
      <c r="C311" t="s">
        <v>3603</v>
      </c>
      <c r="D311">
        <v>584</v>
      </c>
      <c r="E311" s="210">
        <v>83.3333333333333</v>
      </c>
    </row>
    <row r="312" spans="1:5" x14ac:dyDescent="0.2">
      <c r="A312">
        <v>311</v>
      </c>
      <c r="B312" t="s">
        <v>2881</v>
      </c>
      <c r="C312" t="s">
        <v>2881</v>
      </c>
      <c r="D312">
        <v>23</v>
      </c>
      <c r="E312" s="210">
        <v>100</v>
      </c>
    </row>
    <row r="313" spans="1:5" x14ac:dyDescent="0.2">
      <c r="A313">
        <v>312</v>
      </c>
      <c r="B313" t="s">
        <v>2879</v>
      </c>
      <c r="C313" t="s">
        <v>3604</v>
      </c>
      <c r="D313">
        <v>31</v>
      </c>
      <c r="E313" s="210">
        <v>75</v>
      </c>
    </row>
    <row r="314" spans="1:5" x14ac:dyDescent="0.2">
      <c r="A314">
        <v>313</v>
      </c>
      <c r="B314" t="s">
        <v>2877</v>
      </c>
      <c r="C314" t="s">
        <v>3605</v>
      </c>
      <c r="D314">
        <v>632</v>
      </c>
      <c r="E314" s="210">
        <v>63.157894736842103</v>
      </c>
    </row>
    <row r="315" spans="1:5" x14ac:dyDescent="0.2">
      <c r="A315">
        <v>314</v>
      </c>
      <c r="B315" t="s">
        <v>2875</v>
      </c>
      <c r="C315" t="s">
        <v>3152</v>
      </c>
      <c r="D315">
        <v>427</v>
      </c>
      <c r="E315" s="210">
        <v>69.565217391304301</v>
      </c>
    </row>
    <row r="316" spans="1:5" x14ac:dyDescent="0.2">
      <c r="A316">
        <v>315</v>
      </c>
      <c r="B316" t="s">
        <v>2873</v>
      </c>
      <c r="C316" t="s">
        <v>3606</v>
      </c>
      <c r="D316">
        <v>68</v>
      </c>
      <c r="E316" s="210">
        <v>84.210526315789394</v>
      </c>
    </row>
    <row r="317" spans="1:5" x14ac:dyDescent="0.2">
      <c r="A317">
        <v>316</v>
      </c>
      <c r="B317" t="s">
        <v>2871</v>
      </c>
      <c r="C317" t="s">
        <v>3607</v>
      </c>
      <c r="D317">
        <v>243</v>
      </c>
      <c r="E317" s="210">
        <v>85.714285714285694</v>
      </c>
    </row>
    <row r="318" spans="1:5" x14ac:dyDescent="0.2">
      <c r="A318">
        <v>317</v>
      </c>
      <c r="B318" t="s">
        <v>2869</v>
      </c>
      <c r="C318" t="s">
        <v>3897</v>
      </c>
      <c r="D318">
        <v>252</v>
      </c>
      <c r="E318" s="210">
        <v>50</v>
      </c>
    </row>
    <row r="319" spans="1:5" x14ac:dyDescent="0.2">
      <c r="A319">
        <v>318</v>
      </c>
      <c r="B319" t="s">
        <v>2867</v>
      </c>
      <c r="C319" t="s">
        <v>3608</v>
      </c>
      <c r="D319">
        <v>66</v>
      </c>
      <c r="E319" s="210">
        <v>61.538461538461497</v>
      </c>
    </row>
    <row r="320" spans="1:5" x14ac:dyDescent="0.2">
      <c r="A320">
        <v>319</v>
      </c>
      <c r="B320" t="s">
        <v>1344</v>
      </c>
      <c r="C320" t="s">
        <v>3609</v>
      </c>
      <c r="D320">
        <v>285</v>
      </c>
      <c r="E320" s="210">
        <v>64</v>
      </c>
    </row>
    <row r="321" spans="1:5" x14ac:dyDescent="0.2">
      <c r="A321">
        <v>320</v>
      </c>
      <c r="B321" t="s">
        <v>2864</v>
      </c>
      <c r="C321" t="s">
        <v>3610</v>
      </c>
      <c r="D321">
        <v>360</v>
      </c>
      <c r="E321" s="210">
        <v>73.684210526315795</v>
      </c>
    </row>
    <row r="322" spans="1:5" x14ac:dyDescent="0.2">
      <c r="A322">
        <v>321</v>
      </c>
      <c r="B322" t="s">
        <v>2862</v>
      </c>
      <c r="C322" t="s">
        <v>2130</v>
      </c>
      <c r="D322">
        <v>117</v>
      </c>
      <c r="E322" s="210">
        <v>63.636363636363598</v>
      </c>
    </row>
    <row r="323" spans="1:5" x14ac:dyDescent="0.2">
      <c r="A323">
        <v>322</v>
      </c>
      <c r="B323" t="s">
        <v>2860</v>
      </c>
      <c r="C323" t="s">
        <v>3611</v>
      </c>
      <c r="D323">
        <v>45</v>
      </c>
      <c r="E323" s="210">
        <v>60.869565217391298</v>
      </c>
    </row>
    <row r="324" spans="1:5" x14ac:dyDescent="0.2">
      <c r="A324">
        <v>323</v>
      </c>
      <c r="B324" t="s">
        <v>2858</v>
      </c>
      <c r="C324" t="s">
        <v>3612</v>
      </c>
      <c r="D324">
        <v>25</v>
      </c>
      <c r="E324" s="210">
        <v>66.6666666666666</v>
      </c>
    </row>
    <row r="325" spans="1:5" x14ac:dyDescent="0.2">
      <c r="A325">
        <v>324</v>
      </c>
      <c r="B325" t="s">
        <v>2856</v>
      </c>
      <c r="C325" t="s">
        <v>3613</v>
      </c>
      <c r="D325">
        <v>610</v>
      </c>
      <c r="E325" s="210">
        <v>62.068965517241303</v>
      </c>
    </row>
    <row r="326" spans="1:5" x14ac:dyDescent="0.2">
      <c r="A326">
        <v>325</v>
      </c>
      <c r="B326" t="s">
        <v>2854</v>
      </c>
      <c r="C326" t="s">
        <v>3614</v>
      </c>
      <c r="D326">
        <v>562</v>
      </c>
      <c r="E326" s="210">
        <v>64.516129032257993</v>
      </c>
    </row>
    <row r="327" spans="1:5" x14ac:dyDescent="0.2">
      <c r="A327">
        <v>326</v>
      </c>
      <c r="B327" t="s">
        <v>2852</v>
      </c>
      <c r="C327" t="s">
        <v>3635</v>
      </c>
      <c r="D327">
        <v>626</v>
      </c>
      <c r="E327" s="210">
        <v>53.846153846153797</v>
      </c>
    </row>
    <row r="328" spans="1:5" x14ac:dyDescent="0.2">
      <c r="A328">
        <v>327</v>
      </c>
      <c r="B328" t="s">
        <v>2850</v>
      </c>
      <c r="C328" t="s">
        <v>3871</v>
      </c>
      <c r="D328">
        <v>464</v>
      </c>
      <c r="E328" s="210">
        <v>47.619047619047599</v>
      </c>
    </row>
    <row r="329" spans="1:5" x14ac:dyDescent="0.2">
      <c r="A329">
        <v>328</v>
      </c>
      <c r="B329" t="s">
        <v>2848</v>
      </c>
      <c r="C329" t="s">
        <v>2380</v>
      </c>
      <c r="D329">
        <v>392</v>
      </c>
      <c r="E329" s="210">
        <v>57.894736842105203</v>
      </c>
    </row>
    <row r="330" spans="1:5" x14ac:dyDescent="0.2">
      <c r="A330">
        <v>329</v>
      </c>
      <c r="B330" t="s">
        <v>2846</v>
      </c>
      <c r="C330" t="s">
        <v>3558</v>
      </c>
      <c r="D330">
        <v>422</v>
      </c>
      <c r="E330" s="210">
        <v>83.3333333333333</v>
      </c>
    </row>
    <row r="331" spans="1:5" x14ac:dyDescent="0.2">
      <c r="A331">
        <v>330</v>
      </c>
      <c r="B331" t="s">
        <v>2844</v>
      </c>
      <c r="C331" t="s">
        <v>3615</v>
      </c>
      <c r="D331">
        <v>234</v>
      </c>
      <c r="E331" s="210">
        <v>77.7777777777777</v>
      </c>
    </row>
    <row r="332" spans="1:5" x14ac:dyDescent="0.2">
      <c r="A332">
        <v>331</v>
      </c>
      <c r="B332" t="s">
        <v>2842</v>
      </c>
      <c r="C332" t="s">
        <v>3600</v>
      </c>
      <c r="D332">
        <v>144</v>
      </c>
      <c r="E332" s="210">
        <v>30.769230769230699</v>
      </c>
    </row>
    <row r="333" spans="1:5" x14ac:dyDescent="0.2">
      <c r="A333">
        <v>332</v>
      </c>
      <c r="B333" t="s">
        <v>2840</v>
      </c>
      <c r="C333" t="s">
        <v>3599</v>
      </c>
      <c r="D333">
        <v>318</v>
      </c>
      <c r="E333" s="210">
        <v>51.428571428571402</v>
      </c>
    </row>
    <row r="334" spans="1:5" x14ac:dyDescent="0.2">
      <c r="A334">
        <v>333</v>
      </c>
      <c r="B334" t="s">
        <v>2838</v>
      </c>
      <c r="C334" t="s">
        <v>3616</v>
      </c>
      <c r="D334">
        <v>435</v>
      </c>
      <c r="E334" s="210">
        <v>70.967741935483801</v>
      </c>
    </row>
    <row r="335" spans="1:5" x14ac:dyDescent="0.2">
      <c r="A335">
        <v>334</v>
      </c>
      <c r="B335" t="s">
        <v>2836</v>
      </c>
      <c r="C335" t="s">
        <v>3616</v>
      </c>
      <c r="D335">
        <v>435</v>
      </c>
      <c r="E335" s="210">
        <v>78.787878787878697</v>
      </c>
    </row>
    <row r="336" spans="1:5" x14ac:dyDescent="0.2">
      <c r="A336">
        <v>335</v>
      </c>
      <c r="B336" t="s">
        <v>2834</v>
      </c>
      <c r="C336" t="s">
        <v>3616</v>
      </c>
      <c r="D336">
        <v>435</v>
      </c>
      <c r="E336" s="210">
        <v>78.787878787878697</v>
      </c>
    </row>
    <row r="337" spans="1:5" x14ac:dyDescent="0.2">
      <c r="A337">
        <v>336</v>
      </c>
      <c r="B337" t="s">
        <v>2832</v>
      </c>
      <c r="C337" t="s">
        <v>3617</v>
      </c>
      <c r="D337">
        <v>148</v>
      </c>
      <c r="E337" s="210">
        <v>81.481481481481495</v>
      </c>
    </row>
    <row r="338" spans="1:5" x14ac:dyDescent="0.2">
      <c r="A338">
        <v>337</v>
      </c>
      <c r="B338" t="s">
        <v>133</v>
      </c>
      <c r="C338" t="s">
        <v>133</v>
      </c>
      <c r="D338">
        <v>560</v>
      </c>
      <c r="E338" s="210">
        <v>100</v>
      </c>
    </row>
    <row r="339" spans="1:5" x14ac:dyDescent="0.2">
      <c r="A339">
        <v>338</v>
      </c>
      <c r="B339" t="s">
        <v>387</v>
      </c>
      <c r="C339" t="s">
        <v>387</v>
      </c>
      <c r="D339">
        <v>385</v>
      </c>
      <c r="E339" s="210">
        <v>100</v>
      </c>
    </row>
    <row r="340" spans="1:5" x14ac:dyDescent="0.2">
      <c r="A340">
        <v>339</v>
      </c>
      <c r="B340" t="s">
        <v>2828</v>
      </c>
      <c r="C340" t="s">
        <v>3618</v>
      </c>
      <c r="D340">
        <v>388</v>
      </c>
      <c r="E340" s="210">
        <v>65</v>
      </c>
    </row>
    <row r="341" spans="1:5" x14ac:dyDescent="0.2">
      <c r="A341">
        <v>340</v>
      </c>
      <c r="B341" t="s">
        <v>1335</v>
      </c>
      <c r="C341" t="s">
        <v>3619</v>
      </c>
      <c r="D341">
        <v>184</v>
      </c>
      <c r="E341" s="210">
        <v>60.869565217391298</v>
      </c>
    </row>
    <row r="342" spans="1:5" x14ac:dyDescent="0.2">
      <c r="A342">
        <v>341</v>
      </c>
      <c r="B342" t="s">
        <v>2825</v>
      </c>
      <c r="C342" t="s">
        <v>3239</v>
      </c>
      <c r="D342">
        <v>36</v>
      </c>
      <c r="E342" s="210">
        <v>52.173913043478201</v>
      </c>
    </row>
    <row r="343" spans="1:5" x14ac:dyDescent="0.2">
      <c r="A343">
        <v>342</v>
      </c>
      <c r="B343" t="s">
        <v>2823</v>
      </c>
      <c r="C343" t="s">
        <v>3620</v>
      </c>
      <c r="D343">
        <v>609</v>
      </c>
      <c r="E343" s="210">
        <v>80</v>
      </c>
    </row>
    <row r="344" spans="1:5" x14ac:dyDescent="0.2">
      <c r="A344">
        <v>343</v>
      </c>
      <c r="B344" t="s">
        <v>283</v>
      </c>
      <c r="C344" t="s">
        <v>3168</v>
      </c>
      <c r="D344">
        <v>528</v>
      </c>
      <c r="E344" s="210">
        <v>37.5</v>
      </c>
    </row>
    <row r="345" spans="1:5" x14ac:dyDescent="0.2">
      <c r="A345">
        <v>344</v>
      </c>
      <c r="B345" t="s">
        <v>2820</v>
      </c>
      <c r="C345" t="s">
        <v>3898</v>
      </c>
      <c r="D345">
        <v>41</v>
      </c>
      <c r="E345" s="210">
        <v>57.142857142857103</v>
      </c>
    </row>
    <row r="346" spans="1:5" x14ac:dyDescent="0.2">
      <c r="A346">
        <v>345</v>
      </c>
      <c r="B346" t="s">
        <v>2818</v>
      </c>
      <c r="C346" t="s">
        <v>918</v>
      </c>
      <c r="D346">
        <v>160</v>
      </c>
      <c r="E346" s="210">
        <v>70.588235294117595</v>
      </c>
    </row>
    <row r="347" spans="1:5" x14ac:dyDescent="0.2">
      <c r="A347">
        <v>346</v>
      </c>
      <c r="B347" t="s">
        <v>2816</v>
      </c>
      <c r="C347" t="s">
        <v>2816</v>
      </c>
      <c r="D347">
        <v>146</v>
      </c>
      <c r="E347" s="210">
        <v>100</v>
      </c>
    </row>
    <row r="348" spans="1:5" x14ac:dyDescent="0.2">
      <c r="A348">
        <v>347</v>
      </c>
      <c r="B348" t="s">
        <v>2814</v>
      </c>
      <c r="C348" t="s">
        <v>3621</v>
      </c>
      <c r="D348">
        <v>531</v>
      </c>
      <c r="E348" s="210">
        <v>90.909090909090907</v>
      </c>
    </row>
    <row r="349" spans="1:5" x14ac:dyDescent="0.2">
      <c r="A349">
        <v>348</v>
      </c>
      <c r="B349" t="s">
        <v>2812</v>
      </c>
      <c r="C349" t="s">
        <v>3622</v>
      </c>
      <c r="D349">
        <v>544</v>
      </c>
      <c r="E349" s="210">
        <v>70</v>
      </c>
    </row>
    <row r="350" spans="1:5" x14ac:dyDescent="0.2">
      <c r="A350">
        <v>349</v>
      </c>
      <c r="B350" t="s">
        <v>2810</v>
      </c>
      <c r="C350" t="s">
        <v>3623</v>
      </c>
      <c r="D350">
        <v>269</v>
      </c>
      <c r="E350" s="210">
        <v>100</v>
      </c>
    </row>
    <row r="351" spans="1:5" x14ac:dyDescent="0.2">
      <c r="A351">
        <v>350</v>
      </c>
      <c r="B351" t="s">
        <v>2808</v>
      </c>
      <c r="C351" t="s">
        <v>3624</v>
      </c>
      <c r="D351">
        <v>324</v>
      </c>
      <c r="E351" s="210">
        <v>100</v>
      </c>
    </row>
    <row r="352" spans="1:5" x14ac:dyDescent="0.2">
      <c r="A352">
        <v>351</v>
      </c>
      <c r="B352" t="s">
        <v>2806</v>
      </c>
      <c r="C352" t="s">
        <v>3625</v>
      </c>
      <c r="D352">
        <v>510</v>
      </c>
      <c r="E352" s="210">
        <v>100</v>
      </c>
    </row>
    <row r="353" spans="1:5" x14ac:dyDescent="0.2">
      <c r="A353">
        <v>352</v>
      </c>
      <c r="B353" t="s">
        <v>2804</v>
      </c>
      <c r="C353" t="s">
        <v>3625</v>
      </c>
      <c r="D353">
        <v>510</v>
      </c>
      <c r="E353" s="210">
        <v>80</v>
      </c>
    </row>
    <row r="354" spans="1:5" x14ac:dyDescent="0.2">
      <c r="A354">
        <v>353</v>
      </c>
      <c r="B354" t="s">
        <v>2802</v>
      </c>
      <c r="C354" t="s">
        <v>3626</v>
      </c>
      <c r="D354">
        <v>223</v>
      </c>
      <c r="E354" s="210">
        <v>66.6666666666666</v>
      </c>
    </row>
    <row r="355" spans="1:5" x14ac:dyDescent="0.2">
      <c r="A355">
        <v>354</v>
      </c>
      <c r="B355" t="s">
        <v>2802</v>
      </c>
      <c r="C355" t="s">
        <v>3626</v>
      </c>
      <c r="D355">
        <v>223</v>
      </c>
      <c r="E355" s="210">
        <v>66.6666666666666</v>
      </c>
    </row>
    <row r="356" spans="1:5" x14ac:dyDescent="0.2">
      <c r="A356">
        <v>355</v>
      </c>
      <c r="B356" t="s">
        <v>2800</v>
      </c>
      <c r="C356" t="s">
        <v>3627</v>
      </c>
      <c r="D356">
        <v>567</v>
      </c>
      <c r="E356" s="210">
        <v>72.727272727272705</v>
      </c>
    </row>
    <row r="357" spans="1:5" x14ac:dyDescent="0.2">
      <c r="A357">
        <v>356</v>
      </c>
      <c r="B357" t="s">
        <v>2798</v>
      </c>
      <c r="C357" t="s">
        <v>3899</v>
      </c>
      <c r="D357">
        <v>499</v>
      </c>
      <c r="E357" s="210">
        <v>44.4444444444444</v>
      </c>
    </row>
    <row r="358" spans="1:5" x14ac:dyDescent="0.2">
      <c r="A358">
        <v>357</v>
      </c>
      <c r="B358" t="s">
        <v>2796</v>
      </c>
      <c r="C358" t="s">
        <v>3899</v>
      </c>
      <c r="D358">
        <v>499</v>
      </c>
      <c r="E358" s="210">
        <v>57.142857142857103</v>
      </c>
    </row>
    <row r="359" spans="1:5" x14ac:dyDescent="0.2">
      <c r="A359">
        <v>358</v>
      </c>
      <c r="B359" t="s">
        <v>2793</v>
      </c>
      <c r="C359" t="s">
        <v>3900</v>
      </c>
      <c r="D359">
        <v>373</v>
      </c>
      <c r="E359" s="210">
        <v>57.142857142857103</v>
      </c>
    </row>
    <row r="360" spans="1:5" x14ac:dyDescent="0.2">
      <c r="A360">
        <v>359</v>
      </c>
      <c r="B360" t="s">
        <v>2793</v>
      </c>
      <c r="C360" t="s">
        <v>3900</v>
      </c>
      <c r="D360">
        <v>373</v>
      </c>
      <c r="E360" s="210">
        <v>57.142857142857103</v>
      </c>
    </row>
    <row r="361" spans="1:5" x14ac:dyDescent="0.2">
      <c r="A361">
        <v>360</v>
      </c>
      <c r="B361" t="s">
        <v>2791</v>
      </c>
      <c r="C361" t="s">
        <v>3570</v>
      </c>
      <c r="D361">
        <v>607</v>
      </c>
      <c r="E361" s="210">
        <v>66.6666666666666</v>
      </c>
    </row>
    <row r="362" spans="1:5" x14ac:dyDescent="0.2">
      <c r="A362">
        <v>361</v>
      </c>
      <c r="B362" t="s">
        <v>138</v>
      </c>
      <c r="C362" t="s">
        <v>138</v>
      </c>
      <c r="D362">
        <v>535</v>
      </c>
      <c r="E362" s="210">
        <v>100</v>
      </c>
    </row>
    <row r="363" spans="1:5" x14ac:dyDescent="0.2">
      <c r="A363">
        <v>362</v>
      </c>
      <c r="B363" t="s">
        <v>915</v>
      </c>
      <c r="C363" t="s">
        <v>3628</v>
      </c>
      <c r="D363">
        <v>384</v>
      </c>
      <c r="E363" s="210">
        <v>100</v>
      </c>
    </row>
    <row r="364" spans="1:5" x14ac:dyDescent="0.2">
      <c r="A364">
        <v>363</v>
      </c>
      <c r="B364" t="s">
        <v>916</v>
      </c>
      <c r="C364" t="s">
        <v>3629</v>
      </c>
      <c r="D364">
        <v>393</v>
      </c>
      <c r="E364" s="210">
        <v>100</v>
      </c>
    </row>
    <row r="365" spans="1:5" x14ac:dyDescent="0.2">
      <c r="A365">
        <v>364</v>
      </c>
      <c r="B365" t="s">
        <v>2786</v>
      </c>
      <c r="C365" t="s">
        <v>2519</v>
      </c>
      <c r="D365">
        <v>293</v>
      </c>
      <c r="E365" s="210">
        <v>62.5</v>
      </c>
    </row>
    <row r="366" spans="1:5" x14ac:dyDescent="0.2">
      <c r="A366">
        <v>365</v>
      </c>
      <c r="B366" t="s">
        <v>2784</v>
      </c>
      <c r="C366" t="s">
        <v>1775</v>
      </c>
      <c r="D366">
        <v>545</v>
      </c>
      <c r="E366" s="210">
        <v>56.25</v>
      </c>
    </row>
    <row r="367" spans="1:5" x14ac:dyDescent="0.2">
      <c r="A367">
        <v>366</v>
      </c>
      <c r="B367" t="s">
        <v>2782</v>
      </c>
      <c r="C367" t="s">
        <v>357</v>
      </c>
      <c r="D367">
        <v>623</v>
      </c>
      <c r="E367" s="210">
        <v>50</v>
      </c>
    </row>
    <row r="368" spans="1:5" x14ac:dyDescent="0.2">
      <c r="A368">
        <v>367</v>
      </c>
      <c r="B368" t="s">
        <v>2780</v>
      </c>
      <c r="C368" t="s">
        <v>3630</v>
      </c>
      <c r="D368">
        <v>10</v>
      </c>
      <c r="E368" s="210">
        <v>48.484848484848399</v>
      </c>
    </row>
    <row r="369" spans="1:5" x14ac:dyDescent="0.2">
      <c r="A369">
        <v>368</v>
      </c>
      <c r="B369" t="s">
        <v>2778</v>
      </c>
      <c r="C369" t="s">
        <v>3630</v>
      </c>
      <c r="D369">
        <v>10</v>
      </c>
      <c r="E369" s="210">
        <v>70.967741935483801</v>
      </c>
    </row>
    <row r="370" spans="1:5" x14ac:dyDescent="0.2">
      <c r="A370">
        <v>369</v>
      </c>
      <c r="B370" t="s">
        <v>2776</v>
      </c>
      <c r="C370" t="s">
        <v>3630</v>
      </c>
      <c r="D370">
        <v>10</v>
      </c>
      <c r="E370" s="210">
        <v>75</v>
      </c>
    </row>
    <row r="371" spans="1:5" x14ac:dyDescent="0.2">
      <c r="A371">
        <v>370</v>
      </c>
      <c r="B371" t="s">
        <v>2774</v>
      </c>
      <c r="C371" t="s">
        <v>3631</v>
      </c>
      <c r="D371">
        <v>582</v>
      </c>
      <c r="E371" s="210">
        <v>66.6666666666666</v>
      </c>
    </row>
    <row r="372" spans="1:5" x14ac:dyDescent="0.2">
      <c r="A372">
        <v>371</v>
      </c>
      <c r="B372" t="s">
        <v>2772</v>
      </c>
      <c r="C372" t="s">
        <v>3632</v>
      </c>
      <c r="D372">
        <v>566</v>
      </c>
      <c r="E372" s="210">
        <v>80</v>
      </c>
    </row>
    <row r="373" spans="1:5" x14ac:dyDescent="0.2">
      <c r="A373">
        <v>372</v>
      </c>
      <c r="B373" t="s">
        <v>2770</v>
      </c>
      <c r="C373" t="s">
        <v>3632</v>
      </c>
      <c r="D373">
        <v>566</v>
      </c>
      <c r="E373" s="210">
        <v>86.6666666666666</v>
      </c>
    </row>
    <row r="374" spans="1:5" x14ac:dyDescent="0.2">
      <c r="A374">
        <v>373</v>
      </c>
      <c r="B374" t="s">
        <v>2768</v>
      </c>
      <c r="C374" t="s">
        <v>3633</v>
      </c>
      <c r="D374">
        <v>595</v>
      </c>
      <c r="E374" s="210">
        <v>86.6666666666666</v>
      </c>
    </row>
    <row r="375" spans="1:5" x14ac:dyDescent="0.2">
      <c r="A375">
        <v>374</v>
      </c>
      <c r="B375" t="s">
        <v>2766</v>
      </c>
      <c r="C375" t="s">
        <v>3634</v>
      </c>
      <c r="D375">
        <v>660</v>
      </c>
      <c r="E375" s="210">
        <v>87.5</v>
      </c>
    </row>
    <row r="376" spans="1:5" x14ac:dyDescent="0.2">
      <c r="A376">
        <v>375</v>
      </c>
      <c r="B376" t="s">
        <v>2764</v>
      </c>
      <c r="C376" t="s">
        <v>3635</v>
      </c>
      <c r="D376">
        <v>626</v>
      </c>
      <c r="E376" s="210">
        <v>87.5</v>
      </c>
    </row>
    <row r="377" spans="1:5" x14ac:dyDescent="0.2">
      <c r="A377">
        <v>376</v>
      </c>
      <c r="B377" t="s">
        <v>2762</v>
      </c>
      <c r="C377" t="s">
        <v>3636</v>
      </c>
      <c r="D377">
        <v>413</v>
      </c>
      <c r="E377" s="210">
        <v>66.6666666666666</v>
      </c>
    </row>
    <row r="378" spans="1:5" x14ac:dyDescent="0.2">
      <c r="A378">
        <v>377</v>
      </c>
      <c r="B378" t="s">
        <v>2760</v>
      </c>
      <c r="C378" t="s">
        <v>2410</v>
      </c>
      <c r="D378">
        <v>640</v>
      </c>
      <c r="E378" s="210">
        <v>69.565217391304301</v>
      </c>
    </row>
    <row r="379" spans="1:5" x14ac:dyDescent="0.2">
      <c r="A379">
        <v>378</v>
      </c>
      <c r="B379" t="s">
        <v>2758</v>
      </c>
      <c r="C379" t="s">
        <v>3639</v>
      </c>
      <c r="D379">
        <v>389</v>
      </c>
      <c r="E379" s="210">
        <v>44.4444444444444</v>
      </c>
    </row>
    <row r="380" spans="1:5" x14ac:dyDescent="0.2">
      <c r="A380">
        <v>379</v>
      </c>
      <c r="B380" t="s">
        <v>3637</v>
      </c>
      <c r="C380" t="s">
        <v>3639</v>
      </c>
      <c r="D380">
        <v>389</v>
      </c>
      <c r="E380" s="210">
        <v>44.4444444444444</v>
      </c>
    </row>
    <row r="381" spans="1:5" x14ac:dyDescent="0.2">
      <c r="A381">
        <v>380</v>
      </c>
      <c r="B381" t="s">
        <v>2755</v>
      </c>
      <c r="C381" t="s">
        <v>3638</v>
      </c>
      <c r="D381">
        <v>53</v>
      </c>
      <c r="E381" s="210">
        <v>81.818181818181799</v>
      </c>
    </row>
    <row r="382" spans="1:5" x14ac:dyDescent="0.2">
      <c r="A382">
        <v>381</v>
      </c>
      <c r="B382" t="s">
        <v>2753</v>
      </c>
      <c r="C382" t="s">
        <v>3639</v>
      </c>
      <c r="D382">
        <v>389</v>
      </c>
      <c r="E382" s="210">
        <v>72</v>
      </c>
    </row>
    <row r="383" spans="1:5" x14ac:dyDescent="0.2">
      <c r="A383">
        <v>382</v>
      </c>
      <c r="B383" t="s">
        <v>2751</v>
      </c>
      <c r="C383" t="s">
        <v>3640</v>
      </c>
      <c r="D383">
        <v>410</v>
      </c>
      <c r="E383" s="210">
        <v>80</v>
      </c>
    </row>
    <row r="384" spans="1:5" x14ac:dyDescent="0.2">
      <c r="A384">
        <v>383</v>
      </c>
      <c r="B384" t="s">
        <v>2749</v>
      </c>
      <c r="C384" t="s">
        <v>3541</v>
      </c>
      <c r="D384">
        <v>232</v>
      </c>
      <c r="E384" s="210">
        <v>63.636363636363598</v>
      </c>
    </row>
    <row r="385" spans="1:5" x14ac:dyDescent="0.2">
      <c r="A385">
        <v>384</v>
      </c>
      <c r="B385" t="s">
        <v>2747</v>
      </c>
      <c r="C385" t="s">
        <v>2747</v>
      </c>
      <c r="D385">
        <v>30</v>
      </c>
      <c r="E385" s="210">
        <v>100</v>
      </c>
    </row>
    <row r="386" spans="1:5" x14ac:dyDescent="0.2">
      <c r="A386">
        <v>385</v>
      </c>
      <c r="B386" t="s">
        <v>2745</v>
      </c>
      <c r="C386" t="s">
        <v>3869</v>
      </c>
      <c r="D386">
        <v>272</v>
      </c>
      <c r="E386" s="210">
        <v>47.619047619047599</v>
      </c>
    </row>
    <row r="387" spans="1:5" x14ac:dyDescent="0.2">
      <c r="A387">
        <v>386</v>
      </c>
      <c r="B387" t="s">
        <v>992</v>
      </c>
      <c r="C387" t="s">
        <v>3641</v>
      </c>
      <c r="D387">
        <v>200</v>
      </c>
      <c r="E387" s="210">
        <v>69.230769230769198</v>
      </c>
    </row>
    <row r="388" spans="1:5" x14ac:dyDescent="0.2">
      <c r="A388">
        <v>387</v>
      </c>
      <c r="B388" t="s">
        <v>2742</v>
      </c>
      <c r="C388" t="s">
        <v>3642</v>
      </c>
      <c r="D388">
        <v>371</v>
      </c>
      <c r="E388" s="210">
        <v>66.6666666666666</v>
      </c>
    </row>
    <row r="389" spans="1:5" x14ac:dyDescent="0.2">
      <c r="A389">
        <v>388</v>
      </c>
      <c r="B389" t="s">
        <v>2740</v>
      </c>
      <c r="C389" t="s">
        <v>3643</v>
      </c>
      <c r="D389">
        <v>439</v>
      </c>
      <c r="E389" s="210">
        <v>96.774193548387103</v>
      </c>
    </row>
    <row r="390" spans="1:5" x14ac:dyDescent="0.2">
      <c r="A390">
        <v>389</v>
      </c>
      <c r="B390" t="s">
        <v>2738</v>
      </c>
      <c r="C390" t="s">
        <v>3643</v>
      </c>
      <c r="D390">
        <v>439</v>
      </c>
      <c r="E390" s="210">
        <v>46.6666666666666</v>
      </c>
    </row>
    <row r="391" spans="1:5" x14ac:dyDescent="0.2">
      <c r="A391">
        <v>390</v>
      </c>
      <c r="B391" t="s">
        <v>2736</v>
      </c>
      <c r="C391" t="s">
        <v>3643</v>
      </c>
      <c r="D391">
        <v>439</v>
      </c>
      <c r="E391" s="210">
        <v>75</v>
      </c>
    </row>
    <row r="392" spans="1:5" x14ac:dyDescent="0.2">
      <c r="A392">
        <v>391</v>
      </c>
      <c r="B392" t="s">
        <v>2734</v>
      </c>
      <c r="C392" t="s">
        <v>2734</v>
      </c>
      <c r="D392">
        <v>280</v>
      </c>
      <c r="E392" s="210">
        <v>100</v>
      </c>
    </row>
    <row r="393" spans="1:5" x14ac:dyDescent="0.2">
      <c r="A393">
        <v>392</v>
      </c>
      <c r="B393" t="s">
        <v>2732</v>
      </c>
      <c r="C393" t="s">
        <v>3644</v>
      </c>
      <c r="D393">
        <v>655</v>
      </c>
      <c r="E393" s="210">
        <v>61.538461538461497</v>
      </c>
    </row>
    <row r="394" spans="1:5" x14ac:dyDescent="0.2">
      <c r="A394">
        <v>393</v>
      </c>
      <c r="B394" t="s">
        <v>2730</v>
      </c>
      <c r="C394" t="s">
        <v>2630</v>
      </c>
      <c r="D394">
        <v>339</v>
      </c>
      <c r="E394" s="210">
        <v>76.190476190476105</v>
      </c>
    </row>
    <row r="395" spans="1:5" x14ac:dyDescent="0.2">
      <c r="A395">
        <v>394</v>
      </c>
      <c r="B395" t="s">
        <v>2728</v>
      </c>
      <c r="C395" t="s">
        <v>3901</v>
      </c>
      <c r="D395">
        <v>358</v>
      </c>
      <c r="E395" s="210">
        <v>53.846153846153797</v>
      </c>
    </row>
    <row r="396" spans="1:5" x14ac:dyDescent="0.2">
      <c r="A396">
        <v>395</v>
      </c>
      <c r="B396" t="s">
        <v>2726</v>
      </c>
      <c r="C396" t="s">
        <v>918</v>
      </c>
      <c r="D396">
        <v>160</v>
      </c>
      <c r="E396" s="210">
        <v>64.516129032257993</v>
      </c>
    </row>
    <row r="397" spans="1:5" x14ac:dyDescent="0.2">
      <c r="A397">
        <v>396</v>
      </c>
      <c r="B397" t="s">
        <v>2724</v>
      </c>
      <c r="C397" t="s">
        <v>918</v>
      </c>
      <c r="D397">
        <v>160</v>
      </c>
      <c r="E397" s="210">
        <v>64.516129032257993</v>
      </c>
    </row>
    <row r="398" spans="1:5" x14ac:dyDescent="0.2">
      <c r="A398">
        <v>397</v>
      </c>
      <c r="B398" t="s">
        <v>2722</v>
      </c>
      <c r="C398" t="s">
        <v>3124</v>
      </c>
      <c r="D398">
        <v>474</v>
      </c>
      <c r="E398" s="210">
        <v>70.967741935483801</v>
      </c>
    </row>
    <row r="399" spans="1:5" x14ac:dyDescent="0.2">
      <c r="A399">
        <v>398</v>
      </c>
      <c r="B399" t="s">
        <v>2720</v>
      </c>
      <c r="C399" t="s">
        <v>3623</v>
      </c>
      <c r="D399">
        <v>269</v>
      </c>
      <c r="E399" s="210">
        <v>75</v>
      </c>
    </row>
    <row r="400" spans="1:5" x14ac:dyDescent="0.2">
      <c r="A400">
        <v>399</v>
      </c>
      <c r="B400" t="s">
        <v>2718</v>
      </c>
      <c r="C400" t="s">
        <v>3645</v>
      </c>
      <c r="D400">
        <v>394</v>
      </c>
      <c r="E400" s="210">
        <v>83.3333333333333</v>
      </c>
    </row>
    <row r="401" spans="1:5" x14ac:dyDescent="0.2">
      <c r="A401">
        <v>400</v>
      </c>
      <c r="B401" t="s">
        <v>918</v>
      </c>
      <c r="C401" t="s">
        <v>918</v>
      </c>
      <c r="D401">
        <v>160</v>
      </c>
      <c r="E401" s="210">
        <v>100</v>
      </c>
    </row>
    <row r="402" spans="1:5" x14ac:dyDescent="0.2">
      <c r="A402">
        <v>401</v>
      </c>
      <c r="B402" t="s">
        <v>2715</v>
      </c>
      <c r="C402" t="s">
        <v>3646</v>
      </c>
      <c r="D402">
        <v>32</v>
      </c>
      <c r="E402" s="210">
        <v>83.3333333333333</v>
      </c>
    </row>
    <row r="403" spans="1:5" x14ac:dyDescent="0.2">
      <c r="A403">
        <v>402</v>
      </c>
      <c r="B403" t="s">
        <v>2713</v>
      </c>
      <c r="C403" t="s">
        <v>2713</v>
      </c>
      <c r="D403">
        <v>667</v>
      </c>
      <c r="E403" s="210">
        <v>100</v>
      </c>
    </row>
    <row r="404" spans="1:5" x14ac:dyDescent="0.2">
      <c r="A404">
        <v>403</v>
      </c>
      <c r="B404" t="s">
        <v>2711</v>
      </c>
      <c r="C404" t="s">
        <v>3647</v>
      </c>
      <c r="D404">
        <v>465</v>
      </c>
      <c r="E404" s="210">
        <v>100</v>
      </c>
    </row>
    <row r="405" spans="1:5" x14ac:dyDescent="0.2">
      <c r="A405">
        <v>404</v>
      </c>
      <c r="B405" t="s">
        <v>2709</v>
      </c>
      <c r="C405" t="s">
        <v>3648</v>
      </c>
      <c r="D405">
        <v>498</v>
      </c>
      <c r="E405" s="210">
        <v>100</v>
      </c>
    </row>
    <row r="406" spans="1:5" x14ac:dyDescent="0.2">
      <c r="A406">
        <v>405</v>
      </c>
      <c r="B406" t="s">
        <v>2707</v>
      </c>
      <c r="C406" t="s">
        <v>3649</v>
      </c>
      <c r="D406">
        <v>426</v>
      </c>
      <c r="E406" s="210">
        <v>87.804878048780495</v>
      </c>
    </row>
    <row r="407" spans="1:5" x14ac:dyDescent="0.2">
      <c r="A407">
        <v>406</v>
      </c>
      <c r="B407" t="s">
        <v>2705</v>
      </c>
      <c r="C407" t="s">
        <v>3650</v>
      </c>
      <c r="D407">
        <v>124</v>
      </c>
      <c r="E407" s="210">
        <v>66.6666666666666</v>
      </c>
    </row>
    <row r="408" spans="1:5" x14ac:dyDescent="0.2">
      <c r="A408">
        <v>407</v>
      </c>
      <c r="B408" t="s">
        <v>2703</v>
      </c>
      <c r="C408" t="s">
        <v>3651</v>
      </c>
      <c r="D408">
        <v>226</v>
      </c>
      <c r="E408" s="210">
        <v>77.7777777777777</v>
      </c>
    </row>
    <row r="409" spans="1:5" x14ac:dyDescent="0.2">
      <c r="A409">
        <v>408</v>
      </c>
      <c r="B409" t="s">
        <v>2703</v>
      </c>
      <c r="C409" t="s">
        <v>3651</v>
      </c>
      <c r="D409">
        <v>226</v>
      </c>
      <c r="E409" s="210">
        <v>77.7777777777777</v>
      </c>
    </row>
    <row r="410" spans="1:5" x14ac:dyDescent="0.2">
      <c r="A410">
        <v>409</v>
      </c>
      <c r="B410" t="s">
        <v>2701</v>
      </c>
      <c r="C410" t="s">
        <v>1989</v>
      </c>
      <c r="D410">
        <v>664</v>
      </c>
      <c r="E410" s="210">
        <v>58.064516129032199</v>
      </c>
    </row>
    <row r="411" spans="1:5" x14ac:dyDescent="0.2">
      <c r="A411">
        <v>410</v>
      </c>
      <c r="B411" t="s">
        <v>945</v>
      </c>
      <c r="C411" t="s">
        <v>3652</v>
      </c>
      <c r="D411">
        <v>147</v>
      </c>
      <c r="E411" s="210">
        <v>87.5</v>
      </c>
    </row>
    <row r="412" spans="1:5" x14ac:dyDescent="0.2">
      <c r="A412">
        <v>411</v>
      </c>
      <c r="B412" t="s">
        <v>2698</v>
      </c>
      <c r="C412" t="s">
        <v>2672</v>
      </c>
      <c r="D412">
        <v>438</v>
      </c>
      <c r="E412" s="210">
        <v>60.869565217391298</v>
      </c>
    </row>
    <row r="413" spans="1:5" x14ac:dyDescent="0.2">
      <c r="A413">
        <v>412</v>
      </c>
      <c r="B413" t="s">
        <v>1345</v>
      </c>
      <c r="C413" t="s">
        <v>1345</v>
      </c>
      <c r="D413">
        <v>84</v>
      </c>
      <c r="E413" s="210">
        <v>100</v>
      </c>
    </row>
    <row r="414" spans="1:5" x14ac:dyDescent="0.2">
      <c r="A414">
        <v>413</v>
      </c>
      <c r="B414" t="s">
        <v>1484</v>
      </c>
      <c r="C414" t="s">
        <v>1484</v>
      </c>
      <c r="D414">
        <v>98</v>
      </c>
      <c r="E414" s="210">
        <v>100</v>
      </c>
    </row>
    <row r="415" spans="1:5" x14ac:dyDescent="0.2">
      <c r="A415">
        <v>414</v>
      </c>
      <c r="B415" t="s">
        <v>2694</v>
      </c>
      <c r="C415" t="s">
        <v>3653</v>
      </c>
      <c r="D415">
        <v>523</v>
      </c>
      <c r="E415" s="210">
        <v>70.967741935483801</v>
      </c>
    </row>
    <row r="416" spans="1:5" x14ac:dyDescent="0.2">
      <c r="A416">
        <v>415</v>
      </c>
      <c r="B416" t="s">
        <v>2692</v>
      </c>
      <c r="C416" t="s">
        <v>2688</v>
      </c>
      <c r="D416">
        <v>592</v>
      </c>
      <c r="E416" s="210">
        <v>90.909090909090907</v>
      </c>
    </row>
    <row r="417" spans="1:5" x14ac:dyDescent="0.2">
      <c r="A417">
        <v>416</v>
      </c>
      <c r="B417" t="s">
        <v>2690</v>
      </c>
      <c r="C417" t="s">
        <v>3654</v>
      </c>
      <c r="D417">
        <v>619</v>
      </c>
      <c r="E417" s="210">
        <v>90.909090909090907</v>
      </c>
    </row>
    <row r="418" spans="1:5" x14ac:dyDescent="0.2">
      <c r="A418">
        <v>417</v>
      </c>
      <c r="B418" t="s">
        <v>2688</v>
      </c>
      <c r="C418" t="s">
        <v>2688</v>
      </c>
      <c r="D418">
        <v>592</v>
      </c>
      <c r="E418" s="210">
        <v>100</v>
      </c>
    </row>
    <row r="419" spans="1:5" x14ac:dyDescent="0.2">
      <c r="A419">
        <v>418</v>
      </c>
      <c r="B419" t="s">
        <v>2686</v>
      </c>
      <c r="C419" t="s">
        <v>2688</v>
      </c>
      <c r="D419">
        <v>592</v>
      </c>
      <c r="E419" s="210">
        <v>91.6666666666666</v>
      </c>
    </row>
    <row r="420" spans="1:5" x14ac:dyDescent="0.2">
      <c r="A420">
        <v>419</v>
      </c>
      <c r="B420" t="s">
        <v>2684</v>
      </c>
      <c r="C420" t="s">
        <v>3655</v>
      </c>
      <c r="D420">
        <v>412</v>
      </c>
      <c r="E420" s="210">
        <v>66.6666666666666</v>
      </c>
    </row>
    <row r="421" spans="1:5" x14ac:dyDescent="0.2">
      <c r="A421">
        <v>420</v>
      </c>
      <c r="B421" t="s">
        <v>2682</v>
      </c>
      <c r="C421" t="s">
        <v>3656</v>
      </c>
      <c r="D421">
        <v>42</v>
      </c>
      <c r="E421" s="210">
        <v>70.588235294117595</v>
      </c>
    </row>
    <row r="422" spans="1:5" x14ac:dyDescent="0.2">
      <c r="A422">
        <v>421</v>
      </c>
      <c r="B422" t="s">
        <v>2680</v>
      </c>
      <c r="C422" t="s">
        <v>3261</v>
      </c>
      <c r="D422">
        <v>654</v>
      </c>
      <c r="E422" s="210">
        <v>59.459459459459403</v>
      </c>
    </row>
    <row r="423" spans="1:5" x14ac:dyDescent="0.2">
      <c r="A423">
        <v>422</v>
      </c>
      <c r="B423" t="s">
        <v>2678</v>
      </c>
      <c r="C423" t="s">
        <v>2932</v>
      </c>
      <c r="D423">
        <v>417</v>
      </c>
      <c r="E423" s="210">
        <v>51.851851851851798</v>
      </c>
    </row>
    <row r="424" spans="1:5" x14ac:dyDescent="0.2">
      <c r="A424">
        <v>423</v>
      </c>
      <c r="B424" t="s">
        <v>2676</v>
      </c>
      <c r="C424" t="s">
        <v>1249</v>
      </c>
      <c r="D424">
        <v>482</v>
      </c>
      <c r="E424" s="210">
        <v>50</v>
      </c>
    </row>
    <row r="425" spans="1:5" x14ac:dyDescent="0.2">
      <c r="A425">
        <v>424</v>
      </c>
      <c r="B425" t="s">
        <v>2674</v>
      </c>
      <c r="C425" t="s">
        <v>3657</v>
      </c>
      <c r="D425">
        <v>214</v>
      </c>
      <c r="E425" s="210">
        <v>60.465116279069697</v>
      </c>
    </row>
    <row r="426" spans="1:5" x14ac:dyDescent="0.2">
      <c r="A426">
        <v>425</v>
      </c>
      <c r="B426" t="s">
        <v>2672</v>
      </c>
      <c r="C426" t="s">
        <v>2672</v>
      </c>
      <c r="D426">
        <v>438</v>
      </c>
      <c r="E426" s="210">
        <v>100</v>
      </c>
    </row>
    <row r="427" spans="1:5" x14ac:dyDescent="0.2">
      <c r="A427">
        <v>426</v>
      </c>
      <c r="B427" t="s">
        <v>2670</v>
      </c>
      <c r="C427" t="s">
        <v>3652</v>
      </c>
      <c r="D427">
        <v>147</v>
      </c>
      <c r="E427" s="210">
        <v>23.529411764705799</v>
      </c>
    </row>
    <row r="428" spans="1:5" x14ac:dyDescent="0.2">
      <c r="A428">
        <v>427</v>
      </c>
      <c r="B428" t="s">
        <v>2668</v>
      </c>
      <c r="C428" t="s">
        <v>1700</v>
      </c>
      <c r="D428">
        <v>559</v>
      </c>
      <c r="E428" s="210">
        <v>35.294117647058798</v>
      </c>
    </row>
    <row r="429" spans="1:5" x14ac:dyDescent="0.2">
      <c r="A429">
        <v>428</v>
      </c>
      <c r="B429" t="s">
        <v>2666</v>
      </c>
      <c r="C429" t="s">
        <v>3658</v>
      </c>
      <c r="D429">
        <v>463</v>
      </c>
      <c r="E429" s="210">
        <v>87.179487179487097</v>
      </c>
    </row>
    <row r="430" spans="1:5" x14ac:dyDescent="0.2">
      <c r="A430">
        <v>429</v>
      </c>
      <c r="B430" t="s">
        <v>2664</v>
      </c>
      <c r="C430" t="s">
        <v>3261</v>
      </c>
      <c r="D430">
        <v>654</v>
      </c>
      <c r="E430" s="210">
        <v>64.705882352941103</v>
      </c>
    </row>
    <row r="431" spans="1:5" x14ac:dyDescent="0.2">
      <c r="A431">
        <v>430</v>
      </c>
      <c r="B431" t="s">
        <v>2662</v>
      </c>
      <c r="C431" t="s">
        <v>3175</v>
      </c>
      <c r="D431">
        <v>382</v>
      </c>
      <c r="E431" s="210">
        <v>74.074074074074005</v>
      </c>
    </row>
    <row r="432" spans="1:5" x14ac:dyDescent="0.2">
      <c r="A432">
        <v>431</v>
      </c>
      <c r="B432" t="s">
        <v>2660</v>
      </c>
      <c r="C432" t="s">
        <v>3659</v>
      </c>
      <c r="D432">
        <v>534</v>
      </c>
      <c r="E432" s="210">
        <v>82.352941176470495</v>
      </c>
    </row>
    <row r="433" spans="1:5" x14ac:dyDescent="0.2">
      <c r="A433">
        <v>432</v>
      </c>
      <c r="B433" t="s">
        <v>2658</v>
      </c>
      <c r="C433" t="s">
        <v>3660</v>
      </c>
      <c r="D433">
        <v>320</v>
      </c>
      <c r="E433" s="210">
        <v>77.419354838709594</v>
      </c>
    </row>
    <row r="434" spans="1:5" x14ac:dyDescent="0.2">
      <c r="A434">
        <v>433</v>
      </c>
      <c r="B434" t="s">
        <v>2656</v>
      </c>
      <c r="C434" t="s">
        <v>3661</v>
      </c>
      <c r="D434">
        <v>102</v>
      </c>
      <c r="E434" s="210">
        <v>81.25</v>
      </c>
    </row>
    <row r="435" spans="1:5" x14ac:dyDescent="0.2">
      <c r="A435">
        <v>434</v>
      </c>
      <c r="B435" t="s">
        <v>2654</v>
      </c>
      <c r="C435" t="s">
        <v>3902</v>
      </c>
      <c r="D435">
        <v>242</v>
      </c>
      <c r="E435" s="210">
        <v>43.478260869565197</v>
      </c>
    </row>
    <row r="436" spans="1:5" x14ac:dyDescent="0.2">
      <c r="A436">
        <v>435</v>
      </c>
      <c r="B436" t="s">
        <v>2652</v>
      </c>
      <c r="C436" t="s">
        <v>3902</v>
      </c>
      <c r="D436">
        <v>242</v>
      </c>
      <c r="E436" s="210">
        <v>48.8888888888888</v>
      </c>
    </row>
    <row r="437" spans="1:5" x14ac:dyDescent="0.2">
      <c r="A437">
        <v>436</v>
      </c>
      <c r="B437" t="s">
        <v>2650</v>
      </c>
      <c r="C437" t="s">
        <v>3902</v>
      </c>
      <c r="D437">
        <v>242</v>
      </c>
      <c r="E437" s="210">
        <v>44.4444444444444</v>
      </c>
    </row>
    <row r="438" spans="1:5" x14ac:dyDescent="0.2">
      <c r="A438">
        <v>437</v>
      </c>
      <c r="B438" t="s">
        <v>2648</v>
      </c>
      <c r="C438" t="s">
        <v>3662</v>
      </c>
      <c r="D438">
        <v>563</v>
      </c>
      <c r="E438" s="210">
        <v>74.074074074074005</v>
      </c>
    </row>
    <row r="439" spans="1:5" x14ac:dyDescent="0.2">
      <c r="A439">
        <v>438</v>
      </c>
      <c r="B439" t="s">
        <v>2646</v>
      </c>
      <c r="C439" t="s">
        <v>3624</v>
      </c>
      <c r="D439">
        <v>324</v>
      </c>
      <c r="E439" s="210">
        <v>72.727272727272705</v>
      </c>
    </row>
    <row r="440" spans="1:5" x14ac:dyDescent="0.2">
      <c r="A440">
        <v>439</v>
      </c>
      <c r="B440" t="s">
        <v>2644</v>
      </c>
      <c r="C440" t="s">
        <v>2644</v>
      </c>
      <c r="D440">
        <v>34</v>
      </c>
      <c r="E440" s="210">
        <v>100</v>
      </c>
    </row>
    <row r="441" spans="1:5" x14ac:dyDescent="0.2">
      <c r="A441">
        <v>440</v>
      </c>
      <c r="B441" t="s">
        <v>2642</v>
      </c>
      <c r="C441" t="s">
        <v>3663</v>
      </c>
      <c r="D441">
        <v>506</v>
      </c>
      <c r="E441" s="210">
        <v>74.074074074074005</v>
      </c>
    </row>
    <row r="442" spans="1:5" x14ac:dyDescent="0.2">
      <c r="A442">
        <v>441</v>
      </c>
      <c r="B442" t="s">
        <v>2640</v>
      </c>
      <c r="C442" t="s">
        <v>3662</v>
      </c>
      <c r="D442">
        <v>563</v>
      </c>
      <c r="E442" s="210">
        <v>76.923076923076906</v>
      </c>
    </row>
    <row r="443" spans="1:5" x14ac:dyDescent="0.2">
      <c r="A443">
        <v>442</v>
      </c>
      <c r="B443" t="s">
        <v>2638</v>
      </c>
      <c r="C443" t="s">
        <v>3839</v>
      </c>
      <c r="D443">
        <v>153</v>
      </c>
      <c r="E443" s="210">
        <v>53.3333333333333</v>
      </c>
    </row>
    <row r="444" spans="1:5" x14ac:dyDescent="0.2">
      <c r="A444">
        <v>443</v>
      </c>
      <c r="B444" t="s">
        <v>2636</v>
      </c>
      <c r="C444" t="s">
        <v>2428</v>
      </c>
      <c r="D444">
        <v>401</v>
      </c>
      <c r="E444" s="210">
        <v>62.068965517241303</v>
      </c>
    </row>
    <row r="445" spans="1:5" x14ac:dyDescent="0.2">
      <c r="A445">
        <v>444</v>
      </c>
      <c r="B445" t="s">
        <v>2634</v>
      </c>
      <c r="C445" t="s">
        <v>3664</v>
      </c>
      <c r="D445">
        <v>521</v>
      </c>
      <c r="E445" s="210">
        <v>84.615384615384599</v>
      </c>
    </row>
    <row r="446" spans="1:5" x14ac:dyDescent="0.2">
      <c r="A446">
        <v>445</v>
      </c>
      <c r="B446" t="s">
        <v>2632</v>
      </c>
      <c r="C446" t="s">
        <v>3665</v>
      </c>
      <c r="D446">
        <v>300</v>
      </c>
      <c r="E446" s="210">
        <v>88.235294117647001</v>
      </c>
    </row>
    <row r="447" spans="1:5" x14ac:dyDescent="0.2">
      <c r="A447">
        <v>446</v>
      </c>
      <c r="B447" t="s">
        <v>2630</v>
      </c>
      <c r="C447" t="s">
        <v>2630</v>
      </c>
      <c r="D447">
        <v>339</v>
      </c>
      <c r="E447" s="210">
        <v>100</v>
      </c>
    </row>
    <row r="448" spans="1:5" x14ac:dyDescent="0.2">
      <c r="A448">
        <v>447</v>
      </c>
      <c r="B448" t="s">
        <v>2628</v>
      </c>
      <c r="C448" t="s">
        <v>3569</v>
      </c>
      <c r="D448">
        <v>519</v>
      </c>
      <c r="E448" s="210">
        <v>56</v>
      </c>
    </row>
    <row r="449" spans="1:5" x14ac:dyDescent="0.2">
      <c r="A449">
        <v>448</v>
      </c>
      <c r="B449" t="s">
        <v>2626</v>
      </c>
      <c r="C449" t="s">
        <v>3625</v>
      </c>
      <c r="D449">
        <v>510</v>
      </c>
      <c r="E449" s="210">
        <v>62.068965517241303</v>
      </c>
    </row>
    <row r="450" spans="1:5" x14ac:dyDescent="0.2">
      <c r="A450">
        <v>449</v>
      </c>
      <c r="B450" t="s">
        <v>2624</v>
      </c>
      <c r="C450" t="s">
        <v>2369</v>
      </c>
      <c r="D450">
        <v>298</v>
      </c>
      <c r="E450" s="210">
        <v>51.612903225806399</v>
      </c>
    </row>
    <row r="451" spans="1:5" x14ac:dyDescent="0.2">
      <c r="A451">
        <v>450</v>
      </c>
      <c r="B451" t="s">
        <v>2622</v>
      </c>
      <c r="C451" t="s">
        <v>3666</v>
      </c>
      <c r="D451">
        <v>613</v>
      </c>
      <c r="E451" s="210">
        <v>96</v>
      </c>
    </row>
    <row r="452" spans="1:5" x14ac:dyDescent="0.2">
      <c r="A452">
        <v>451</v>
      </c>
      <c r="B452" t="s">
        <v>2620</v>
      </c>
      <c r="C452" t="s">
        <v>3570</v>
      </c>
      <c r="D452">
        <v>607</v>
      </c>
      <c r="E452" s="210">
        <v>56.25</v>
      </c>
    </row>
    <row r="453" spans="1:5" x14ac:dyDescent="0.2">
      <c r="A453">
        <v>452</v>
      </c>
      <c r="B453" t="s">
        <v>2618</v>
      </c>
      <c r="C453" t="s">
        <v>3529</v>
      </c>
      <c r="D453">
        <v>229</v>
      </c>
      <c r="E453" s="210">
        <v>78.260869565217305</v>
      </c>
    </row>
    <row r="454" spans="1:5" x14ac:dyDescent="0.2">
      <c r="A454">
        <v>453</v>
      </c>
      <c r="B454" t="s">
        <v>2616</v>
      </c>
      <c r="C454" t="s">
        <v>3220</v>
      </c>
      <c r="D454">
        <v>570</v>
      </c>
      <c r="E454" s="210">
        <v>71.428571428571402</v>
      </c>
    </row>
    <row r="455" spans="1:5" x14ac:dyDescent="0.2">
      <c r="A455">
        <v>454</v>
      </c>
      <c r="B455" t="s">
        <v>2614</v>
      </c>
      <c r="C455" t="s">
        <v>3220</v>
      </c>
      <c r="D455">
        <v>570</v>
      </c>
      <c r="E455" s="210">
        <v>64.285714285714207</v>
      </c>
    </row>
    <row r="456" spans="1:5" x14ac:dyDescent="0.2">
      <c r="A456">
        <v>455</v>
      </c>
      <c r="B456" t="s">
        <v>2612</v>
      </c>
      <c r="C456" t="s">
        <v>2386</v>
      </c>
      <c r="D456">
        <v>459</v>
      </c>
      <c r="E456" s="210">
        <v>60.869565217391298</v>
      </c>
    </row>
    <row r="457" spans="1:5" x14ac:dyDescent="0.2">
      <c r="A457">
        <v>456</v>
      </c>
      <c r="B457" t="s">
        <v>2610</v>
      </c>
      <c r="C457" t="s">
        <v>3667</v>
      </c>
      <c r="D457">
        <v>212</v>
      </c>
      <c r="E457" s="210">
        <v>66.6666666666666</v>
      </c>
    </row>
    <row r="458" spans="1:5" x14ac:dyDescent="0.2">
      <c r="A458">
        <v>457</v>
      </c>
      <c r="B458" t="s">
        <v>2608</v>
      </c>
      <c r="C458" t="s">
        <v>3668</v>
      </c>
      <c r="D458">
        <v>249</v>
      </c>
      <c r="E458" s="210">
        <v>84.615384615384599</v>
      </c>
    </row>
    <row r="459" spans="1:5" x14ac:dyDescent="0.2">
      <c r="A459">
        <v>458</v>
      </c>
      <c r="B459" t="s">
        <v>2608</v>
      </c>
      <c r="C459" t="s">
        <v>3668</v>
      </c>
      <c r="D459">
        <v>249</v>
      </c>
      <c r="E459" s="210">
        <v>84.615384615384599</v>
      </c>
    </row>
    <row r="460" spans="1:5" x14ac:dyDescent="0.2">
      <c r="A460">
        <v>459</v>
      </c>
      <c r="B460" t="s">
        <v>2606</v>
      </c>
      <c r="C460" t="s">
        <v>1810</v>
      </c>
      <c r="D460">
        <v>440</v>
      </c>
      <c r="E460" s="210">
        <v>19.047619047619001</v>
      </c>
    </row>
    <row r="461" spans="1:5" x14ac:dyDescent="0.2">
      <c r="A461">
        <v>460</v>
      </c>
      <c r="B461" t="s">
        <v>2604</v>
      </c>
      <c r="C461" t="s">
        <v>3669</v>
      </c>
      <c r="D461">
        <v>479</v>
      </c>
      <c r="E461" s="210">
        <v>78.260869565217305</v>
      </c>
    </row>
    <row r="462" spans="1:5" x14ac:dyDescent="0.2">
      <c r="A462">
        <v>461</v>
      </c>
      <c r="B462" t="s">
        <v>2602</v>
      </c>
      <c r="C462" t="s">
        <v>3670</v>
      </c>
      <c r="D462">
        <v>469</v>
      </c>
      <c r="E462" s="210">
        <v>78.260869565217305</v>
      </c>
    </row>
    <row r="463" spans="1:5" x14ac:dyDescent="0.2">
      <c r="A463">
        <v>462</v>
      </c>
      <c r="B463" t="s">
        <v>2600</v>
      </c>
      <c r="C463" t="s">
        <v>3670</v>
      </c>
      <c r="D463">
        <v>469</v>
      </c>
      <c r="E463" s="210">
        <v>53.846153846153797</v>
      </c>
    </row>
    <row r="464" spans="1:5" x14ac:dyDescent="0.2">
      <c r="A464">
        <v>463</v>
      </c>
      <c r="B464" t="s">
        <v>2598</v>
      </c>
      <c r="C464" t="s">
        <v>1882</v>
      </c>
      <c r="D464">
        <v>434</v>
      </c>
      <c r="E464" s="210">
        <v>63.636363636363598</v>
      </c>
    </row>
    <row r="465" spans="1:5" x14ac:dyDescent="0.2">
      <c r="A465">
        <v>464</v>
      </c>
      <c r="B465" t="s">
        <v>2596</v>
      </c>
      <c r="C465" t="s">
        <v>3705</v>
      </c>
      <c r="D465">
        <v>257</v>
      </c>
      <c r="E465" s="210">
        <v>28.571428571428498</v>
      </c>
    </row>
    <row r="466" spans="1:5" x14ac:dyDescent="0.2">
      <c r="A466">
        <v>465</v>
      </c>
      <c r="B466" t="s">
        <v>2594</v>
      </c>
      <c r="C466" t="s">
        <v>3705</v>
      </c>
      <c r="D466">
        <v>257</v>
      </c>
      <c r="E466" s="210">
        <v>26.315789473684202</v>
      </c>
    </row>
    <row r="467" spans="1:5" x14ac:dyDescent="0.2">
      <c r="A467">
        <v>466</v>
      </c>
      <c r="B467" t="s">
        <v>2592</v>
      </c>
      <c r="C467" t="s">
        <v>3705</v>
      </c>
      <c r="D467">
        <v>257</v>
      </c>
      <c r="E467" s="210">
        <v>28.571428571428498</v>
      </c>
    </row>
    <row r="468" spans="1:5" x14ac:dyDescent="0.2">
      <c r="A468">
        <v>467</v>
      </c>
      <c r="B468" t="s">
        <v>2590</v>
      </c>
      <c r="C468" t="s">
        <v>3705</v>
      </c>
      <c r="D468">
        <v>257</v>
      </c>
      <c r="E468" s="210">
        <v>28.571428571428498</v>
      </c>
    </row>
    <row r="469" spans="1:5" x14ac:dyDescent="0.2">
      <c r="A469">
        <v>468</v>
      </c>
      <c r="B469" t="s">
        <v>2588</v>
      </c>
      <c r="C469" t="s">
        <v>3705</v>
      </c>
      <c r="D469">
        <v>257</v>
      </c>
      <c r="E469" s="210">
        <v>30.303030303030202</v>
      </c>
    </row>
    <row r="470" spans="1:5" x14ac:dyDescent="0.2">
      <c r="A470">
        <v>469</v>
      </c>
      <c r="B470" t="s">
        <v>2586</v>
      </c>
      <c r="C470" t="s">
        <v>3705</v>
      </c>
      <c r="D470">
        <v>257</v>
      </c>
      <c r="E470" s="210">
        <v>29.411764705882302</v>
      </c>
    </row>
    <row r="471" spans="1:5" x14ac:dyDescent="0.2">
      <c r="A471">
        <v>470</v>
      </c>
      <c r="B471" t="s">
        <v>2584</v>
      </c>
      <c r="C471" t="s">
        <v>3705</v>
      </c>
      <c r="D471">
        <v>257</v>
      </c>
      <c r="E471" s="210">
        <v>28.571428571428498</v>
      </c>
    </row>
    <row r="472" spans="1:5" x14ac:dyDescent="0.2">
      <c r="A472">
        <v>471</v>
      </c>
      <c r="B472" t="s">
        <v>2582</v>
      </c>
      <c r="C472" t="s">
        <v>3705</v>
      </c>
      <c r="D472">
        <v>257</v>
      </c>
      <c r="E472" s="210">
        <v>28.571428571428498</v>
      </c>
    </row>
    <row r="473" spans="1:5" x14ac:dyDescent="0.2">
      <c r="A473">
        <v>472</v>
      </c>
      <c r="B473" t="s">
        <v>2580</v>
      </c>
      <c r="C473" t="s">
        <v>3705</v>
      </c>
      <c r="D473">
        <v>257</v>
      </c>
      <c r="E473" s="210">
        <v>29.411764705882302</v>
      </c>
    </row>
    <row r="474" spans="1:5" x14ac:dyDescent="0.2">
      <c r="A474">
        <v>473</v>
      </c>
      <c r="B474" t="s">
        <v>2578</v>
      </c>
      <c r="C474" t="s">
        <v>3705</v>
      </c>
      <c r="D474">
        <v>257</v>
      </c>
      <c r="E474" s="210">
        <v>28.571428571428498</v>
      </c>
    </row>
    <row r="475" spans="1:5" x14ac:dyDescent="0.2">
      <c r="A475">
        <v>474</v>
      </c>
      <c r="B475" t="s">
        <v>2576</v>
      </c>
      <c r="C475" t="s">
        <v>3705</v>
      </c>
      <c r="D475">
        <v>257</v>
      </c>
      <c r="E475" s="210">
        <v>30.303030303030202</v>
      </c>
    </row>
    <row r="476" spans="1:5" x14ac:dyDescent="0.2">
      <c r="A476">
        <v>475</v>
      </c>
      <c r="B476" t="s">
        <v>2574</v>
      </c>
      <c r="C476" t="s">
        <v>3705</v>
      </c>
      <c r="D476">
        <v>257</v>
      </c>
      <c r="E476" s="210">
        <v>30.303030303030202</v>
      </c>
    </row>
    <row r="477" spans="1:5" x14ac:dyDescent="0.2">
      <c r="A477">
        <v>476</v>
      </c>
      <c r="B477" t="s">
        <v>2572</v>
      </c>
      <c r="C477" t="s">
        <v>3705</v>
      </c>
      <c r="D477">
        <v>257</v>
      </c>
      <c r="E477" s="210">
        <v>28.571428571428498</v>
      </c>
    </row>
    <row r="478" spans="1:5" x14ac:dyDescent="0.2">
      <c r="A478">
        <v>477</v>
      </c>
      <c r="B478" t="s">
        <v>2570</v>
      </c>
      <c r="C478" t="s">
        <v>3705</v>
      </c>
      <c r="D478">
        <v>257</v>
      </c>
      <c r="E478" s="210">
        <v>28.571428571428498</v>
      </c>
    </row>
    <row r="479" spans="1:5" x14ac:dyDescent="0.2">
      <c r="A479">
        <v>478</v>
      </c>
      <c r="B479" t="s">
        <v>2568</v>
      </c>
      <c r="C479" t="s">
        <v>3705</v>
      </c>
      <c r="D479">
        <v>257</v>
      </c>
      <c r="E479" s="210">
        <v>26.315789473684202</v>
      </c>
    </row>
    <row r="480" spans="1:5" x14ac:dyDescent="0.2">
      <c r="A480">
        <v>479</v>
      </c>
      <c r="B480" t="s">
        <v>2566</v>
      </c>
      <c r="C480" t="s">
        <v>3705</v>
      </c>
      <c r="D480">
        <v>257</v>
      </c>
      <c r="E480" s="210">
        <v>29.411764705882302</v>
      </c>
    </row>
    <row r="481" spans="1:5" x14ac:dyDescent="0.2">
      <c r="A481">
        <v>480</v>
      </c>
      <c r="B481" t="s">
        <v>2564</v>
      </c>
      <c r="C481" t="s">
        <v>3705</v>
      </c>
      <c r="D481">
        <v>257</v>
      </c>
      <c r="E481" s="210">
        <v>29.411764705882302</v>
      </c>
    </row>
    <row r="482" spans="1:5" x14ac:dyDescent="0.2">
      <c r="A482">
        <v>481</v>
      </c>
      <c r="B482" t="s">
        <v>2562</v>
      </c>
      <c r="C482" t="s">
        <v>3705</v>
      </c>
      <c r="D482">
        <v>257</v>
      </c>
      <c r="E482" s="210">
        <v>28.571428571428498</v>
      </c>
    </row>
    <row r="483" spans="1:5" x14ac:dyDescent="0.2">
      <c r="A483">
        <v>482</v>
      </c>
      <c r="B483" t="s">
        <v>2560</v>
      </c>
      <c r="C483" t="s">
        <v>3705</v>
      </c>
      <c r="D483">
        <v>257</v>
      </c>
      <c r="E483" s="210">
        <v>32.4324324324324</v>
      </c>
    </row>
    <row r="484" spans="1:5" x14ac:dyDescent="0.2">
      <c r="A484">
        <v>483</v>
      </c>
      <c r="B484" t="s">
        <v>2558</v>
      </c>
      <c r="C484" t="s">
        <v>3705</v>
      </c>
      <c r="D484">
        <v>257</v>
      </c>
      <c r="E484" s="210">
        <v>29.411764705882302</v>
      </c>
    </row>
    <row r="485" spans="1:5" x14ac:dyDescent="0.2">
      <c r="A485">
        <v>484</v>
      </c>
      <c r="B485" t="s">
        <v>2556</v>
      </c>
      <c r="C485" t="s">
        <v>3671</v>
      </c>
      <c r="D485">
        <v>325</v>
      </c>
      <c r="E485" s="210">
        <v>90</v>
      </c>
    </row>
    <row r="486" spans="1:5" x14ac:dyDescent="0.2">
      <c r="A486">
        <v>485</v>
      </c>
      <c r="B486" t="s">
        <v>2554</v>
      </c>
      <c r="C486" t="s">
        <v>3513</v>
      </c>
      <c r="D486">
        <v>653</v>
      </c>
      <c r="E486" s="210">
        <v>53.846153846153797</v>
      </c>
    </row>
    <row r="487" spans="1:5" x14ac:dyDescent="0.2">
      <c r="A487">
        <v>486</v>
      </c>
      <c r="B487" t="s">
        <v>2552</v>
      </c>
      <c r="C487" t="s">
        <v>2955</v>
      </c>
      <c r="D487">
        <v>189</v>
      </c>
      <c r="E487" s="210">
        <v>39.024390243902403</v>
      </c>
    </row>
    <row r="488" spans="1:5" x14ac:dyDescent="0.2">
      <c r="A488">
        <v>487</v>
      </c>
      <c r="B488" t="s">
        <v>2550</v>
      </c>
      <c r="C488" t="s">
        <v>2550</v>
      </c>
      <c r="D488">
        <v>605</v>
      </c>
      <c r="E488" s="210">
        <v>100</v>
      </c>
    </row>
    <row r="489" spans="1:5" x14ac:dyDescent="0.2">
      <c r="A489">
        <v>488</v>
      </c>
      <c r="B489" t="s">
        <v>2548</v>
      </c>
      <c r="C489" t="s">
        <v>2548</v>
      </c>
      <c r="D489">
        <v>663</v>
      </c>
      <c r="E489" s="210">
        <v>100</v>
      </c>
    </row>
    <row r="490" spans="1:5" x14ac:dyDescent="0.2">
      <c r="A490">
        <v>489</v>
      </c>
      <c r="B490" t="s">
        <v>2546</v>
      </c>
      <c r="C490" t="s">
        <v>3672</v>
      </c>
      <c r="D490">
        <v>145</v>
      </c>
      <c r="E490" s="210">
        <v>85.714285714285694</v>
      </c>
    </row>
    <row r="491" spans="1:5" x14ac:dyDescent="0.2">
      <c r="A491">
        <v>490</v>
      </c>
      <c r="B491" t="s">
        <v>2544</v>
      </c>
      <c r="C491" t="s">
        <v>2544</v>
      </c>
      <c r="D491">
        <v>109</v>
      </c>
      <c r="E491" s="210">
        <v>100</v>
      </c>
    </row>
    <row r="492" spans="1:5" x14ac:dyDescent="0.2">
      <c r="A492">
        <v>491</v>
      </c>
      <c r="B492" t="s">
        <v>2542</v>
      </c>
      <c r="C492" t="s">
        <v>3673</v>
      </c>
      <c r="D492">
        <v>267</v>
      </c>
      <c r="E492" s="210">
        <v>72.727272727272705</v>
      </c>
    </row>
    <row r="493" spans="1:5" x14ac:dyDescent="0.2">
      <c r="A493">
        <v>492</v>
      </c>
      <c r="B493" t="s">
        <v>2540</v>
      </c>
      <c r="C493" t="s">
        <v>3231</v>
      </c>
      <c r="D493">
        <v>366</v>
      </c>
      <c r="E493" s="210">
        <v>55.813953488372</v>
      </c>
    </row>
    <row r="494" spans="1:5" x14ac:dyDescent="0.2">
      <c r="A494">
        <v>493</v>
      </c>
      <c r="B494" t="s">
        <v>2538</v>
      </c>
      <c r="C494" t="s">
        <v>3718</v>
      </c>
      <c r="D494">
        <v>86</v>
      </c>
      <c r="E494" s="210">
        <v>57.142857142857103</v>
      </c>
    </row>
    <row r="495" spans="1:5" x14ac:dyDescent="0.2">
      <c r="A495">
        <v>494</v>
      </c>
      <c r="B495" t="s">
        <v>2536</v>
      </c>
      <c r="C495" t="s">
        <v>3465</v>
      </c>
      <c r="D495">
        <v>1</v>
      </c>
      <c r="E495" s="210">
        <v>0</v>
      </c>
    </row>
    <row r="496" spans="1:5" x14ac:dyDescent="0.2">
      <c r="A496">
        <v>495</v>
      </c>
      <c r="B496" t="s">
        <v>2535</v>
      </c>
      <c r="C496" t="s">
        <v>3522</v>
      </c>
      <c r="D496">
        <v>520</v>
      </c>
      <c r="E496" s="210">
        <v>75</v>
      </c>
    </row>
    <row r="497" spans="1:5" x14ac:dyDescent="0.2">
      <c r="A497">
        <v>496</v>
      </c>
      <c r="B497" t="s">
        <v>2533</v>
      </c>
      <c r="C497" t="s">
        <v>3674</v>
      </c>
      <c r="D497">
        <v>368</v>
      </c>
      <c r="E497" s="210">
        <v>81.481481481481495</v>
      </c>
    </row>
    <row r="498" spans="1:5" x14ac:dyDescent="0.2">
      <c r="A498">
        <v>497</v>
      </c>
      <c r="B498" t="s">
        <v>1081</v>
      </c>
      <c r="C498" t="s">
        <v>3675</v>
      </c>
      <c r="D498">
        <v>115</v>
      </c>
      <c r="E498" s="210">
        <v>100</v>
      </c>
    </row>
    <row r="499" spans="1:5" x14ac:dyDescent="0.2">
      <c r="A499">
        <v>498</v>
      </c>
      <c r="B499" t="s">
        <v>2530</v>
      </c>
      <c r="C499" t="s">
        <v>3676</v>
      </c>
      <c r="D499">
        <v>511</v>
      </c>
      <c r="E499" s="210">
        <v>100</v>
      </c>
    </row>
    <row r="500" spans="1:5" x14ac:dyDescent="0.2">
      <c r="A500">
        <v>499</v>
      </c>
      <c r="B500" t="s">
        <v>1348</v>
      </c>
      <c r="C500" t="s">
        <v>3677</v>
      </c>
      <c r="D500">
        <v>29</v>
      </c>
      <c r="E500" s="210">
        <v>95.652173913043399</v>
      </c>
    </row>
    <row r="501" spans="1:5" x14ac:dyDescent="0.2">
      <c r="A501">
        <v>500</v>
      </c>
      <c r="B501" t="s">
        <v>2527</v>
      </c>
      <c r="C501" t="s">
        <v>3678</v>
      </c>
      <c r="D501">
        <v>524</v>
      </c>
      <c r="E501" s="210">
        <v>42.105263157894697</v>
      </c>
    </row>
    <row r="502" spans="1:5" x14ac:dyDescent="0.2">
      <c r="A502">
        <v>501</v>
      </c>
      <c r="B502" t="s">
        <v>2525</v>
      </c>
      <c r="C502" t="s">
        <v>3678</v>
      </c>
      <c r="D502">
        <v>524</v>
      </c>
      <c r="E502" s="210">
        <v>90</v>
      </c>
    </row>
    <row r="503" spans="1:5" x14ac:dyDescent="0.2">
      <c r="A503">
        <v>502</v>
      </c>
      <c r="B503" t="s">
        <v>2523</v>
      </c>
      <c r="C503" t="s">
        <v>1653</v>
      </c>
      <c r="D503">
        <v>199</v>
      </c>
      <c r="E503" s="210">
        <v>70</v>
      </c>
    </row>
    <row r="504" spans="1:5" x14ac:dyDescent="0.2">
      <c r="A504">
        <v>503</v>
      </c>
      <c r="B504" t="s">
        <v>2521</v>
      </c>
      <c r="C504" t="s">
        <v>3249</v>
      </c>
      <c r="D504">
        <v>370</v>
      </c>
      <c r="E504" s="210">
        <v>58.823529411764703</v>
      </c>
    </row>
    <row r="505" spans="1:5" x14ac:dyDescent="0.2">
      <c r="A505">
        <v>504</v>
      </c>
      <c r="B505" t="s">
        <v>2519</v>
      </c>
      <c r="C505" t="s">
        <v>2519</v>
      </c>
      <c r="D505">
        <v>293</v>
      </c>
      <c r="E505" s="210">
        <v>100</v>
      </c>
    </row>
    <row r="506" spans="1:5" x14ac:dyDescent="0.2">
      <c r="A506">
        <v>505</v>
      </c>
      <c r="B506" t="s">
        <v>2517</v>
      </c>
      <c r="C506" t="s">
        <v>3679</v>
      </c>
      <c r="D506">
        <v>525</v>
      </c>
      <c r="E506" s="210">
        <v>81.25</v>
      </c>
    </row>
    <row r="507" spans="1:5" x14ac:dyDescent="0.2">
      <c r="A507">
        <v>506</v>
      </c>
      <c r="B507" t="s">
        <v>2515</v>
      </c>
      <c r="C507" t="s">
        <v>3680</v>
      </c>
      <c r="D507">
        <v>193</v>
      </c>
      <c r="E507" s="210">
        <v>83.3333333333333</v>
      </c>
    </row>
    <row r="508" spans="1:5" x14ac:dyDescent="0.2">
      <c r="A508">
        <v>507</v>
      </c>
      <c r="B508" t="s">
        <v>2513</v>
      </c>
      <c r="C508" t="s">
        <v>3679</v>
      </c>
      <c r="D508">
        <v>525</v>
      </c>
      <c r="E508" s="210">
        <v>86.6666666666666</v>
      </c>
    </row>
    <row r="509" spans="1:5" x14ac:dyDescent="0.2">
      <c r="A509">
        <v>508</v>
      </c>
      <c r="B509" t="s">
        <v>2511</v>
      </c>
      <c r="C509" t="s">
        <v>3681</v>
      </c>
      <c r="D509">
        <v>620</v>
      </c>
      <c r="E509" s="210">
        <v>100</v>
      </c>
    </row>
    <row r="510" spans="1:5" x14ac:dyDescent="0.2">
      <c r="A510">
        <v>509</v>
      </c>
      <c r="B510" t="s">
        <v>2509</v>
      </c>
      <c r="C510" t="s">
        <v>3592</v>
      </c>
      <c r="D510">
        <v>522</v>
      </c>
      <c r="E510" s="210">
        <v>52.631578947368403</v>
      </c>
    </row>
    <row r="511" spans="1:5" x14ac:dyDescent="0.2">
      <c r="A511">
        <v>510</v>
      </c>
      <c r="B511" t="s">
        <v>2507</v>
      </c>
      <c r="C511" t="s">
        <v>3682</v>
      </c>
      <c r="D511">
        <v>71</v>
      </c>
      <c r="E511" s="210">
        <v>71.794871794871796</v>
      </c>
    </row>
    <row r="512" spans="1:5" x14ac:dyDescent="0.2">
      <c r="A512">
        <v>511</v>
      </c>
      <c r="B512" t="s">
        <v>2505</v>
      </c>
      <c r="C512" t="s">
        <v>3683</v>
      </c>
      <c r="D512">
        <v>602</v>
      </c>
      <c r="E512" s="210">
        <v>68.75</v>
      </c>
    </row>
    <row r="513" spans="1:5" x14ac:dyDescent="0.2">
      <c r="A513">
        <v>512</v>
      </c>
      <c r="B513" t="s">
        <v>2503</v>
      </c>
      <c r="C513" t="s">
        <v>3684</v>
      </c>
      <c r="D513">
        <v>615</v>
      </c>
      <c r="E513" s="210">
        <v>66.6666666666666</v>
      </c>
    </row>
    <row r="514" spans="1:5" x14ac:dyDescent="0.2">
      <c r="A514">
        <v>513</v>
      </c>
      <c r="B514" t="s">
        <v>2501</v>
      </c>
      <c r="C514" t="s">
        <v>3685</v>
      </c>
      <c r="D514">
        <v>217</v>
      </c>
      <c r="E514" s="210">
        <v>60</v>
      </c>
    </row>
    <row r="515" spans="1:5" x14ac:dyDescent="0.2">
      <c r="A515">
        <v>514</v>
      </c>
      <c r="B515" t="s">
        <v>2499</v>
      </c>
      <c r="C515" t="s">
        <v>3903</v>
      </c>
      <c r="D515">
        <v>107</v>
      </c>
      <c r="E515" s="210">
        <v>54.054054054053999</v>
      </c>
    </row>
    <row r="516" spans="1:5" x14ac:dyDescent="0.2">
      <c r="A516">
        <v>515</v>
      </c>
      <c r="B516" t="s">
        <v>2497</v>
      </c>
      <c r="C516" t="s">
        <v>3903</v>
      </c>
      <c r="D516">
        <v>107</v>
      </c>
      <c r="E516" s="210">
        <v>57.142857142857103</v>
      </c>
    </row>
    <row r="517" spans="1:5" x14ac:dyDescent="0.2">
      <c r="A517">
        <v>516</v>
      </c>
      <c r="B517" t="s">
        <v>2495</v>
      </c>
      <c r="C517" t="s">
        <v>3685</v>
      </c>
      <c r="D517">
        <v>217</v>
      </c>
      <c r="E517" s="210">
        <v>60</v>
      </c>
    </row>
    <row r="518" spans="1:5" x14ac:dyDescent="0.2">
      <c r="A518">
        <v>517</v>
      </c>
      <c r="B518" t="s">
        <v>2493</v>
      </c>
      <c r="C518" t="s">
        <v>3903</v>
      </c>
      <c r="D518">
        <v>107</v>
      </c>
      <c r="E518" s="210">
        <v>54.054054054053999</v>
      </c>
    </row>
    <row r="519" spans="1:5" x14ac:dyDescent="0.2">
      <c r="A519">
        <v>518</v>
      </c>
      <c r="B519" t="s">
        <v>2491</v>
      </c>
      <c r="C519" t="s">
        <v>3686</v>
      </c>
      <c r="D519">
        <v>451</v>
      </c>
      <c r="E519" s="210">
        <v>80</v>
      </c>
    </row>
    <row r="520" spans="1:5" x14ac:dyDescent="0.2">
      <c r="A520">
        <v>519</v>
      </c>
      <c r="B520" t="s">
        <v>2489</v>
      </c>
      <c r="C520" t="s">
        <v>3686</v>
      </c>
      <c r="D520">
        <v>451</v>
      </c>
      <c r="E520" s="210">
        <v>84.848484848484802</v>
      </c>
    </row>
    <row r="521" spans="1:5" x14ac:dyDescent="0.2">
      <c r="A521">
        <v>520</v>
      </c>
      <c r="B521" t="s">
        <v>2487</v>
      </c>
      <c r="C521" t="s">
        <v>3687</v>
      </c>
      <c r="D521">
        <v>168</v>
      </c>
      <c r="E521" s="210">
        <v>77.419354838709594</v>
      </c>
    </row>
    <row r="522" spans="1:5" x14ac:dyDescent="0.2">
      <c r="A522">
        <v>521</v>
      </c>
      <c r="B522" t="s">
        <v>2485</v>
      </c>
      <c r="C522" t="s">
        <v>3688</v>
      </c>
      <c r="D522">
        <v>618</v>
      </c>
      <c r="E522" s="210">
        <v>69.565217391304301</v>
      </c>
    </row>
    <row r="523" spans="1:5" x14ac:dyDescent="0.2">
      <c r="A523">
        <v>522</v>
      </c>
      <c r="B523" t="s">
        <v>2483</v>
      </c>
      <c r="C523" t="s">
        <v>3239</v>
      </c>
      <c r="D523">
        <v>36</v>
      </c>
      <c r="E523" s="210">
        <v>52.173913043478201</v>
      </c>
    </row>
    <row r="524" spans="1:5" x14ac:dyDescent="0.2">
      <c r="A524">
        <v>523</v>
      </c>
      <c r="B524" t="s">
        <v>966</v>
      </c>
      <c r="C524" t="s">
        <v>2747</v>
      </c>
      <c r="D524">
        <v>30</v>
      </c>
      <c r="E524" s="210">
        <v>33.3333333333333</v>
      </c>
    </row>
    <row r="525" spans="1:5" x14ac:dyDescent="0.2">
      <c r="A525">
        <v>524</v>
      </c>
      <c r="B525" t="s">
        <v>2480</v>
      </c>
      <c r="C525" t="s">
        <v>3627</v>
      </c>
      <c r="D525">
        <v>567</v>
      </c>
      <c r="E525" s="210">
        <v>38.095238095238003</v>
      </c>
    </row>
    <row r="526" spans="1:5" x14ac:dyDescent="0.2">
      <c r="A526">
        <v>525</v>
      </c>
      <c r="B526" t="s">
        <v>2478</v>
      </c>
      <c r="C526" t="s">
        <v>3689</v>
      </c>
      <c r="D526">
        <v>442</v>
      </c>
      <c r="E526" s="210">
        <v>66.6666666666666</v>
      </c>
    </row>
    <row r="527" spans="1:5" x14ac:dyDescent="0.2">
      <c r="A527">
        <v>526</v>
      </c>
      <c r="B527" t="s">
        <v>2477</v>
      </c>
      <c r="C527" t="s">
        <v>3690</v>
      </c>
      <c r="D527">
        <v>12</v>
      </c>
      <c r="E527" s="210">
        <v>84.210526315789394</v>
      </c>
    </row>
    <row r="528" spans="1:5" x14ac:dyDescent="0.2">
      <c r="A528">
        <v>527</v>
      </c>
      <c r="B528" t="s">
        <v>2475</v>
      </c>
      <c r="C528" t="s">
        <v>2475</v>
      </c>
      <c r="D528">
        <v>377</v>
      </c>
      <c r="E528" s="210">
        <v>100</v>
      </c>
    </row>
    <row r="529" spans="1:5" x14ac:dyDescent="0.2">
      <c r="A529">
        <v>528</v>
      </c>
      <c r="B529" t="s">
        <v>2473</v>
      </c>
      <c r="C529" t="s">
        <v>3691</v>
      </c>
      <c r="D529">
        <v>606</v>
      </c>
      <c r="E529" s="210">
        <v>81.25</v>
      </c>
    </row>
    <row r="530" spans="1:5" x14ac:dyDescent="0.2">
      <c r="A530">
        <v>529</v>
      </c>
      <c r="B530" t="s">
        <v>2471</v>
      </c>
      <c r="C530" t="s">
        <v>3691</v>
      </c>
      <c r="D530">
        <v>606</v>
      </c>
      <c r="E530" s="210">
        <v>76.470588235294102</v>
      </c>
    </row>
    <row r="531" spans="1:5" x14ac:dyDescent="0.2">
      <c r="A531">
        <v>530</v>
      </c>
      <c r="B531" t="s">
        <v>2469</v>
      </c>
      <c r="C531" t="s">
        <v>3692</v>
      </c>
      <c r="D531">
        <v>604</v>
      </c>
      <c r="E531" s="210">
        <v>81.25</v>
      </c>
    </row>
    <row r="532" spans="1:5" x14ac:dyDescent="0.2">
      <c r="A532">
        <v>531</v>
      </c>
      <c r="B532" t="s">
        <v>2467</v>
      </c>
      <c r="C532" t="s">
        <v>3692</v>
      </c>
      <c r="D532">
        <v>604</v>
      </c>
      <c r="E532" s="210">
        <v>76.470588235294102</v>
      </c>
    </row>
    <row r="533" spans="1:5" x14ac:dyDescent="0.2">
      <c r="A533">
        <v>532</v>
      </c>
      <c r="B533" t="s">
        <v>2465</v>
      </c>
      <c r="C533" t="s">
        <v>3692</v>
      </c>
      <c r="D533">
        <v>604</v>
      </c>
      <c r="E533" s="210">
        <v>54.545454545454497</v>
      </c>
    </row>
    <row r="534" spans="1:5" x14ac:dyDescent="0.2">
      <c r="A534">
        <v>533</v>
      </c>
      <c r="B534" t="s">
        <v>2463</v>
      </c>
      <c r="C534" t="s">
        <v>3693</v>
      </c>
      <c r="D534">
        <v>598</v>
      </c>
      <c r="E534" s="210">
        <v>82.352941176470495</v>
      </c>
    </row>
    <row r="535" spans="1:5" x14ac:dyDescent="0.2">
      <c r="A535">
        <v>534</v>
      </c>
      <c r="B535" t="s">
        <v>2461</v>
      </c>
      <c r="C535" t="s">
        <v>3693</v>
      </c>
      <c r="D535">
        <v>598</v>
      </c>
      <c r="E535" s="210">
        <v>77.7777777777777</v>
      </c>
    </row>
    <row r="536" spans="1:5" x14ac:dyDescent="0.2">
      <c r="A536">
        <v>535</v>
      </c>
      <c r="B536" t="s">
        <v>2459</v>
      </c>
      <c r="C536" t="s">
        <v>3691</v>
      </c>
      <c r="D536">
        <v>606</v>
      </c>
      <c r="E536" s="210">
        <v>78.787878787878697</v>
      </c>
    </row>
    <row r="537" spans="1:5" x14ac:dyDescent="0.2">
      <c r="A537">
        <v>536</v>
      </c>
      <c r="B537" t="s">
        <v>2457</v>
      </c>
      <c r="C537" t="s">
        <v>3692</v>
      </c>
      <c r="D537">
        <v>604</v>
      </c>
      <c r="E537" s="210">
        <v>78.787878787878697</v>
      </c>
    </row>
    <row r="538" spans="1:5" x14ac:dyDescent="0.2">
      <c r="A538">
        <v>537</v>
      </c>
      <c r="B538" t="s">
        <v>2455</v>
      </c>
      <c r="C538" t="s">
        <v>3693</v>
      </c>
      <c r="D538">
        <v>598</v>
      </c>
      <c r="E538" s="210">
        <v>80</v>
      </c>
    </row>
    <row r="539" spans="1:5" x14ac:dyDescent="0.2">
      <c r="A539">
        <v>538</v>
      </c>
      <c r="B539" t="s">
        <v>2453</v>
      </c>
      <c r="C539" t="s">
        <v>3694</v>
      </c>
      <c r="D539">
        <v>268</v>
      </c>
      <c r="E539" s="210">
        <v>81.818181818181799</v>
      </c>
    </row>
    <row r="540" spans="1:5" x14ac:dyDescent="0.2">
      <c r="A540">
        <v>539</v>
      </c>
      <c r="B540" t="s">
        <v>2451</v>
      </c>
      <c r="C540" t="s">
        <v>3695</v>
      </c>
      <c r="D540">
        <v>321</v>
      </c>
      <c r="E540" s="210">
        <v>80.851063829787194</v>
      </c>
    </row>
    <row r="541" spans="1:5" x14ac:dyDescent="0.2">
      <c r="A541">
        <v>540</v>
      </c>
      <c r="B541" t="s">
        <v>2449</v>
      </c>
      <c r="C541" t="s">
        <v>3696</v>
      </c>
      <c r="D541">
        <v>589</v>
      </c>
      <c r="E541" s="210">
        <v>70.588235294117595</v>
      </c>
    </row>
    <row r="542" spans="1:5" x14ac:dyDescent="0.2">
      <c r="A542">
        <v>541</v>
      </c>
      <c r="B542" t="s">
        <v>2447</v>
      </c>
      <c r="C542" t="s">
        <v>3697</v>
      </c>
      <c r="D542">
        <v>461</v>
      </c>
      <c r="E542" s="210">
        <v>70.588235294117595</v>
      </c>
    </row>
    <row r="543" spans="1:5" x14ac:dyDescent="0.2">
      <c r="A543">
        <v>542</v>
      </c>
      <c r="B543" t="s">
        <v>2445</v>
      </c>
      <c r="C543" t="s">
        <v>3698</v>
      </c>
      <c r="D543">
        <v>255</v>
      </c>
      <c r="E543" s="210">
        <v>95.238095238095198</v>
      </c>
    </row>
    <row r="544" spans="1:5" x14ac:dyDescent="0.2">
      <c r="A544">
        <v>543</v>
      </c>
      <c r="B544" t="s">
        <v>1084</v>
      </c>
      <c r="C544" t="s">
        <v>1084</v>
      </c>
      <c r="D544">
        <v>136</v>
      </c>
      <c r="E544" s="210">
        <v>100</v>
      </c>
    </row>
    <row r="545" spans="1:5" x14ac:dyDescent="0.2">
      <c r="A545">
        <v>544</v>
      </c>
      <c r="B545" t="s">
        <v>2442</v>
      </c>
      <c r="C545" t="s">
        <v>3806</v>
      </c>
      <c r="D545">
        <v>343</v>
      </c>
      <c r="E545" s="210">
        <v>51.851851851851798</v>
      </c>
    </row>
    <row r="546" spans="1:5" x14ac:dyDescent="0.2">
      <c r="A546">
        <v>545</v>
      </c>
      <c r="B546" t="s">
        <v>2440</v>
      </c>
      <c r="C546" t="s">
        <v>2440</v>
      </c>
      <c r="D546">
        <v>546</v>
      </c>
      <c r="E546" s="210">
        <v>100</v>
      </c>
    </row>
    <row r="547" spans="1:5" x14ac:dyDescent="0.2">
      <c r="A547">
        <v>546</v>
      </c>
      <c r="B547" t="s">
        <v>2438</v>
      </c>
      <c r="C547" t="s">
        <v>3675</v>
      </c>
      <c r="D547">
        <v>115</v>
      </c>
      <c r="E547" s="210">
        <v>60.869565217391298</v>
      </c>
    </row>
    <row r="548" spans="1:5" x14ac:dyDescent="0.2">
      <c r="A548">
        <v>547</v>
      </c>
      <c r="B548" t="s">
        <v>2436</v>
      </c>
      <c r="C548" t="s">
        <v>3699</v>
      </c>
      <c r="D548">
        <v>349</v>
      </c>
      <c r="E548" s="210">
        <v>71.428571428571402</v>
      </c>
    </row>
    <row r="549" spans="1:5" x14ac:dyDescent="0.2">
      <c r="A549">
        <v>548</v>
      </c>
      <c r="B549" t="s">
        <v>2434</v>
      </c>
      <c r="C549" t="s">
        <v>3700</v>
      </c>
      <c r="D549">
        <v>211</v>
      </c>
      <c r="E549" s="210">
        <v>81.818181818181799</v>
      </c>
    </row>
    <row r="550" spans="1:5" x14ac:dyDescent="0.2">
      <c r="A550">
        <v>549</v>
      </c>
      <c r="B550" t="s">
        <v>2432</v>
      </c>
      <c r="C550" t="s">
        <v>3700</v>
      </c>
      <c r="D550">
        <v>211</v>
      </c>
      <c r="E550" s="210">
        <v>90.909090909090907</v>
      </c>
    </row>
    <row r="551" spans="1:5" x14ac:dyDescent="0.2">
      <c r="A551">
        <v>550</v>
      </c>
      <c r="B551" t="s">
        <v>2430</v>
      </c>
      <c r="C551" t="s">
        <v>2747</v>
      </c>
      <c r="D551">
        <v>30</v>
      </c>
      <c r="E551" s="210">
        <v>44.4444444444444</v>
      </c>
    </row>
    <row r="552" spans="1:5" x14ac:dyDescent="0.2">
      <c r="A552">
        <v>551</v>
      </c>
      <c r="B552" t="s">
        <v>2428</v>
      </c>
      <c r="C552" t="s">
        <v>2428</v>
      </c>
      <c r="D552">
        <v>401</v>
      </c>
      <c r="E552" s="210">
        <v>100</v>
      </c>
    </row>
    <row r="553" spans="1:5" x14ac:dyDescent="0.2">
      <c r="A553">
        <v>552</v>
      </c>
      <c r="B553" t="s">
        <v>2426</v>
      </c>
      <c r="C553" t="s">
        <v>338</v>
      </c>
      <c r="D553">
        <v>275</v>
      </c>
      <c r="E553" s="210">
        <v>94.736842105263094</v>
      </c>
    </row>
    <row r="554" spans="1:5" x14ac:dyDescent="0.2">
      <c r="A554">
        <v>553</v>
      </c>
      <c r="B554" t="s">
        <v>2424</v>
      </c>
      <c r="C554" t="s">
        <v>3701</v>
      </c>
      <c r="D554">
        <v>448</v>
      </c>
      <c r="E554" s="210">
        <v>83.870967741935402</v>
      </c>
    </row>
    <row r="555" spans="1:5" x14ac:dyDescent="0.2">
      <c r="A555">
        <v>554</v>
      </c>
      <c r="B555" t="s">
        <v>2422</v>
      </c>
      <c r="C555" t="s">
        <v>3701</v>
      </c>
      <c r="D555">
        <v>448</v>
      </c>
      <c r="E555" s="210">
        <v>86.6666666666666</v>
      </c>
    </row>
    <row r="556" spans="1:5" x14ac:dyDescent="0.2">
      <c r="A556">
        <v>555</v>
      </c>
      <c r="B556" t="s">
        <v>2420</v>
      </c>
      <c r="C556" t="s">
        <v>3701</v>
      </c>
      <c r="D556">
        <v>448</v>
      </c>
      <c r="E556" s="210">
        <v>86.6666666666666</v>
      </c>
    </row>
    <row r="557" spans="1:5" x14ac:dyDescent="0.2">
      <c r="A557">
        <v>556</v>
      </c>
      <c r="B557" t="s">
        <v>1086</v>
      </c>
      <c r="C557" t="s">
        <v>3702</v>
      </c>
      <c r="D557">
        <v>203</v>
      </c>
      <c r="E557" s="210">
        <v>100</v>
      </c>
    </row>
    <row r="558" spans="1:5" x14ac:dyDescent="0.2">
      <c r="A558">
        <v>557</v>
      </c>
      <c r="B558" t="s">
        <v>1373</v>
      </c>
      <c r="C558" t="s">
        <v>3540</v>
      </c>
      <c r="D558">
        <v>517</v>
      </c>
      <c r="E558" s="210">
        <v>87.5</v>
      </c>
    </row>
    <row r="559" spans="1:5" x14ac:dyDescent="0.2">
      <c r="A559">
        <v>558</v>
      </c>
      <c r="B559" t="s">
        <v>2416</v>
      </c>
      <c r="C559" t="s">
        <v>3703</v>
      </c>
      <c r="D559">
        <v>276</v>
      </c>
      <c r="E559" s="210">
        <v>87.179487179487097</v>
      </c>
    </row>
    <row r="560" spans="1:5" x14ac:dyDescent="0.2">
      <c r="A560">
        <v>559</v>
      </c>
      <c r="B560" t="s">
        <v>2414</v>
      </c>
      <c r="C560" t="s">
        <v>3703</v>
      </c>
      <c r="D560">
        <v>276</v>
      </c>
      <c r="E560" s="210">
        <v>87.179487179487097</v>
      </c>
    </row>
    <row r="561" spans="1:5" x14ac:dyDescent="0.2">
      <c r="A561">
        <v>560</v>
      </c>
      <c r="B561" t="s">
        <v>2412</v>
      </c>
      <c r="C561" t="s">
        <v>3525</v>
      </c>
      <c r="D561">
        <v>364</v>
      </c>
      <c r="E561" s="210">
        <v>68.571428571428498</v>
      </c>
    </row>
    <row r="562" spans="1:5" x14ac:dyDescent="0.2">
      <c r="A562">
        <v>561</v>
      </c>
      <c r="B562" t="s">
        <v>2410</v>
      </c>
      <c r="C562" t="s">
        <v>2410</v>
      </c>
      <c r="D562">
        <v>640</v>
      </c>
      <c r="E562" s="210">
        <v>100</v>
      </c>
    </row>
    <row r="563" spans="1:5" x14ac:dyDescent="0.2">
      <c r="A563">
        <v>562</v>
      </c>
      <c r="B563" t="s">
        <v>2408</v>
      </c>
      <c r="C563" t="s">
        <v>3704</v>
      </c>
      <c r="D563">
        <v>74</v>
      </c>
      <c r="E563" s="210">
        <v>94.736842105263094</v>
      </c>
    </row>
    <row r="564" spans="1:5" x14ac:dyDescent="0.2">
      <c r="A564">
        <v>563</v>
      </c>
      <c r="B564" t="s">
        <v>2406</v>
      </c>
      <c r="C564" t="s">
        <v>3506</v>
      </c>
      <c r="D564">
        <v>617</v>
      </c>
      <c r="E564" s="210">
        <v>60.606060606060602</v>
      </c>
    </row>
    <row r="565" spans="1:5" x14ac:dyDescent="0.2">
      <c r="A565">
        <v>564</v>
      </c>
      <c r="B565" t="s">
        <v>2404</v>
      </c>
      <c r="C565" t="s">
        <v>3611</v>
      </c>
      <c r="D565">
        <v>45</v>
      </c>
      <c r="E565" s="210">
        <v>90.909090909090907</v>
      </c>
    </row>
    <row r="566" spans="1:5" x14ac:dyDescent="0.2">
      <c r="A566">
        <v>565</v>
      </c>
      <c r="B566" t="s">
        <v>2402</v>
      </c>
      <c r="C566" t="s">
        <v>2402</v>
      </c>
      <c r="D566">
        <v>171</v>
      </c>
      <c r="E566" s="210">
        <v>100</v>
      </c>
    </row>
    <row r="567" spans="1:5" x14ac:dyDescent="0.2">
      <c r="A567">
        <v>566</v>
      </c>
      <c r="B567" t="s">
        <v>2400</v>
      </c>
      <c r="C567" t="s">
        <v>1289</v>
      </c>
      <c r="D567">
        <v>127</v>
      </c>
      <c r="E567" s="210">
        <v>96.551724137931004</v>
      </c>
    </row>
    <row r="568" spans="1:5" x14ac:dyDescent="0.2">
      <c r="A568">
        <v>567</v>
      </c>
      <c r="B568" t="s">
        <v>163</v>
      </c>
      <c r="C568" t="s">
        <v>163</v>
      </c>
      <c r="D568">
        <v>332</v>
      </c>
      <c r="E568" s="210">
        <v>100</v>
      </c>
    </row>
    <row r="569" spans="1:5" x14ac:dyDescent="0.2">
      <c r="A569">
        <v>568</v>
      </c>
      <c r="B569" t="s">
        <v>164</v>
      </c>
      <c r="C569" t="s">
        <v>164</v>
      </c>
      <c r="D569">
        <v>396</v>
      </c>
      <c r="E569" s="210">
        <v>100</v>
      </c>
    </row>
    <row r="570" spans="1:5" x14ac:dyDescent="0.2">
      <c r="A570">
        <v>569</v>
      </c>
      <c r="B570" t="s">
        <v>2396</v>
      </c>
      <c r="C570" t="s">
        <v>2440</v>
      </c>
      <c r="D570">
        <v>546</v>
      </c>
      <c r="E570" s="210">
        <v>52.631578947368403</v>
      </c>
    </row>
    <row r="571" spans="1:5" x14ac:dyDescent="0.2">
      <c r="A571">
        <v>570</v>
      </c>
      <c r="B571" t="s">
        <v>2394</v>
      </c>
      <c r="C571" t="s">
        <v>3700</v>
      </c>
      <c r="D571">
        <v>211</v>
      </c>
      <c r="E571" s="210">
        <v>63.636363636363598</v>
      </c>
    </row>
    <row r="572" spans="1:5" x14ac:dyDescent="0.2">
      <c r="A572">
        <v>571</v>
      </c>
      <c r="B572" t="s">
        <v>2392</v>
      </c>
      <c r="C572" t="s">
        <v>97</v>
      </c>
      <c r="D572">
        <v>307</v>
      </c>
      <c r="E572" s="210">
        <v>61.538461538461497</v>
      </c>
    </row>
    <row r="573" spans="1:5" x14ac:dyDescent="0.2">
      <c r="A573">
        <v>572</v>
      </c>
      <c r="B573" t="s">
        <v>2390</v>
      </c>
      <c r="C573" t="s">
        <v>2390</v>
      </c>
      <c r="D573">
        <v>359</v>
      </c>
      <c r="E573" s="210">
        <v>100</v>
      </c>
    </row>
    <row r="574" spans="1:5" x14ac:dyDescent="0.2">
      <c r="A574">
        <v>573</v>
      </c>
      <c r="B574" t="s">
        <v>2388</v>
      </c>
      <c r="C574" t="s">
        <v>2388</v>
      </c>
      <c r="D574">
        <v>374</v>
      </c>
      <c r="E574" s="210">
        <v>100</v>
      </c>
    </row>
    <row r="575" spans="1:5" x14ac:dyDescent="0.2">
      <c r="A575">
        <v>574</v>
      </c>
      <c r="B575" t="s">
        <v>2386</v>
      </c>
      <c r="C575" t="s">
        <v>2386</v>
      </c>
      <c r="D575">
        <v>459</v>
      </c>
      <c r="E575" s="210">
        <v>100</v>
      </c>
    </row>
    <row r="576" spans="1:5" x14ac:dyDescent="0.2">
      <c r="A576">
        <v>575</v>
      </c>
      <c r="B576" t="s">
        <v>340</v>
      </c>
      <c r="C576" t="s">
        <v>340</v>
      </c>
      <c r="D576">
        <v>121</v>
      </c>
      <c r="E576" s="210">
        <v>100</v>
      </c>
    </row>
    <row r="577" spans="1:5" x14ac:dyDescent="0.2">
      <c r="A577">
        <v>576</v>
      </c>
      <c r="B577" t="s">
        <v>2383</v>
      </c>
      <c r="C577" t="s">
        <v>3904</v>
      </c>
      <c r="D577">
        <v>348</v>
      </c>
      <c r="E577" s="210">
        <v>46.153846153846096</v>
      </c>
    </row>
    <row r="578" spans="1:5" x14ac:dyDescent="0.2">
      <c r="A578">
        <v>577</v>
      </c>
      <c r="B578" t="s">
        <v>1100</v>
      </c>
      <c r="C578" t="s">
        <v>3705</v>
      </c>
      <c r="D578">
        <v>257</v>
      </c>
      <c r="E578" s="210">
        <v>74.074074074074005</v>
      </c>
    </row>
    <row r="579" spans="1:5" x14ac:dyDescent="0.2">
      <c r="A579">
        <v>578</v>
      </c>
      <c r="B579" t="s">
        <v>2380</v>
      </c>
      <c r="C579" t="s">
        <v>2380</v>
      </c>
      <c r="D579">
        <v>392</v>
      </c>
      <c r="E579" s="210">
        <v>100</v>
      </c>
    </row>
    <row r="580" spans="1:5" x14ac:dyDescent="0.2">
      <c r="A580">
        <v>579</v>
      </c>
      <c r="B580" t="s">
        <v>2378</v>
      </c>
      <c r="C580" t="s">
        <v>2380</v>
      </c>
      <c r="D580">
        <v>392</v>
      </c>
      <c r="E580" s="210">
        <v>83.870967741935402</v>
      </c>
    </row>
    <row r="581" spans="1:5" x14ac:dyDescent="0.2">
      <c r="A581">
        <v>580</v>
      </c>
      <c r="B581" t="s">
        <v>2376</v>
      </c>
      <c r="C581" t="s">
        <v>1843</v>
      </c>
      <c r="D581">
        <v>73</v>
      </c>
      <c r="E581" s="210">
        <v>57.142857142857103</v>
      </c>
    </row>
    <row r="582" spans="1:5" x14ac:dyDescent="0.2">
      <c r="A582">
        <v>581</v>
      </c>
      <c r="B582" t="s">
        <v>2374</v>
      </c>
      <c r="C582" t="s">
        <v>376</v>
      </c>
      <c r="D582">
        <v>237</v>
      </c>
      <c r="E582" s="210">
        <v>42.105263157894697</v>
      </c>
    </row>
    <row r="583" spans="1:5" x14ac:dyDescent="0.2">
      <c r="A583">
        <v>582</v>
      </c>
      <c r="B583" t="s">
        <v>1194</v>
      </c>
      <c r="C583" t="s">
        <v>1194</v>
      </c>
      <c r="D583">
        <v>134</v>
      </c>
      <c r="E583" s="210">
        <v>100</v>
      </c>
    </row>
    <row r="584" spans="1:5" x14ac:dyDescent="0.2">
      <c r="A584">
        <v>583</v>
      </c>
      <c r="B584" t="s">
        <v>2371</v>
      </c>
      <c r="C584" t="s">
        <v>96</v>
      </c>
      <c r="D584">
        <v>352</v>
      </c>
      <c r="E584" s="210">
        <v>70.270270270270203</v>
      </c>
    </row>
    <row r="585" spans="1:5" x14ac:dyDescent="0.2">
      <c r="A585">
        <v>584</v>
      </c>
      <c r="B585" t="s">
        <v>2369</v>
      </c>
      <c r="C585" t="s">
        <v>2369</v>
      </c>
      <c r="D585">
        <v>298</v>
      </c>
      <c r="E585" s="210">
        <v>100</v>
      </c>
    </row>
    <row r="586" spans="1:5" x14ac:dyDescent="0.2">
      <c r="A586">
        <v>585</v>
      </c>
      <c r="B586" t="s">
        <v>2367</v>
      </c>
      <c r="C586" t="s">
        <v>3706</v>
      </c>
      <c r="D586">
        <v>378</v>
      </c>
      <c r="E586" s="210">
        <v>76.923076923076906</v>
      </c>
    </row>
    <row r="587" spans="1:5" x14ac:dyDescent="0.2">
      <c r="A587">
        <v>586</v>
      </c>
      <c r="B587" t="s">
        <v>2365</v>
      </c>
      <c r="C587" t="s">
        <v>3706</v>
      </c>
      <c r="D587">
        <v>378</v>
      </c>
      <c r="E587" s="210">
        <v>76.923076923076906</v>
      </c>
    </row>
    <row r="588" spans="1:5" x14ac:dyDescent="0.2">
      <c r="A588">
        <v>587</v>
      </c>
      <c r="B588" t="s">
        <v>2363</v>
      </c>
      <c r="C588" t="s">
        <v>3707</v>
      </c>
      <c r="D588">
        <v>471</v>
      </c>
      <c r="E588" s="210">
        <v>80</v>
      </c>
    </row>
    <row r="589" spans="1:5" x14ac:dyDescent="0.2">
      <c r="A589">
        <v>588</v>
      </c>
      <c r="B589" t="s">
        <v>2361</v>
      </c>
      <c r="C589" t="s">
        <v>3708</v>
      </c>
      <c r="D589">
        <v>306</v>
      </c>
      <c r="E589" s="210">
        <v>78.571428571428498</v>
      </c>
    </row>
    <row r="590" spans="1:5" x14ac:dyDescent="0.2">
      <c r="A590">
        <v>589</v>
      </c>
      <c r="B590" t="s">
        <v>1329</v>
      </c>
      <c r="C590" t="s">
        <v>3709</v>
      </c>
      <c r="D590">
        <v>50</v>
      </c>
      <c r="E590" s="210">
        <v>80</v>
      </c>
    </row>
    <row r="591" spans="1:5" x14ac:dyDescent="0.2">
      <c r="A591">
        <v>590</v>
      </c>
      <c r="B591" t="s">
        <v>2358</v>
      </c>
      <c r="C591" t="s">
        <v>194</v>
      </c>
      <c r="D591">
        <v>421</v>
      </c>
      <c r="E591" s="210">
        <v>56.25</v>
      </c>
    </row>
    <row r="592" spans="1:5" x14ac:dyDescent="0.2">
      <c r="A592">
        <v>591</v>
      </c>
      <c r="B592" t="s">
        <v>2356</v>
      </c>
      <c r="C592" t="s">
        <v>2356</v>
      </c>
      <c r="D592">
        <v>126</v>
      </c>
      <c r="E592" s="210">
        <v>100</v>
      </c>
    </row>
    <row r="593" spans="1:5" x14ac:dyDescent="0.2">
      <c r="A593">
        <v>592</v>
      </c>
      <c r="B593" t="s">
        <v>2354</v>
      </c>
      <c r="C593" t="s">
        <v>3608</v>
      </c>
      <c r="D593">
        <v>66</v>
      </c>
      <c r="E593" s="210">
        <v>84.848484848484802</v>
      </c>
    </row>
    <row r="594" spans="1:5" x14ac:dyDescent="0.2">
      <c r="A594">
        <v>593</v>
      </c>
      <c r="B594" t="s">
        <v>2352</v>
      </c>
      <c r="C594" t="s">
        <v>3720</v>
      </c>
      <c r="D594">
        <v>118</v>
      </c>
      <c r="E594" s="210">
        <v>58.823529411764703</v>
      </c>
    </row>
    <row r="595" spans="1:5" x14ac:dyDescent="0.2">
      <c r="A595">
        <v>594</v>
      </c>
      <c r="B595" t="s">
        <v>2350</v>
      </c>
      <c r="C595" t="s">
        <v>3710</v>
      </c>
      <c r="D595">
        <v>40</v>
      </c>
      <c r="E595" s="210">
        <v>66.6666666666666</v>
      </c>
    </row>
    <row r="596" spans="1:5" x14ac:dyDescent="0.2">
      <c r="A596">
        <v>595</v>
      </c>
      <c r="B596" t="s">
        <v>2348</v>
      </c>
      <c r="C596" t="s">
        <v>3711</v>
      </c>
      <c r="D596">
        <v>122</v>
      </c>
      <c r="E596" s="210">
        <v>66.6666666666666</v>
      </c>
    </row>
    <row r="597" spans="1:5" x14ac:dyDescent="0.2">
      <c r="A597">
        <v>596</v>
      </c>
      <c r="B597" t="s">
        <v>2346</v>
      </c>
      <c r="C597" t="s">
        <v>3711</v>
      </c>
      <c r="D597">
        <v>122</v>
      </c>
      <c r="E597" s="210">
        <v>84.615384615384599</v>
      </c>
    </row>
    <row r="598" spans="1:5" x14ac:dyDescent="0.2">
      <c r="A598">
        <v>597</v>
      </c>
      <c r="B598" t="s">
        <v>2344</v>
      </c>
      <c r="C598" t="s">
        <v>3711</v>
      </c>
      <c r="D598">
        <v>122</v>
      </c>
      <c r="E598" s="210">
        <v>36.363636363636303</v>
      </c>
    </row>
    <row r="599" spans="1:5" x14ac:dyDescent="0.2">
      <c r="A599">
        <v>598</v>
      </c>
      <c r="B599" t="s">
        <v>2342</v>
      </c>
      <c r="C599" t="s">
        <v>3712</v>
      </c>
      <c r="D599">
        <v>142</v>
      </c>
      <c r="E599" s="210">
        <v>90.909090909090907</v>
      </c>
    </row>
    <row r="600" spans="1:5" x14ac:dyDescent="0.2">
      <c r="A600">
        <v>599</v>
      </c>
      <c r="B600" t="s">
        <v>2340</v>
      </c>
      <c r="C600" t="s">
        <v>3713</v>
      </c>
      <c r="D600">
        <v>35</v>
      </c>
      <c r="E600" s="210">
        <v>91.6666666666666</v>
      </c>
    </row>
    <row r="601" spans="1:5" x14ac:dyDescent="0.2">
      <c r="A601">
        <v>600</v>
      </c>
      <c r="B601" t="s">
        <v>2338</v>
      </c>
      <c r="C601" t="s">
        <v>3714</v>
      </c>
      <c r="D601">
        <v>48</v>
      </c>
      <c r="E601" s="210">
        <v>60</v>
      </c>
    </row>
    <row r="602" spans="1:5" x14ac:dyDescent="0.2">
      <c r="A602">
        <v>601</v>
      </c>
      <c r="B602" t="s">
        <v>1204</v>
      </c>
      <c r="C602" t="s">
        <v>3715</v>
      </c>
      <c r="D602">
        <v>310</v>
      </c>
      <c r="E602" s="210">
        <v>80</v>
      </c>
    </row>
    <row r="603" spans="1:5" x14ac:dyDescent="0.2">
      <c r="A603">
        <v>602</v>
      </c>
      <c r="B603" t="s">
        <v>2335</v>
      </c>
      <c r="C603" t="s">
        <v>3715</v>
      </c>
      <c r="D603">
        <v>310</v>
      </c>
      <c r="E603" s="210">
        <v>80</v>
      </c>
    </row>
    <row r="604" spans="1:5" x14ac:dyDescent="0.2">
      <c r="A604">
        <v>603</v>
      </c>
      <c r="B604" t="s">
        <v>2333</v>
      </c>
      <c r="C604" t="s">
        <v>3608</v>
      </c>
      <c r="D604">
        <v>66</v>
      </c>
      <c r="E604" s="210">
        <v>54.545454545454497</v>
      </c>
    </row>
    <row r="605" spans="1:5" x14ac:dyDescent="0.2">
      <c r="A605">
        <v>604</v>
      </c>
      <c r="B605" t="s">
        <v>981</v>
      </c>
      <c r="C605" t="s">
        <v>3716</v>
      </c>
      <c r="D605">
        <v>495</v>
      </c>
      <c r="E605" s="210">
        <v>88</v>
      </c>
    </row>
    <row r="606" spans="1:5" x14ac:dyDescent="0.2">
      <c r="A606">
        <v>605</v>
      </c>
      <c r="B606" t="s">
        <v>2330</v>
      </c>
      <c r="C606" t="s">
        <v>3672</v>
      </c>
      <c r="D606">
        <v>145</v>
      </c>
      <c r="E606" s="210">
        <v>66.6666666666666</v>
      </c>
    </row>
    <row r="607" spans="1:5" x14ac:dyDescent="0.2">
      <c r="A607">
        <v>606</v>
      </c>
      <c r="B607" t="s">
        <v>2328</v>
      </c>
      <c r="C607" t="s">
        <v>3717</v>
      </c>
      <c r="D607">
        <v>56</v>
      </c>
      <c r="E607" s="210">
        <v>70</v>
      </c>
    </row>
    <row r="608" spans="1:5" x14ac:dyDescent="0.2">
      <c r="A608">
        <v>607</v>
      </c>
      <c r="B608" t="s">
        <v>2326</v>
      </c>
      <c r="C608" t="s">
        <v>2326</v>
      </c>
      <c r="D608">
        <v>83</v>
      </c>
      <c r="E608" s="210">
        <v>100</v>
      </c>
    </row>
    <row r="609" spans="1:5" x14ac:dyDescent="0.2">
      <c r="A609">
        <v>608</v>
      </c>
      <c r="B609" t="s">
        <v>2324</v>
      </c>
      <c r="C609" t="s">
        <v>3835</v>
      </c>
      <c r="D609">
        <v>415</v>
      </c>
      <c r="E609" s="210">
        <v>52.173913043478201</v>
      </c>
    </row>
    <row r="610" spans="1:5" x14ac:dyDescent="0.2">
      <c r="A610">
        <v>609</v>
      </c>
      <c r="B610" t="s">
        <v>2322</v>
      </c>
      <c r="C610" t="s">
        <v>3774</v>
      </c>
      <c r="D610">
        <v>15</v>
      </c>
      <c r="E610" s="210">
        <v>51.612903225806399</v>
      </c>
    </row>
    <row r="611" spans="1:5" x14ac:dyDescent="0.2">
      <c r="A611">
        <v>610</v>
      </c>
      <c r="B611" t="s">
        <v>2320</v>
      </c>
      <c r="C611" t="s">
        <v>3774</v>
      </c>
      <c r="D611">
        <v>15</v>
      </c>
      <c r="E611" s="210">
        <v>50</v>
      </c>
    </row>
    <row r="612" spans="1:5" x14ac:dyDescent="0.2">
      <c r="A612">
        <v>611</v>
      </c>
      <c r="B612" t="s">
        <v>2318</v>
      </c>
      <c r="C612" t="s">
        <v>3718</v>
      </c>
      <c r="D612">
        <v>86</v>
      </c>
      <c r="E612" s="210">
        <v>73.684210526315795</v>
      </c>
    </row>
    <row r="613" spans="1:5" x14ac:dyDescent="0.2">
      <c r="A613">
        <v>612</v>
      </c>
      <c r="B613" t="s">
        <v>2316</v>
      </c>
      <c r="C613" t="s">
        <v>2316</v>
      </c>
      <c r="D613">
        <v>571</v>
      </c>
      <c r="E613" s="210">
        <v>100</v>
      </c>
    </row>
    <row r="614" spans="1:5" x14ac:dyDescent="0.2">
      <c r="A614">
        <v>613</v>
      </c>
      <c r="B614" t="s">
        <v>1346</v>
      </c>
      <c r="C614" t="s">
        <v>1346</v>
      </c>
      <c r="D614">
        <v>512</v>
      </c>
      <c r="E614" s="210">
        <v>100</v>
      </c>
    </row>
    <row r="615" spans="1:5" x14ac:dyDescent="0.2">
      <c r="A615">
        <v>614</v>
      </c>
      <c r="B615" t="s">
        <v>2313</v>
      </c>
      <c r="C615" t="s">
        <v>2313</v>
      </c>
      <c r="D615">
        <v>621</v>
      </c>
      <c r="E615" s="210">
        <v>100</v>
      </c>
    </row>
    <row r="616" spans="1:5" x14ac:dyDescent="0.2">
      <c r="A616">
        <v>615</v>
      </c>
      <c r="B616" t="s">
        <v>2311</v>
      </c>
      <c r="C616" t="s">
        <v>2311</v>
      </c>
      <c r="D616">
        <v>564</v>
      </c>
      <c r="E616" s="210">
        <v>100</v>
      </c>
    </row>
    <row r="617" spans="1:5" x14ac:dyDescent="0.2">
      <c r="A617">
        <v>616</v>
      </c>
      <c r="B617" t="s">
        <v>2309</v>
      </c>
      <c r="C617" t="s">
        <v>1289</v>
      </c>
      <c r="D617">
        <v>127</v>
      </c>
      <c r="E617" s="210">
        <v>41.379310344827502</v>
      </c>
    </row>
    <row r="618" spans="1:5" x14ac:dyDescent="0.2">
      <c r="A618">
        <v>617</v>
      </c>
      <c r="B618" t="s">
        <v>2307</v>
      </c>
      <c r="C618" t="s">
        <v>1289</v>
      </c>
      <c r="D618">
        <v>127</v>
      </c>
      <c r="E618" s="210">
        <v>44.4444444444444</v>
      </c>
    </row>
    <row r="619" spans="1:5" x14ac:dyDescent="0.2">
      <c r="A619">
        <v>618</v>
      </c>
      <c r="B619" t="s">
        <v>2305</v>
      </c>
      <c r="C619" t="s">
        <v>3719</v>
      </c>
      <c r="D619">
        <v>55</v>
      </c>
      <c r="E619" s="210">
        <v>78.260869565217305</v>
      </c>
    </row>
    <row r="620" spans="1:5" x14ac:dyDescent="0.2">
      <c r="A620">
        <v>619</v>
      </c>
      <c r="B620" t="s">
        <v>2303</v>
      </c>
      <c r="C620" t="s">
        <v>3720</v>
      </c>
      <c r="D620">
        <v>118</v>
      </c>
      <c r="E620" s="210">
        <v>86.6666666666666</v>
      </c>
    </row>
    <row r="621" spans="1:5" x14ac:dyDescent="0.2">
      <c r="A621">
        <v>620</v>
      </c>
      <c r="B621" t="s">
        <v>2301</v>
      </c>
      <c r="C621" t="s">
        <v>2301</v>
      </c>
      <c r="D621">
        <v>43</v>
      </c>
      <c r="E621" s="210">
        <v>100</v>
      </c>
    </row>
    <row r="622" spans="1:5" x14ac:dyDescent="0.2">
      <c r="A622">
        <v>621</v>
      </c>
      <c r="B622" t="s">
        <v>2299</v>
      </c>
      <c r="C622" t="s">
        <v>2297</v>
      </c>
      <c r="D622">
        <v>551</v>
      </c>
      <c r="E622" s="210">
        <v>72.727272727272705</v>
      </c>
    </row>
    <row r="623" spans="1:5" x14ac:dyDescent="0.2">
      <c r="A623">
        <v>622</v>
      </c>
      <c r="B623" t="s">
        <v>2297</v>
      </c>
      <c r="C623" t="s">
        <v>2297</v>
      </c>
      <c r="D623">
        <v>551</v>
      </c>
      <c r="E623" s="210">
        <v>100</v>
      </c>
    </row>
    <row r="624" spans="1:5" x14ac:dyDescent="0.2">
      <c r="A624">
        <v>623</v>
      </c>
      <c r="B624" t="s">
        <v>2295</v>
      </c>
      <c r="C624" t="s">
        <v>3721</v>
      </c>
      <c r="D624">
        <v>633</v>
      </c>
      <c r="E624" s="210">
        <v>91.6666666666666</v>
      </c>
    </row>
    <row r="625" spans="1:5" x14ac:dyDescent="0.2">
      <c r="A625">
        <v>624</v>
      </c>
      <c r="B625" t="s">
        <v>2293</v>
      </c>
      <c r="C625" t="s">
        <v>3722</v>
      </c>
      <c r="D625">
        <v>656</v>
      </c>
      <c r="E625" s="210">
        <v>91.6666666666666</v>
      </c>
    </row>
    <row r="626" spans="1:5" x14ac:dyDescent="0.2">
      <c r="A626">
        <v>625</v>
      </c>
      <c r="B626" t="s">
        <v>2291</v>
      </c>
      <c r="C626" t="s">
        <v>2291</v>
      </c>
      <c r="D626">
        <v>191</v>
      </c>
      <c r="E626" s="210">
        <v>100</v>
      </c>
    </row>
    <row r="627" spans="1:5" x14ac:dyDescent="0.2">
      <c r="A627">
        <v>626</v>
      </c>
      <c r="B627" t="s">
        <v>175</v>
      </c>
      <c r="C627" t="s">
        <v>175</v>
      </c>
      <c r="D627">
        <v>428</v>
      </c>
      <c r="E627" s="210">
        <v>100</v>
      </c>
    </row>
    <row r="628" spans="1:5" x14ac:dyDescent="0.2">
      <c r="A628">
        <v>627</v>
      </c>
      <c r="B628" t="s">
        <v>2288</v>
      </c>
      <c r="C628" t="s">
        <v>3524</v>
      </c>
      <c r="D628">
        <v>395</v>
      </c>
      <c r="E628" s="210">
        <v>100</v>
      </c>
    </row>
    <row r="629" spans="1:5" x14ac:dyDescent="0.2">
      <c r="A629">
        <v>628</v>
      </c>
      <c r="B629" t="s">
        <v>2286</v>
      </c>
      <c r="C629" t="s">
        <v>3723</v>
      </c>
      <c r="D629">
        <v>116</v>
      </c>
      <c r="E629" s="210">
        <v>90.909090909090907</v>
      </c>
    </row>
    <row r="630" spans="1:5" x14ac:dyDescent="0.2">
      <c r="A630">
        <v>629</v>
      </c>
      <c r="B630" t="s">
        <v>2284</v>
      </c>
      <c r="C630" t="s">
        <v>3724</v>
      </c>
      <c r="D630">
        <v>651</v>
      </c>
      <c r="E630" s="210">
        <v>83.3333333333333</v>
      </c>
    </row>
    <row r="631" spans="1:5" x14ac:dyDescent="0.2">
      <c r="A631">
        <v>630</v>
      </c>
      <c r="B631" t="s">
        <v>2282</v>
      </c>
      <c r="C631" t="s">
        <v>3725</v>
      </c>
      <c r="D631">
        <v>407</v>
      </c>
      <c r="E631" s="210">
        <v>64</v>
      </c>
    </row>
    <row r="632" spans="1:5" x14ac:dyDescent="0.2">
      <c r="A632">
        <v>631</v>
      </c>
      <c r="B632" t="s">
        <v>2280</v>
      </c>
      <c r="C632" t="s">
        <v>3725</v>
      </c>
      <c r="D632">
        <v>407</v>
      </c>
      <c r="E632" s="210">
        <v>86.6666666666666</v>
      </c>
    </row>
    <row r="633" spans="1:5" x14ac:dyDescent="0.2">
      <c r="A633">
        <v>632</v>
      </c>
      <c r="B633" t="s">
        <v>2278</v>
      </c>
      <c r="C633" t="s">
        <v>3725</v>
      </c>
      <c r="D633">
        <v>407</v>
      </c>
      <c r="E633" s="210">
        <v>81.25</v>
      </c>
    </row>
    <row r="634" spans="1:5" x14ac:dyDescent="0.2">
      <c r="A634">
        <v>633</v>
      </c>
      <c r="B634" t="s">
        <v>2276</v>
      </c>
      <c r="C634" t="s">
        <v>3726</v>
      </c>
      <c r="D634">
        <v>64</v>
      </c>
      <c r="E634" s="210">
        <v>86.486486486486399</v>
      </c>
    </row>
    <row r="635" spans="1:5" x14ac:dyDescent="0.2">
      <c r="A635">
        <v>634</v>
      </c>
      <c r="B635" t="s">
        <v>2274</v>
      </c>
      <c r="C635" t="s">
        <v>3727</v>
      </c>
      <c r="D635">
        <v>603</v>
      </c>
      <c r="E635" s="210">
        <v>82.352941176470495</v>
      </c>
    </row>
    <row r="636" spans="1:5" x14ac:dyDescent="0.2">
      <c r="A636">
        <v>635</v>
      </c>
      <c r="B636" t="s">
        <v>949</v>
      </c>
      <c r="C636" t="s">
        <v>3728</v>
      </c>
      <c r="D636">
        <v>13</v>
      </c>
      <c r="E636" s="210">
        <v>74.418604651162795</v>
      </c>
    </row>
    <row r="637" spans="1:5" x14ac:dyDescent="0.2">
      <c r="A637">
        <v>636</v>
      </c>
      <c r="B637" t="s">
        <v>2271</v>
      </c>
      <c r="C637" t="s">
        <v>3701</v>
      </c>
      <c r="D637">
        <v>448</v>
      </c>
      <c r="E637" s="210">
        <v>51.851851851851798</v>
      </c>
    </row>
    <row r="638" spans="1:5" x14ac:dyDescent="0.2">
      <c r="A638">
        <v>637</v>
      </c>
      <c r="B638" t="s">
        <v>1364</v>
      </c>
      <c r="C638" t="s">
        <v>1364</v>
      </c>
      <c r="D638">
        <v>447</v>
      </c>
      <c r="E638" s="210">
        <v>100</v>
      </c>
    </row>
    <row r="639" spans="1:5" x14ac:dyDescent="0.2">
      <c r="A639">
        <v>638</v>
      </c>
      <c r="B639" t="s">
        <v>2268</v>
      </c>
      <c r="C639" t="s">
        <v>3729</v>
      </c>
      <c r="D639">
        <v>576</v>
      </c>
      <c r="E639" s="210">
        <v>83.870967741935402</v>
      </c>
    </row>
    <row r="640" spans="1:5" x14ac:dyDescent="0.2">
      <c r="A640">
        <v>639</v>
      </c>
      <c r="B640" t="s">
        <v>2266</v>
      </c>
      <c r="C640" t="s">
        <v>3730</v>
      </c>
      <c r="D640">
        <v>437</v>
      </c>
      <c r="E640" s="210">
        <v>82.352941176470495</v>
      </c>
    </row>
    <row r="641" spans="1:5" x14ac:dyDescent="0.2">
      <c r="A641">
        <v>640</v>
      </c>
      <c r="B641" t="s">
        <v>2264</v>
      </c>
      <c r="C641" t="s">
        <v>3731</v>
      </c>
      <c r="D641">
        <v>342</v>
      </c>
      <c r="E641" s="210">
        <v>78.571428571428498</v>
      </c>
    </row>
    <row r="642" spans="1:5" x14ac:dyDescent="0.2">
      <c r="A642">
        <v>641</v>
      </c>
      <c r="B642" t="s">
        <v>2262</v>
      </c>
      <c r="C642" t="s">
        <v>3731</v>
      </c>
      <c r="D642">
        <v>342</v>
      </c>
      <c r="E642" s="210">
        <v>78.571428571428498</v>
      </c>
    </row>
    <row r="643" spans="1:5" x14ac:dyDescent="0.2">
      <c r="A643">
        <v>642</v>
      </c>
      <c r="B643" t="s">
        <v>2260</v>
      </c>
      <c r="C643" t="s">
        <v>3732</v>
      </c>
      <c r="D643">
        <v>304</v>
      </c>
      <c r="E643" s="210">
        <v>81.25</v>
      </c>
    </row>
    <row r="644" spans="1:5" x14ac:dyDescent="0.2">
      <c r="A644">
        <v>643</v>
      </c>
      <c r="B644" t="s">
        <v>2258</v>
      </c>
      <c r="C644" t="s">
        <v>3733</v>
      </c>
      <c r="D644">
        <v>287</v>
      </c>
      <c r="E644" s="210">
        <v>78.571428571428498</v>
      </c>
    </row>
    <row r="645" spans="1:5" x14ac:dyDescent="0.2">
      <c r="A645">
        <v>644</v>
      </c>
      <c r="B645" t="s">
        <v>2256</v>
      </c>
      <c r="C645" t="s">
        <v>3734</v>
      </c>
      <c r="D645">
        <v>174</v>
      </c>
      <c r="E645" s="210">
        <v>71.428571428571402</v>
      </c>
    </row>
    <row r="646" spans="1:5" x14ac:dyDescent="0.2">
      <c r="A646">
        <v>645</v>
      </c>
      <c r="B646" t="s">
        <v>2254</v>
      </c>
      <c r="C646" t="s">
        <v>3734</v>
      </c>
      <c r="D646">
        <v>174</v>
      </c>
      <c r="E646" s="210">
        <v>68.965517241379303</v>
      </c>
    </row>
    <row r="647" spans="1:5" x14ac:dyDescent="0.2">
      <c r="A647">
        <v>646</v>
      </c>
      <c r="B647" t="s">
        <v>2252</v>
      </c>
      <c r="C647" t="s">
        <v>3735</v>
      </c>
      <c r="D647">
        <v>533</v>
      </c>
      <c r="E647" s="210">
        <v>88.8888888888888</v>
      </c>
    </row>
    <row r="648" spans="1:5" x14ac:dyDescent="0.2">
      <c r="A648">
        <v>647</v>
      </c>
      <c r="B648" t="s">
        <v>2250</v>
      </c>
      <c r="C648" t="s">
        <v>3736</v>
      </c>
      <c r="D648">
        <v>404</v>
      </c>
      <c r="E648" s="210">
        <v>90</v>
      </c>
    </row>
    <row r="649" spans="1:5" x14ac:dyDescent="0.2">
      <c r="A649">
        <v>648</v>
      </c>
      <c r="B649" t="s">
        <v>2248</v>
      </c>
      <c r="C649" t="s">
        <v>3737</v>
      </c>
      <c r="D649">
        <v>561</v>
      </c>
      <c r="E649" s="210">
        <v>83.720930232558104</v>
      </c>
    </row>
    <row r="650" spans="1:5" x14ac:dyDescent="0.2">
      <c r="A650">
        <v>649</v>
      </c>
      <c r="B650" t="s">
        <v>2246</v>
      </c>
      <c r="C650" t="s">
        <v>3738</v>
      </c>
      <c r="D650">
        <v>485</v>
      </c>
      <c r="E650" s="210">
        <v>90</v>
      </c>
    </row>
    <row r="651" spans="1:5" x14ac:dyDescent="0.2">
      <c r="A651">
        <v>650</v>
      </c>
      <c r="B651" t="s">
        <v>2244</v>
      </c>
      <c r="C651" t="s">
        <v>3739</v>
      </c>
      <c r="D651">
        <v>529</v>
      </c>
      <c r="E651" s="210">
        <v>90</v>
      </c>
    </row>
    <row r="652" spans="1:5" x14ac:dyDescent="0.2">
      <c r="A652">
        <v>651</v>
      </c>
      <c r="B652" t="s">
        <v>2242</v>
      </c>
      <c r="C652" t="s">
        <v>3740</v>
      </c>
      <c r="D652">
        <v>291</v>
      </c>
      <c r="E652" s="210">
        <v>76.923076923076906</v>
      </c>
    </row>
    <row r="653" spans="1:5" x14ac:dyDescent="0.2">
      <c r="A653">
        <v>652</v>
      </c>
      <c r="B653" t="s">
        <v>2240</v>
      </c>
      <c r="C653" t="s">
        <v>3741</v>
      </c>
      <c r="D653">
        <v>75</v>
      </c>
      <c r="E653" s="210">
        <v>71.428571428571402</v>
      </c>
    </row>
    <row r="654" spans="1:5" x14ac:dyDescent="0.2">
      <c r="A654">
        <v>653</v>
      </c>
      <c r="B654" t="s">
        <v>2238</v>
      </c>
      <c r="C654" t="s">
        <v>3742</v>
      </c>
      <c r="D654">
        <v>76</v>
      </c>
      <c r="E654" s="210">
        <v>84.848484848484802</v>
      </c>
    </row>
    <row r="655" spans="1:5" x14ac:dyDescent="0.2">
      <c r="A655">
        <v>654</v>
      </c>
      <c r="B655" t="s">
        <v>1238</v>
      </c>
      <c r="C655" t="s">
        <v>1238</v>
      </c>
      <c r="D655">
        <v>367</v>
      </c>
      <c r="E655" s="210">
        <v>100</v>
      </c>
    </row>
    <row r="656" spans="1:5" x14ac:dyDescent="0.2">
      <c r="A656">
        <v>655</v>
      </c>
      <c r="B656" t="s">
        <v>1237</v>
      </c>
      <c r="C656" t="s">
        <v>1237</v>
      </c>
      <c r="D656">
        <v>297</v>
      </c>
      <c r="E656" s="210">
        <v>100</v>
      </c>
    </row>
    <row r="657" spans="1:5" x14ac:dyDescent="0.2">
      <c r="A657">
        <v>656</v>
      </c>
      <c r="B657" t="s">
        <v>2234</v>
      </c>
      <c r="C657" t="s">
        <v>3905</v>
      </c>
      <c r="D657">
        <v>408</v>
      </c>
      <c r="E657" s="210">
        <v>52.173913043478201</v>
      </c>
    </row>
    <row r="658" spans="1:5" x14ac:dyDescent="0.2">
      <c r="A658">
        <v>657</v>
      </c>
      <c r="B658" t="s">
        <v>2232</v>
      </c>
      <c r="C658" t="s">
        <v>3905</v>
      </c>
      <c r="D658">
        <v>408</v>
      </c>
      <c r="E658" s="210">
        <v>52.173913043478201</v>
      </c>
    </row>
    <row r="659" spans="1:5" x14ac:dyDescent="0.2">
      <c r="A659">
        <v>658</v>
      </c>
      <c r="B659" t="s">
        <v>2230</v>
      </c>
      <c r="C659" t="s">
        <v>314</v>
      </c>
      <c r="D659">
        <v>60</v>
      </c>
      <c r="E659" s="210">
        <v>45.454545454545404</v>
      </c>
    </row>
    <row r="660" spans="1:5" x14ac:dyDescent="0.2">
      <c r="A660">
        <v>659</v>
      </c>
      <c r="B660" t="s">
        <v>2228</v>
      </c>
      <c r="C660" t="s">
        <v>3743</v>
      </c>
      <c r="D660">
        <v>329</v>
      </c>
      <c r="E660" s="210">
        <v>82.926829268292593</v>
      </c>
    </row>
    <row r="661" spans="1:5" x14ac:dyDescent="0.2">
      <c r="A661">
        <v>660</v>
      </c>
      <c r="B661" t="s">
        <v>2226</v>
      </c>
      <c r="C661" t="s">
        <v>3744</v>
      </c>
      <c r="D661">
        <v>341</v>
      </c>
      <c r="E661" s="210">
        <v>76.190476190476105</v>
      </c>
    </row>
    <row r="662" spans="1:5" x14ac:dyDescent="0.2">
      <c r="A662">
        <v>661</v>
      </c>
      <c r="B662" t="s">
        <v>2224</v>
      </c>
      <c r="C662" t="s">
        <v>2224</v>
      </c>
      <c r="D662">
        <v>215</v>
      </c>
      <c r="E662" s="210">
        <v>100</v>
      </c>
    </row>
    <row r="663" spans="1:5" x14ac:dyDescent="0.2">
      <c r="A663">
        <v>662</v>
      </c>
      <c r="B663" t="s">
        <v>1007</v>
      </c>
      <c r="C663" t="s">
        <v>3745</v>
      </c>
      <c r="D663">
        <v>69</v>
      </c>
      <c r="E663" s="210">
        <v>76.190476190476105</v>
      </c>
    </row>
    <row r="664" spans="1:5" x14ac:dyDescent="0.2">
      <c r="A664">
        <v>663</v>
      </c>
      <c r="B664" t="s">
        <v>2221</v>
      </c>
      <c r="C664" t="s">
        <v>2221</v>
      </c>
      <c r="D664">
        <v>209</v>
      </c>
      <c r="E664" s="210">
        <v>100</v>
      </c>
    </row>
    <row r="665" spans="1:5" x14ac:dyDescent="0.2">
      <c r="A665">
        <v>664</v>
      </c>
      <c r="B665" t="s">
        <v>2219</v>
      </c>
      <c r="C665" t="s">
        <v>2221</v>
      </c>
      <c r="D665">
        <v>209</v>
      </c>
      <c r="E665" s="210">
        <v>88.8888888888888</v>
      </c>
    </row>
    <row r="666" spans="1:5" x14ac:dyDescent="0.2">
      <c r="A666">
        <v>665</v>
      </c>
      <c r="B666" t="s">
        <v>2217</v>
      </c>
      <c r="C666" t="s">
        <v>3746</v>
      </c>
      <c r="D666">
        <v>139</v>
      </c>
      <c r="E666" s="210">
        <v>76.595744680850999</v>
      </c>
    </row>
    <row r="667" spans="1:5" x14ac:dyDescent="0.2">
      <c r="A667">
        <v>666</v>
      </c>
      <c r="B667" t="s">
        <v>2215</v>
      </c>
      <c r="C667" t="s">
        <v>3747</v>
      </c>
      <c r="D667">
        <v>175</v>
      </c>
      <c r="E667" s="210">
        <v>74.418604651162795</v>
      </c>
    </row>
    <row r="668" spans="1:5" x14ac:dyDescent="0.2">
      <c r="A668">
        <v>667</v>
      </c>
      <c r="B668" t="s">
        <v>2213</v>
      </c>
      <c r="C668" t="s">
        <v>3747</v>
      </c>
      <c r="D668">
        <v>175</v>
      </c>
      <c r="E668" s="210">
        <v>86.363636363636303</v>
      </c>
    </row>
    <row r="669" spans="1:5" x14ac:dyDescent="0.2">
      <c r="A669">
        <v>668</v>
      </c>
      <c r="B669" t="s">
        <v>2211</v>
      </c>
      <c r="C669" t="s">
        <v>3746</v>
      </c>
      <c r="D669">
        <v>139</v>
      </c>
      <c r="E669" s="210">
        <v>87.5</v>
      </c>
    </row>
    <row r="670" spans="1:5" x14ac:dyDescent="0.2">
      <c r="A670">
        <v>669</v>
      </c>
      <c r="B670" t="s">
        <v>2209</v>
      </c>
      <c r="C670" t="s">
        <v>233</v>
      </c>
      <c r="D670">
        <v>425</v>
      </c>
      <c r="E670" s="210">
        <v>58.823529411764703</v>
      </c>
    </row>
    <row r="671" spans="1:5" x14ac:dyDescent="0.2">
      <c r="A671">
        <v>670</v>
      </c>
      <c r="B671" t="s">
        <v>2207</v>
      </c>
      <c r="C671" t="s">
        <v>3748</v>
      </c>
      <c r="D671">
        <v>28</v>
      </c>
      <c r="E671" s="210">
        <v>61.538461538461497</v>
      </c>
    </row>
    <row r="672" spans="1:5" x14ac:dyDescent="0.2">
      <c r="A672">
        <v>671</v>
      </c>
      <c r="B672" t="s">
        <v>2205</v>
      </c>
      <c r="C672" t="s">
        <v>3679</v>
      </c>
      <c r="D672">
        <v>525</v>
      </c>
      <c r="E672" s="210">
        <v>64</v>
      </c>
    </row>
    <row r="673" spans="1:5" x14ac:dyDescent="0.2">
      <c r="A673">
        <v>672</v>
      </c>
      <c r="B673" t="s">
        <v>2203</v>
      </c>
      <c r="C673" t="s">
        <v>3749</v>
      </c>
      <c r="D673">
        <v>170</v>
      </c>
      <c r="E673" s="210">
        <v>66.6666666666666</v>
      </c>
    </row>
    <row r="674" spans="1:5" x14ac:dyDescent="0.2">
      <c r="A674">
        <v>673</v>
      </c>
      <c r="B674" t="s">
        <v>2201</v>
      </c>
      <c r="C674" t="s">
        <v>2201</v>
      </c>
      <c r="D674">
        <v>111</v>
      </c>
      <c r="E674" s="210">
        <v>100</v>
      </c>
    </row>
    <row r="675" spans="1:5" x14ac:dyDescent="0.2">
      <c r="A675">
        <v>674</v>
      </c>
      <c r="B675" t="s">
        <v>2199</v>
      </c>
      <c r="C675" t="s">
        <v>3750</v>
      </c>
      <c r="D675">
        <v>202</v>
      </c>
      <c r="E675" s="210">
        <v>95.652173913043399</v>
      </c>
    </row>
    <row r="676" spans="1:5" x14ac:dyDescent="0.2">
      <c r="A676">
        <v>675</v>
      </c>
      <c r="B676" t="s">
        <v>2197</v>
      </c>
      <c r="C676" t="s">
        <v>3751</v>
      </c>
      <c r="D676">
        <v>581</v>
      </c>
      <c r="E676" s="210">
        <v>96</v>
      </c>
    </row>
    <row r="677" spans="1:5" x14ac:dyDescent="0.2">
      <c r="A677">
        <v>676</v>
      </c>
      <c r="B677" t="s">
        <v>2195</v>
      </c>
      <c r="C677" t="s">
        <v>3623</v>
      </c>
      <c r="D677">
        <v>269</v>
      </c>
      <c r="E677" s="210">
        <v>60.606060606060602</v>
      </c>
    </row>
    <row r="678" spans="1:5" x14ac:dyDescent="0.2">
      <c r="A678">
        <v>677</v>
      </c>
      <c r="B678" t="s">
        <v>2193</v>
      </c>
      <c r="C678" t="s">
        <v>2386</v>
      </c>
      <c r="D678">
        <v>459</v>
      </c>
      <c r="E678" s="210">
        <v>46.153846153846096</v>
      </c>
    </row>
    <row r="679" spans="1:5" x14ac:dyDescent="0.2">
      <c r="A679">
        <v>678</v>
      </c>
      <c r="B679" t="s">
        <v>2191</v>
      </c>
      <c r="C679" t="s">
        <v>1440</v>
      </c>
      <c r="D679">
        <v>486</v>
      </c>
      <c r="E679" s="210">
        <v>95.238095238095198</v>
      </c>
    </row>
    <row r="680" spans="1:5" x14ac:dyDescent="0.2">
      <c r="A680">
        <v>679</v>
      </c>
      <c r="B680" t="s">
        <v>1440</v>
      </c>
      <c r="C680" t="s">
        <v>1440</v>
      </c>
      <c r="D680">
        <v>486</v>
      </c>
      <c r="E680" s="210">
        <v>100</v>
      </c>
    </row>
    <row r="681" spans="1:5" x14ac:dyDescent="0.2">
      <c r="A681">
        <v>680</v>
      </c>
      <c r="B681" t="s">
        <v>2188</v>
      </c>
      <c r="C681" t="s">
        <v>3906</v>
      </c>
      <c r="D681">
        <v>195</v>
      </c>
      <c r="E681" s="210">
        <v>48</v>
      </c>
    </row>
    <row r="682" spans="1:5" x14ac:dyDescent="0.2">
      <c r="A682">
        <v>681</v>
      </c>
      <c r="B682" t="s">
        <v>2186</v>
      </c>
      <c r="C682" t="s">
        <v>1440</v>
      </c>
      <c r="D682">
        <v>486</v>
      </c>
      <c r="E682" s="210">
        <v>80</v>
      </c>
    </row>
    <row r="683" spans="1:5" x14ac:dyDescent="0.2">
      <c r="A683">
        <v>682</v>
      </c>
      <c r="B683" t="s">
        <v>2184</v>
      </c>
      <c r="C683" t="s">
        <v>2184</v>
      </c>
      <c r="D683">
        <v>616</v>
      </c>
      <c r="E683" s="210">
        <v>100</v>
      </c>
    </row>
    <row r="684" spans="1:5" x14ac:dyDescent="0.2">
      <c r="A684">
        <v>683</v>
      </c>
      <c r="B684" t="s">
        <v>2182</v>
      </c>
      <c r="C684" t="s">
        <v>3752</v>
      </c>
      <c r="D684">
        <v>611</v>
      </c>
      <c r="E684" s="210">
        <v>95.238095238095198</v>
      </c>
    </row>
    <row r="685" spans="1:5" x14ac:dyDescent="0.2">
      <c r="A685">
        <v>684</v>
      </c>
      <c r="B685" t="s">
        <v>2180</v>
      </c>
      <c r="C685" t="s">
        <v>3752</v>
      </c>
      <c r="D685">
        <v>611</v>
      </c>
      <c r="E685" s="210">
        <v>75</v>
      </c>
    </row>
    <row r="686" spans="1:5" x14ac:dyDescent="0.2">
      <c r="A686">
        <v>685</v>
      </c>
      <c r="B686" t="s">
        <v>2178</v>
      </c>
      <c r="C686" t="s">
        <v>3679</v>
      </c>
      <c r="D686">
        <v>525</v>
      </c>
      <c r="E686" s="210">
        <v>69.230769230769198</v>
      </c>
    </row>
    <row r="687" spans="1:5" x14ac:dyDescent="0.2">
      <c r="A687">
        <v>686</v>
      </c>
      <c r="B687" t="s">
        <v>2176</v>
      </c>
      <c r="C687" t="s">
        <v>918</v>
      </c>
      <c r="D687">
        <v>160</v>
      </c>
      <c r="E687" s="210">
        <v>54.545454545454497</v>
      </c>
    </row>
    <row r="688" spans="1:5" x14ac:dyDescent="0.2">
      <c r="A688">
        <v>687</v>
      </c>
      <c r="B688" t="s">
        <v>2174</v>
      </c>
      <c r="C688" t="s">
        <v>3753</v>
      </c>
      <c r="D688">
        <v>282</v>
      </c>
      <c r="E688" s="210">
        <v>78.947368421052602</v>
      </c>
    </row>
    <row r="689" spans="1:5" x14ac:dyDescent="0.2">
      <c r="A689">
        <v>688</v>
      </c>
      <c r="B689" t="s">
        <v>2172</v>
      </c>
      <c r="C689" t="s">
        <v>3755</v>
      </c>
      <c r="D689">
        <v>151</v>
      </c>
      <c r="E689" s="210">
        <v>55.5555555555555</v>
      </c>
    </row>
    <row r="690" spans="1:5" x14ac:dyDescent="0.2">
      <c r="A690">
        <v>689</v>
      </c>
      <c r="B690" t="s">
        <v>2170</v>
      </c>
      <c r="C690" t="s">
        <v>3754</v>
      </c>
      <c r="D690">
        <v>515</v>
      </c>
      <c r="E690" s="210">
        <v>87.804878048780495</v>
      </c>
    </row>
    <row r="691" spans="1:5" x14ac:dyDescent="0.2">
      <c r="A691">
        <v>690</v>
      </c>
      <c r="B691" t="s">
        <v>2168</v>
      </c>
      <c r="C691" t="s">
        <v>3755</v>
      </c>
      <c r="D691">
        <v>151</v>
      </c>
      <c r="E691" s="210">
        <v>87.804878048780495</v>
      </c>
    </row>
    <row r="692" spans="1:5" x14ac:dyDescent="0.2">
      <c r="A692">
        <v>691</v>
      </c>
      <c r="B692" t="s">
        <v>2166</v>
      </c>
      <c r="C692" t="s">
        <v>2313</v>
      </c>
      <c r="D692">
        <v>621</v>
      </c>
      <c r="E692" s="210">
        <v>70</v>
      </c>
    </row>
    <row r="693" spans="1:5" x14ac:dyDescent="0.2">
      <c r="A693">
        <v>692</v>
      </c>
      <c r="B693" t="s">
        <v>2164</v>
      </c>
      <c r="C693" t="s">
        <v>3756</v>
      </c>
      <c r="D693">
        <v>532</v>
      </c>
      <c r="E693" s="210">
        <v>77.7777777777777</v>
      </c>
    </row>
    <row r="694" spans="1:5" x14ac:dyDescent="0.2">
      <c r="A694">
        <v>693</v>
      </c>
      <c r="B694" t="s">
        <v>2162</v>
      </c>
      <c r="C694" t="s">
        <v>2201</v>
      </c>
      <c r="D694">
        <v>111</v>
      </c>
      <c r="E694" s="210">
        <v>31.578947368421002</v>
      </c>
    </row>
    <row r="695" spans="1:5" x14ac:dyDescent="0.2">
      <c r="A695">
        <v>694</v>
      </c>
      <c r="B695" t="s">
        <v>2160</v>
      </c>
      <c r="C695" t="s">
        <v>3829</v>
      </c>
      <c r="D695">
        <v>246</v>
      </c>
      <c r="E695" s="210">
        <v>52.631578947368403</v>
      </c>
    </row>
    <row r="696" spans="1:5" x14ac:dyDescent="0.2">
      <c r="A696">
        <v>695</v>
      </c>
      <c r="B696" t="s">
        <v>2158</v>
      </c>
      <c r="C696" t="s">
        <v>1557</v>
      </c>
      <c r="D696">
        <v>172</v>
      </c>
      <c r="E696" s="210">
        <v>58.3333333333333</v>
      </c>
    </row>
    <row r="697" spans="1:5" x14ac:dyDescent="0.2">
      <c r="A697">
        <v>696</v>
      </c>
      <c r="B697" t="s">
        <v>2156</v>
      </c>
      <c r="C697" t="s">
        <v>3597</v>
      </c>
      <c r="D697">
        <v>449</v>
      </c>
      <c r="E697" s="210">
        <v>90</v>
      </c>
    </row>
    <row r="698" spans="1:5" x14ac:dyDescent="0.2">
      <c r="A698">
        <v>697</v>
      </c>
      <c r="B698" t="s">
        <v>2154</v>
      </c>
      <c r="C698" t="s">
        <v>3757</v>
      </c>
      <c r="D698">
        <v>423</v>
      </c>
      <c r="E698" s="210">
        <v>90.909090909090907</v>
      </c>
    </row>
    <row r="699" spans="1:5" x14ac:dyDescent="0.2">
      <c r="A699">
        <v>698</v>
      </c>
      <c r="B699" t="s">
        <v>2152</v>
      </c>
      <c r="C699" t="s">
        <v>3758</v>
      </c>
      <c r="D699">
        <v>261</v>
      </c>
      <c r="E699" s="210">
        <v>90.909090909090907</v>
      </c>
    </row>
    <row r="700" spans="1:5" x14ac:dyDescent="0.2">
      <c r="A700">
        <v>699</v>
      </c>
      <c r="B700" t="s">
        <v>2150</v>
      </c>
      <c r="C700" t="s">
        <v>3533</v>
      </c>
      <c r="D700">
        <v>27</v>
      </c>
      <c r="E700" s="210">
        <v>60.869565217391298</v>
      </c>
    </row>
    <row r="701" spans="1:5" x14ac:dyDescent="0.2">
      <c r="A701">
        <v>700</v>
      </c>
      <c r="B701" t="s">
        <v>2148</v>
      </c>
      <c r="C701" t="s">
        <v>3759</v>
      </c>
      <c r="D701">
        <v>47</v>
      </c>
      <c r="E701" s="210">
        <v>78.947368421052602</v>
      </c>
    </row>
    <row r="702" spans="1:5" x14ac:dyDescent="0.2">
      <c r="A702">
        <v>701</v>
      </c>
      <c r="B702" t="s">
        <v>2146</v>
      </c>
      <c r="C702" t="s">
        <v>3760</v>
      </c>
      <c r="D702">
        <v>453</v>
      </c>
      <c r="E702" s="210">
        <v>71.428571428571402</v>
      </c>
    </row>
    <row r="703" spans="1:5" x14ac:dyDescent="0.2">
      <c r="A703">
        <v>702</v>
      </c>
      <c r="B703" t="s">
        <v>2144</v>
      </c>
      <c r="C703" t="s">
        <v>3559</v>
      </c>
      <c r="D703">
        <v>336</v>
      </c>
      <c r="E703" s="210">
        <v>80</v>
      </c>
    </row>
    <row r="704" spans="1:5" x14ac:dyDescent="0.2">
      <c r="A704">
        <v>703</v>
      </c>
      <c r="B704" t="s">
        <v>2142</v>
      </c>
      <c r="C704" t="s">
        <v>3761</v>
      </c>
      <c r="D704">
        <v>131</v>
      </c>
      <c r="E704" s="210">
        <v>62.857142857142797</v>
      </c>
    </row>
    <row r="705" spans="1:5" x14ac:dyDescent="0.2">
      <c r="A705">
        <v>704</v>
      </c>
      <c r="B705" t="s">
        <v>2140</v>
      </c>
      <c r="C705" t="s">
        <v>3396</v>
      </c>
      <c r="D705">
        <v>630</v>
      </c>
      <c r="E705" s="210">
        <v>57.894736842105203</v>
      </c>
    </row>
    <row r="706" spans="1:5" x14ac:dyDescent="0.2">
      <c r="A706">
        <v>705</v>
      </c>
      <c r="B706" t="s">
        <v>2138</v>
      </c>
      <c r="C706" t="s">
        <v>3762</v>
      </c>
      <c r="D706">
        <v>490</v>
      </c>
      <c r="E706" s="210">
        <v>80</v>
      </c>
    </row>
    <row r="707" spans="1:5" x14ac:dyDescent="0.2">
      <c r="A707">
        <v>706</v>
      </c>
      <c r="B707" t="s">
        <v>2136</v>
      </c>
      <c r="C707" t="s">
        <v>3907</v>
      </c>
      <c r="D707">
        <v>14</v>
      </c>
      <c r="E707" s="210">
        <v>59.459459459459403</v>
      </c>
    </row>
    <row r="708" spans="1:5" x14ac:dyDescent="0.2">
      <c r="A708">
        <v>707</v>
      </c>
      <c r="B708" t="s">
        <v>2134</v>
      </c>
      <c r="C708" t="s">
        <v>3763</v>
      </c>
      <c r="D708">
        <v>624</v>
      </c>
      <c r="E708" s="210">
        <v>80</v>
      </c>
    </row>
    <row r="709" spans="1:5" x14ac:dyDescent="0.2">
      <c r="A709">
        <v>708</v>
      </c>
      <c r="B709" t="s">
        <v>2132</v>
      </c>
      <c r="C709" t="s">
        <v>205</v>
      </c>
      <c r="D709">
        <v>328</v>
      </c>
      <c r="E709" s="210">
        <v>48.275862068965502</v>
      </c>
    </row>
    <row r="710" spans="1:5" x14ac:dyDescent="0.2">
      <c r="A710">
        <v>709</v>
      </c>
      <c r="B710" t="s">
        <v>2130</v>
      </c>
      <c r="C710" t="s">
        <v>2130</v>
      </c>
      <c r="D710">
        <v>117</v>
      </c>
      <c r="E710" s="210">
        <v>100</v>
      </c>
    </row>
    <row r="711" spans="1:5" x14ac:dyDescent="0.2">
      <c r="A711">
        <v>710</v>
      </c>
      <c r="B711" t="s">
        <v>2128</v>
      </c>
      <c r="C711" t="s">
        <v>3764</v>
      </c>
      <c r="D711">
        <v>187</v>
      </c>
      <c r="E711" s="210">
        <v>100</v>
      </c>
    </row>
    <row r="712" spans="1:5" x14ac:dyDescent="0.2">
      <c r="A712">
        <v>711</v>
      </c>
      <c r="B712" t="s">
        <v>2126</v>
      </c>
      <c r="C712" t="s">
        <v>3765</v>
      </c>
      <c r="D712">
        <v>179</v>
      </c>
      <c r="E712" s="210">
        <v>73.684210526315795</v>
      </c>
    </row>
    <row r="713" spans="1:5" x14ac:dyDescent="0.2">
      <c r="A713">
        <v>712</v>
      </c>
      <c r="B713" t="s">
        <v>2124</v>
      </c>
      <c r="C713" t="s">
        <v>3766</v>
      </c>
      <c r="D713">
        <v>67</v>
      </c>
      <c r="E713" s="210">
        <v>77.7777777777777</v>
      </c>
    </row>
    <row r="714" spans="1:5" x14ac:dyDescent="0.2">
      <c r="A714">
        <v>713</v>
      </c>
      <c r="B714" t="s">
        <v>2122</v>
      </c>
      <c r="C714" t="s">
        <v>3764</v>
      </c>
      <c r="D714">
        <v>187</v>
      </c>
      <c r="E714" s="210">
        <v>36.842105263157897</v>
      </c>
    </row>
    <row r="715" spans="1:5" x14ac:dyDescent="0.2">
      <c r="A715">
        <v>714</v>
      </c>
      <c r="B715" t="s">
        <v>1412</v>
      </c>
      <c r="C715" t="s">
        <v>3767</v>
      </c>
      <c r="D715">
        <v>207</v>
      </c>
      <c r="E715" s="210">
        <v>84.848484848484802</v>
      </c>
    </row>
    <row r="716" spans="1:5" x14ac:dyDescent="0.2">
      <c r="A716">
        <v>715</v>
      </c>
      <c r="B716" t="s">
        <v>2119</v>
      </c>
      <c r="C716" t="s">
        <v>3767</v>
      </c>
      <c r="D716">
        <v>207</v>
      </c>
      <c r="E716" s="210">
        <v>80</v>
      </c>
    </row>
    <row r="717" spans="1:5" x14ac:dyDescent="0.2">
      <c r="A717">
        <v>716</v>
      </c>
      <c r="B717" t="s">
        <v>2117</v>
      </c>
      <c r="C717" t="s">
        <v>3768</v>
      </c>
      <c r="D717">
        <v>225</v>
      </c>
      <c r="E717" s="210">
        <v>61.538461538461497</v>
      </c>
    </row>
    <row r="718" spans="1:5" x14ac:dyDescent="0.2">
      <c r="A718">
        <v>717</v>
      </c>
      <c r="B718" t="s">
        <v>190</v>
      </c>
      <c r="C718" t="s">
        <v>3767</v>
      </c>
      <c r="D718">
        <v>207</v>
      </c>
      <c r="E718" s="210">
        <v>58.064516129032199</v>
      </c>
    </row>
    <row r="719" spans="1:5" x14ac:dyDescent="0.2">
      <c r="A719">
        <v>718</v>
      </c>
      <c r="B719" t="s">
        <v>1355</v>
      </c>
      <c r="C719" t="s">
        <v>3769</v>
      </c>
      <c r="D719">
        <v>303</v>
      </c>
      <c r="E719" s="210">
        <v>100</v>
      </c>
    </row>
    <row r="720" spans="1:5" x14ac:dyDescent="0.2">
      <c r="A720">
        <v>719</v>
      </c>
      <c r="B720" t="s">
        <v>2113</v>
      </c>
      <c r="C720" t="s">
        <v>2113</v>
      </c>
      <c r="D720">
        <v>258</v>
      </c>
      <c r="E720" s="210">
        <v>100</v>
      </c>
    </row>
    <row r="721" spans="1:5" x14ac:dyDescent="0.2">
      <c r="A721">
        <v>720</v>
      </c>
      <c r="B721" t="s">
        <v>2111</v>
      </c>
      <c r="C721" t="s">
        <v>3768</v>
      </c>
      <c r="D721">
        <v>225</v>
      </c>
      <c r="E721" s="210">
        <v>64</v>
      </c>
    </row>
    <row r="722" spans="1:5" x14ac:dyDescent="0.2">
      <c r="A722">
        <v>721</v>
      </c>
      <c r="B722" t="s">
        <v>1417</v>
      </c>
      <c r="C722" t="s">
        <v>1417</v>
      </c>
      <c r="D722">
        <v>573</v>
      </c>
      <c r="E722" s="210">
        <v>100</v>
      </c>
    </row>
    <row r="723" spans="1:5" x14ac:dyDescent="0.2">
      <c r="A723">
        <v>722</v>
      </c>
      <c r="B723" t="s">
        <v>2108</v>
      </c>
      <c r="C723" t="s">
        <v>3770</v>
      </c>
      <c r="D723">
        <v>123</v>
      </c>
      <c r="E723" s="210">
        <v>70</v>
      </c>
    </row>
    <row r="724" spans="1:5" x14ac:dyDescent="0.2">
      <c r="A724">
        <v>723</v>
      </c>
      <c r="B724" t="s">
        <v>2106</v>
      </c>
      <c r="C724" t="s">
        <v>3722</v>
      </c>
      <c r="D724">
        <v>656</v>
      </c>
      <c r="E724" s="210">
        <v>42.857142857142797</v>
      </c>
    </row>
    <row r="725" spans="1:5" x14ac:dyDescent="0.2">
      <c r="A725">
        <v>724</v>
      </c>
      <c r="B725" t="s">
        <v>2104</v>
      </c>
      <c r="C725" t="s">
        <v>3771</v>
      </c>
      <c r="D725">
        <v>337</v>
      </c>
      <c r="E725" s="210">
        <v>71.428571428571402</v>
      </c>
    </row>
    <row r="726" spans="1:5" x14ac:dyDescent="0.2">
      <c r="A726">
        <v>725</v>
      </c>
      <c r="B726" t="s">
        <v>192</v>
      </c>
      <c r="C726" t="s">
        <v>3525</v>
      </c>
      <c r="D726">
        <v>364</v>
      </c>
      <c r="E726" s="210">
        <v>63.636363636363598</v>
      </c>
    </row>
    <row r="727" spans="1:5" x14ac:dyDescent="0.2">
      <c r="A727">
        <v>726</v>
      </c>
      <c r="B727" t="s">
        <v>350</v>
      </c>
      <c r="C727" t="s">
        <v>3865</v>
      </c>
      <c r="D727">
        <v>254</v>
      </c>
      <c r="E727" s="210">
        <v>57.142857142857103</v>
      </c>
    </row>
    <row r="728" spans="1:5" x14ac:dyDescent="0.2">
      <c r="A728">
        <v>727</v>
      </c>
      <c r="B728" t="s">
        <v>2100</v>
      </c>
      <c r="C728" t="s">
        <v>28</v>
      </c>
      <c r="D728">
        <v>52</v>
      </c>
      <c r="E728" s="210">
        <v>61.538461538461497</v>
      </c>
    </row>
    <row r="729" spans="1:5" x14ac:dyDescent="0.2">
      <c r="A729">
        <v>728</v>
      </c>
      <c r="B729" t="s">
        <v>2093</v>
      </c>
      <c r="C729" t="s">
        <v>3772</v>
      </c>
      <c r="D729">
        <v>162</v>
      </c>
      <c r="E729" s="210">
        <v>87.5</v>
      </c>
    </row>
    <row r="730" spans="1:5" x14ac:dyDescent="0.2">
      <c r="A730">
        <v>729</v>
      </c>
      <c r="B730" t="s">
        <v>2097</v>
      </c>
      <c r="C730" t="s">
        <v>3773</v>
      </c>
      <c r="D730">
        <v>375</v>
      </c>
      <c r="E730" s="210">
        <v>82.352941176470495</v>
      </c>
    </row>
    <row r="731" spans="1:5" x14ac:dyDescent="0.2">
      <c r="A731">
        <v>730</v>
      </c>
      <c r="B731" t="s">
        <v>2095</v>
      </c>
      <c r="C731" t="s">
        <v>3773</v>
      </c>
      <c r="D731">
        <v>375</v>
      </c>
      <c r="E731" s="210">
        <v>88.235294117647001</v>
      </c>
    </row>
    <row r="732" spans="1:5" x14ac:dyDescent="0.2">
      <c r="A732">
        <v>731</v>
      </c>
      <c r="B732" t="s">
        <v>2093</v>
      </c>
      <c r="C732" t="s">
        <v>3772</v>
      </c>
      <c r="D732">
        <v>162</v>
      </c>
      <c r="E732" s="210">
        <v>87.5</v>
      </c>
    </row>
    <row r="733" spans="1:5" x14ac:dyDescent="0.2">
      <c r="A733">
        <v>732</v>
      </c>
      <c r="B733" t="s">
        <v>2091</v>
      </c>
      <c r="C733" t="s">
        <v>3689</v>
      </c>
      <c r="D733">
        <v>442</v>
      </c>
      <c r="E733" s="210">
        <v>52.173913043478201</v>
      </c>
    </row>
    <row r="734" spans="1:5" x14ac:dyDescent="0.2">
      <c r="A734">
        <v>733</v>
      </c>
      <c r="B734" t="s">
        <v>2089</v>
      </c>
      <c r="C734" t="s">
        <v>2428</v>
      </c>
      <c r="D734">
        <v>401</v>
      </c>
      <c r="E734" s="210">
        <v>62.068965517241303</v>
      </c>
    </row>
    <row r="735" spans="1:5" x14ac:dyDescent="0.2">
      <c r="A735">
        <v>734</v>
      </c>
      <c r="B735" t="s">
        <v>2087</v>
      </c>
      <c r="C735" t="s">
        <v>3491</v>
      </c>
      <c r="D735">
        <v>85</v>
      </c>
      <c r="E735" s="210">
        <v>95.652173913043399</v>
      </c>
    </row>
    <row r="736" spans="1:5" x14ac:dyDescent="0.2">
      <c r="A736">
        <v>735</v>
      </c>
      <c r="B736" t="s">
        <v>2085</v>
      </c>
      <c r="C736" t="s">
        <v>3491</v>
      </c>
      <c r="D736">
        <v>85</v>
      </c>
      <c r="E736" s="210">
        <v>91.6666666666666</v>
      </c>
    </row>
    <row r="737" spans="1:5" x14ac:dyDescent="0.2">
      <c r="A737">
        <v>736</v>
      </c>
      <c r="B737" t="s">
        <v>2083</v>
      </c>
      <c r="C737" t="s">
        <v>3683</v>
      </c>
      <c r="D737">
        <v>602</v>
      </c>
      <c r="E737" s="210">
        <v>52.631578947368403</v>
      </c>
    </row>
    <row r="738" spans="1:5" x14ac:dyDescent="0.2">
      <c r="A738">
        <v>737</v>
      </c>
      <c r="B738" t="s">
        <v>2081</v>
      </c>
      <c r="C738" t="s">
        <v>3652</v>
      </c>
      <c r="D738">
        <v>147</v>
      </c>
      <c r="E738" s="210">
        <v>42.857142857142797</v>
      </c>
    </row>
    <row r="739" spans="1:5" x14ac:dyDescent="0.2">
      <c r="A739">
        <v>738</v>
      </c>
      <c r="B739" t="s">
        <v>2079</v>
      </c>
      <c r="C739" t="s">
        <v>3860</v>
      </c>
      <c r="D739">
        <v>161</v>
      </c>
      <c r="E739" s="210">
        <v>36.363636363636303</v>
      </c>
    </row>
    <row r="740" spans="1:5" x14ac:dyDescent="0.2">
      <c r="A740">
        <v>739</v>
      </c>
      <c r="B740" t="s">
        <v>2077</v>
      </c>
      <c r="C740" t="s">
        <v>1552</v>
      </c>
      <c r="D740">
        <v>416</v>
      </c>
      <c r="E740" s="210">
        <v>66.6666666666666</v>
      </c>
    </row>
    <row r="741" spans="1:5" x14ac:dyDescent="0.2">
      <c r="A741">
        <v>740</v>
      </c>
      <c r="B741" t="s">
        <v>2075</v>
      </c>
      <c r="C741" t="s">
        <v>3774</v>
      </c>
      <c r="D741">
        <v>15</v>
      </c>
      <c r="E741" s="210">
        <v>83.3333333333333</v>
      </c>
    </row>
    <row r="742" spans="1:5" x14ac:dyDescent="0.2">
      <c r="A742">
        <v>741</v>
      </c>
      <c r="B742" t="s">
        <v>2073</v>
      </c>
      <c r="C742" t="s">
        <v>1537</v>
      </c>
      <c r="D742">
        <v>608</v>
      </c>
      <c r="E742" s="210">
        <v>69.565217391304301</v>
      </c>
    </row>
    <row r="743" spans="1:5" x14ac:dyDescent="0.2">
      <c r="A743">
        <v>742</v>
      </c>
      <c r="B743" t="s">
        <v>2071</v>
      </c>
      <c r="C743" t="s">
        <v>3075</v>
      </c>
      <c r="D743">
        <v>483</v>
      </c>
      <c r="E743" s="210">
        <v>61.1111111111111</v>
      </c>
    </row>
    <row r="744" spans="1:5" x14ac:dyDescent="0.2">
      <c r="A744">
        <v>743</v>
      </c>
      <c r="B744" t="s">
        <v>2069</v>
      </c>
      <c r="C744" t="s">
        <v>3775</v>
      </c>
      <c r="D744">
        <v>33</v>
      </c>
      <c r="E744" s="210">
        <v>84.210526315789394</v>
      </c>
    </row>
    <row r="745" spans="1:5" x14ac:dyDescent="0.2">
      <c r="A745">
        <v>744</v>
      </c>
      <c r="B745" t="s">
        <v>2067</v>
      </c>
      <c r="C745" t="s">
        <v>3776</v>
      </c>
      <c r="D745">
        <v>431</v>
      </c>
      <c r="E745" s="210">
        <v>64</v>
      </c>
    </row>
    <row r="746" spans="1:5" x14ac:dyDescent="0.2">
      <c r="A746">
        <v>745</v>
      </c>
      <c r="B746" t="s">
        <v>1178</v>
      </c>
      <c r="C746" t="s">
        <v>3777</v>
      </c>
      <c r="D746">
        <v>22</v>
      </c>
      <c r="E746" s="210">
        <v>73.684210526315795</v>
      </c>
    </row>
    <row r="747" spans="1:5" x14ac:dyDescent="0.2">
      <c r="A747">
        <v>746</v>
      </c>
      <c r="B747" t="s">
        <v>2064</v>
      </c>
      <c r="C747" t="s">
        <v>3778</v>
      </c>
      <c r="D747">
        <v>248</v>
      </c>
      <c r="E747" s="210">
        <v>61.904761904761898</v>
      </c>
    </row>
    <row r="748" spans="1:5" x14ac:dyDescent="0.2">
      <c r="A748">
        <v>747</v>
      </c>
      <c r="B748" t="s">
        <v>2062</v>
      </c>
      <c r="C748" t="s">
        <v>3396</v>
      </c>
      <c r="D748">
        <v>630</v>
      </c>
      <c r="E748" s="210">
        <v>63.414634146341399</v>
      </c>
    </row>
    <row r="749" spans="1:5" x14ac:dyDescent="0.2">
      <c r="A749">
        <v>748</v>
      </c>
      <c r="B749" t="s">
        <v>2060</v>
      </c>
      <c r="C749" t="s">
        <v>3886</v>
      </c>
      <c r="D749">
        <v>383</v>
      </c>
      <c r="E749" s="210">
        <v>40</v>
      </c>
    </row>
    <row r="750" spans="1:5" x14ac:dyDescent="0.2">
      <c r="A750">
        <v>749</v>
      </c>
      <c r="B750" t="s">
        <v>2058</v>
      </c>
      <c r="C750" t="s">
        <v>1804</v>
      </c>
      <c r="D750">
        <v>279</v>
      </c>
      <c r="E750" s="210">
        <v>57.142857142857103</v>
      </c>
    </row>
    <row r="751" spans="1:5" x14ac:dyDescent="0.2">
      <c r="A751">
        <v>750</v>
      </c>
      <c r="B751" t="s">
        <v>1011</v>
      </c>
      <c r="C751" t="s">
        <v>3779</v>
      </c>
      <c r="D751">
        <v>180</v>
      </c>
      <c r="E751" s="210">
        <v>77.419354838709594</v>
      </c>
    </row>
    <row r="752" spans="1:5" x14ac:dyDescent="0.2">
      <c r="A752">
        <v>751</v>
      </c>
      <c r="B752" t="s">
        <v>194</v>
      </c>
      <c r="C752" t="s">
        <v>194</v>
      </c>
      <c r="D752">
        <v>421</v>
      </c>
      <c r="E752" s="210">
        <v>100</v>
      </c>
    </row>
    <row r="753" spans="1:5" x14ac:dyDescent="0.2">
      <c r="A753">
        <v>752</v>
      </c>
      <c r="B753" t="s">
        <v>2054</v>
      </c>
      <c r="C753" t="s">
        <v>2054</v>
      </c>
      <c r="D753">
        <v>350</v>
      </c>
      <c r="E753" s="210">
        <v>100</v>
      </c>
    </row>
    <row r="754" spans="1:5" x14ac:dyDescent="0.2">
      <c r="A754">
        <v>753</v>
      </c>
      <c r="B754" t="s">
        <v>2052</v>
      </c>
      <c r="C754" t="s">
        <v>3780</v>
      </c>
      <c r="D754">
        <v>295</v>
      </c>
      <c r="E754" s="210">
        <v>82.758620689655103</v>
      </c>
    </row>
    <row r="755" spans="1:5" x14ac:dyDescent="0.2">
      <c r="A755">
        <v>754</v>
      </c>
      <c r="B755" t="s">
        <v>2050</v>
      </c>
      <c r="C755" t="s">
        <v>3781</v>
      </c>
      <c r="D755">
        <v>158</v>
      </c>
      <c r="E755" s="210">
        <v>66.6666666666666</v>
      </c>
    </row>
    <row r="756" spans="1:5" x14ac:dyDescent="0.2">
      <c r="A756">
        <v>755</v>
      </c>
      <c r="B756" t="s">
        <v>2048</v>
      </c>
      <c r="C756" t="s">
        <v>3782</v>
      </c>
      <c r="D756">
        <v>192</v>
      </c>
      <c r="E756" s="210">
        <v>66.6666666666666</v>
      </c>
    </row>
    <row r="757" spans="1:5" x14ac:dyDescent="0.2">
      <c r="A757">
        <v>756</v>
      </c>
      <c r="B757" t="s">
        <v>2046</v>
      </c>
      <c r="C757" t="s">
        <v>3783</v>
      </c>
      <c r="D757">
        <v>289</v>
      </c>
      <c r="E757" s="210">
        <v>87.5</v>
      </c>
    </row>
    <row r="758" spans="1:5" x14ac:dyDescent="0.2">
      <c r="A758">
        <v>757</v>
      </c>
      <c r="B758" t="s">
        <v>2044</v>
      </c>
      <c r="C758" t="s">
        <v>3783</v>
      </c>
      <c r="D758">
        <v>289</v>
      </c>
      <c r="E758" s="210">
        <v>93.75</v>
      </c>
    </row>
    <row r="759" spans="1:5" x14ac:dyDescent="0.2">
      <c r="A759">
        <v>758</v>
      </c>
      <c r="B759" t="s">
        <v>2042</v>
      </c>
      <c r="C759" t="s">
        <v>3908</v>
      </c>
      <c r="D759">
        <v>95</v>
      </c>
      <c r="E759" s="210">
        <v>57.142857142857103</v>
      </c>
    </row>
    <row r="760" spans="1:5" x14ac:dyDescent="0.2">
      <c r="A760">
        <v>759</v>
      </c>
      <c r="B760" t="s">
        <v>2040</v>
      </c>
      <c r="C760" t="s">
        <v>1239</v>
      </c>
      <c r="D760">
        <v>110</v>
      </c>
      <c r="E760" s="210">
        <v>69.565217391304301</v>
      </c>
    </row>
    <row r="761" spans="1:5" x14ac:dyDescent="0.2">
      <c r="A761">
        <v>760</v>
      </c>
      <c r="B761" t="s">
        <v>2038</v>
      </c>
      <c r="C761" t="s">
        <v>3784</v>
      </c>
      <c r="D761">
        <v>79</v>
      </c>
      <c r="E761" s="210">
        <v>68.75</v>
      </c>
    </row>
    <row r="762" spans="1:5" x14ac:dyDescent="0.2">
      <c r="A762">
        <v>761</v>
      </c>
      <c r="B762" t="s">
        <v>2036</v>
      </c>
      <c r="C762" t="s">
        <v>3785</v>
      </c>
      <c r="D762">
        <v>177</v>
      </c>
      <c r="E762" s="210">
        <v>92.857142857142804</v>
      </c>
    </row>
    <row r="763" spans="1:5" x14ac:dyDescent="0.2">
      <c r="A763">
        <v>762</v>
      </c>
      <c r="B763" t="s">
        <v>2034</v>
      </c>
      <c r="C763" t="s">
        <v>3909</v>
      </c>
      <c r="D763">
        <v>90</v>
      </c>
      <c r="E763" s="210">
        <v>56.25</v>
      </c>
    </row>
    <row r="764" spans="1:5" x14ac:dyDescent="0.2">
      <c r="A764">
        <v>763</v>
      </c>
      <c r="B764" t="s">
        <v>2032</v>
      </c>
      <c r="C764" t="s">
        <v>3786</v>
      </c>
      <c r="D764">
        <v>262</v>
      </c>
      <c r="E764" s="210">
        <v>89.655172413793096</v>
      </c>
    </row>
    <row r="765" spans="1:5" x14ac:dyDescent="0.2">
      <c r="A765">
        <v>764</v>
      </c>
      <c r="B765" t="s">
        <v>199</v>
      </c>
      <c r="C765" t="s">
        <v>199</v>
      </c>
      <c r="D765">
        <v>301</v>
      </c>
      <c r="E765" s="210">
        <v>100</v>
      </c>
    </row>
    <row r="766" spans="1:5" x14ac:dyDescent="0.2">
      <c r="A766">
        <v>765</v>
      </c>
      <c r="B766" t="s">
        <v>2029</v>
      </c>
      <c r="C766" t="s">
        <v>3787</v>
      </c>
      <c r="D766">
        <v>553</v>
      </c>
      <c r="E766" s="210">
        <v>83.870967741935402</v>
      </c>
    </row>
    <row r="767" spans="1:5" x14ac:dyDescent="0.2">
      <c r="A767">
        <v>766</v>
      </c>
      <c r="B767" t="s">
        <v>2027</v>
      </c>
      <c r="C767" t="s">
        <v>3787</v>
      </c>
      <c r="D767">
        <v>553</v>
      </c>
      <c r="E767" s="210">
        <v>81.25</v>
      </c>
    </row>
    <row r="768" spans="1:5" x14ac:dyDescent="0.2">
      <c r="A768">
        <v>767</v>
      </c>
      <c r="B768" t="s">
        <v>2025</v>
      </c>
      <c r="C768" t="s">
        <v>1557</v>
      </c>
      <c r="D768">
        <v>172</v>
      </c>
      <c r="E768" s="210">
        <v>63.636363636363598</v>
      </c>
    </row>
    <row r="769" spans="1:5" x14ac:dyDescent="0.2">
      <c r="A769">
        <v>768</v>
      </c>
      <c r="B769" t="s">
        <v>2023</v>
      </c>
      <c r="C769" t="s">
        <v>3788</v>
      </c>
      <c r="D769">
        <v>536</v>
      </c>
      <c r="E769" s="210">
        <v>78.787878787878697</v>
      </c>
    </row>
    <row r="770" spans="1:5" x14ac:dyDescent="0.2">
      <c r="A770">
        <v>769</v>
      </c>
      <c r="B770" t="s">
        <v>2021</v>
      </c>
      <c r="C770" t="s">
        <v>3789</v>
      </c>
      <c r="D770">
        <v>622</v>
      </c>
      <c r="E770" s="210">
        <v>78.571428571428498</v>
      </c>
    </row>
    <row r="771" spans="1:5" x14ac:dyDescent="0.2">
      <c r="A771">
        <v>770</v>
      </c>
      <c r="B771" t="s">
        <v>2019</v>
      </c>
      <c r="C771" t="s">
        <v>3790</v>
      </c>
      <c r="D771">
        <v>645</v>
      </c>
      <c r="E771" s="210">
        <v>78.571428571428498</v>
      </c>
    </row>
    <row r="772" spans="1:5" x14ac:dyDescent="0.2">
      <c r="A772">
        <v>771</v>
      </c>
      <c r="B772" t="s">
        <v>2017</v>
      </c>
      <c r="C772" t="s">
        <v>3788</v>
      </c>
      <c r="D772">
        <v>536</v>
      </c>
      <c r="E772" s="210">
        <v>93.75</v>
      </c>
    </row>
    <row r="773" spans="1:5" x14ac:dyDescent="0.2">
      <c r="A773">
        <v>772</v>
      </c>
      <c r="B773" t="s">
        <v>2015</v>
      </c>
      <c r="C773" t="s">
        <v>3791</v>
      </c>
      <c r="D773">
        <v>241</v>
      </c>
      <c r="E773" s="210">
        <v>73.684210526315795</v>
      </c>
    </row>
    <row r="774" spans="1:5" x14ac:dyDescent="0.2">
      <c r="A774">
        <v>773</v>
      </c>
      <c r="B774" t="s">
        <v>2013</v>
      </c>
      <c r="C774" t="s">
        <v>3792</v>
      </c>
      <c r="D774">
        <v>353</v>
      </c>
      <c r="E774" s="210">
        <v>60</v>
      </c>
    </row>
    <row r="775" spans="1:5" x14ac:dyDescent="0.2">
      <c r="A775">
        <v>774</v>
      </c>
      <c r="B775" t="s">
        <v>2011</v>
      </c>
      <c r="C775" t="s">
        <v>3522</v>
      </c>
      <c r="D775">
        <v>520</v>
      </c>
      <c r="E775" s="210">
        <v>58.823529411764703</v>
      </c>
    </row>
    <row r="776" spans="1:5" x14ac:dyDescent="0.2">
      <c r="A776">
        <v>775</v>
      </c>
      <c r="B776" t="s">
        <v>2009</v>
      </c>
      <c r="C776" t="s">
        <v>3793</v>
      </c>
      <c r="D776">
        <v>311</v>
      </c>
      <c r="E776" s="210">
        <v>100</v>
      </c>
    </row>
    <row r="777" spans="1:5" x14ac:dyDescent="0.2">
      <c r="A777">
        <v>776</v>
      </c>
      <c r="B777" t="s">
        <v>2007</v>
      </c>
      <c r="C777" t="s">
        <v>3794</v>
      </c>
      <c r="D777">
        <v>59</v>
      </c>
      <c r="E777" s="210">
        <v>68.965517241379303</v>
      </c>
    </row>
    <row r="778" spans="1:5" x14ac:dyDescent="0.2">
      <c r="A778">
        <v>777</v>
      </c>
      <c r="B778" t="s">
        <v>2005</v>
      </c>
      <c r="C778" t="s">
        <v>3795</v>
      </c>
      <c r="D778">
        <v>159</v>
      </c>
      <c r="E778" s="210">
        <v>74.285714285714207</v>
      </c>
    </row>
    <row r="779" spans="1:5" x14ac:dyDescent="0.2">
      <c r="A779">
        <v>778</v>
      </c>
      <c r="B779" t="s">
        <v>2003</v>
      </c>
      <c r="C779" t="s">
        <v>3734</v>
      </c>
      <c r="D779">
        <v>174</v>
      </c>
      <c r="E779" s="210">
        <v>82.758620689655103</v>
      </c>
    </row>
    <row r="780" spans="1:5" x14ac:dyDescent="0.2">
      <c r="A780">
        <v>779</v>
      </c>
      <c r="B780" t="s">
        <v>2001</v>
      </c>
      <c r="C780" t="s">
        <v>3748</v>
      </c>
      <c r="D780">
        <v>28</v>
      </c>
      <c r="E780" s="210">
        <v>70.967741935483801</v>
      </c>
    </row>
    <row r="781" spans="1:5" x14ac:dyDescent="0.2">
      <c r="A781">
        <v>780</v>
      </c>
      <c r="B781" t="s">
        <v>1999</v>
      </c>
      <c r="C781" t="s">
        <v>3795</v>
      </c>
      <c r="D781">
        <v>159</v>
      </c>
      <c r="E781" s="210">
        <v>84.210526315789394</v>
      </c>
    </row>
    <row r="782" spans="1:5" x14ac:dyDescent="0.2">
      <c r="A782">
        <v>781</v>
      </c>
      <c r="B782" t="s">
        <v>1997</v>
      </c>
      <c r="C782" t="s">
        <v>2201</v>
      </c>
      <c r="D782">
        <v>111</v>
      </c>
      <c r="E782" s="210">
        <v>34.285714285714199</v>
      </c>
    </row>
    <row r="783" spans="1:5" x14ac:dyDescent="0.2">
      <c r="A783">
        <v>782</v>
      </c>
      <c r="B783" t="s">
        <v>1995</v>
      </c>
      <c r="C783" t="s">
        <v>3796</v>
      </c>
      <c r="D783">
        <v>65</v>
      </c>
      <c r="E783" s="210">
        <v>90.322580645161196</v>
      </c>
    </row>
    <row r="784" spans="1:5" x14ac:dyDescent="0.2">
      <c r="A784">
        <v>783</v>
      </c>
      <c r="B784" t="s">
        <v>1993</v>
      </c>
      <c r="C784" t="s">
        <v>3734</v>
      </c>
      <c r="D784">
        <v>174</v>
      </c>
      <c r="E784" s="210">
        <v>41.6666666666666</v>
      </c>
    </row>
    <row r="785" spans="1:5" x14ac:dyDescent="0.2">
      <c r="A785">
        <v>784</v>
      </c>
      <c r="B785" t="s">
        <v>1991</v>
      </c>
      <c r="C785" t="s">
        <v>1978</v>
      </c>
      <c r="D785">
        <v>639</v>
      </c>
      <c r="E785" s="210">
        <v>66.6666666666666</v>
      </c>
    </row>
    <row r="786" spans="1:5" x14ac:dyDescent="0.2">
      <c r="A786">
        <v>785</v>
      </c>
      <c r="B786" t="s">
        <v>1989</v>
      </c>
      <c r="C786" t="s">
        <v>1989</v>
      </c>
      <c r="D786">
        <v>664</v>
      </c>
      <c r="E786" s="210">
        <v>100</v>
      </c>
    </row>
    <row r="787" spans="1:5" x14ac:dyDescent="0.2">
      <c r="A787">
        <v>786</v>
      </c>
      <c r="B787" t="s">
        <v>1133</v>
      </c>
      <c r="C787" t="s">
        <v>1133</v>
      </c>
      <c r="D787">
        <v>96</v>
      </c>
      <c r="E787" s="210">
        <v>100</v>
      </c>
    </row>
    <row r="788" spans="1:5" x14ac:dyDescent="0.2">
      <c r="A788">
        <v>787</v>
      </c>
      <c r="B788" t="s">
        <v>1986</v>
      </c>
      <c r="C788" t="s">
        <v>205</v>
      </c>
      <c r="D788">
        <v>328</v>
      </c>
      <c r="E788" s="210">
        <v>75.862068965517196</v>
      </c>
    </row>
    <row r="789" spans="1:5" x14ac:dyDescent="0.2">
      <c r="A789">
        <v>788</v>
      </c>
      <c r="B789" t="s">
        <v>1984</v>
      </c>
      <c r="C789" t="s">
        <v>205</v>
      </c>
      <c r="D789">
        <v>328</v>
      </c>
      <c r="E789" s="210">
        <v>86.486486486486399</v>
      </c>
    </row>
    <row r="790" spans="1:5" x14ac:dyDescent="0.2">
      <c r="A790">
        <v>789</v>
      </c>
      <c r="B790" t="s">
        <v>1982</v>
      </c>
      <c r="C790" t="s">
        <v>1417</v>
      </c>
      <c r="D790">
        <v>573</v>
      </c>
      <c r="E790" s="210">
        <v>58.823529411764703</v>
      </c>
    </row>
    <row r="791" spans="1:5" x14ac:dyDescent="0.2">
      <c r="A791">
        <v>790</v>
      </c>
      <c r="B791" t="s">
        <v>1980</v>
      </c>
      <c r="C791" t="s">
        <v>3797</v>
      </c>
      <c r="D791">
        <v>44</v>
      </c>
      <c r="E791" s="210">
        <v>73.684210526315795</v>
      </c>
    </row>
    <row r="792" spans="1:5" x14ac:dyDescent="0.2">
      <c r="A792">
        <v>791</v>
      </c>
      <c r="B792" t="s">
        <v>1978</v>
      </c>
      <c r="C792" t="s">
        <v>1978</v>
      </c>
      <c r="D792">
        <v>639</v>
      </c>
      <c r="E792" s="210">
        <v>100</v>
      </c>
    </row>
    <row r="793" spans="1:5" x14ac:dyDescent="0.2">
      <c r="A793">
        <v>792</v>
      </c>
      <c r="B793" t="s">
        <v>1976</v>
      </c>
      <c r="C793" t="s">
        <v>3798</v>
      </c>
      <c r="D793">
        <v>61</v>
      </c>
      <c r="E793" s="210">
        <v>66.6666666666666</v>
      </c>
    </row>
    <row r="794" spans="1:5" x14ac:dyDescent="0.2">
      <c r="A794">
        <v>793</v>
      </c>
      <c r="B794" t="s">
        <v>1974</v>
      </c>
      <c r="C794" t="s">
        <v>2519</v>
      </c>
      <c r="D794">
        <v>293</v>
      </c>
      <c r="E794" s="210">
        <v>37.5</v>
      </c>
    </row>
    <row r="795" spans="1:5" x14ac:dyDescent="0.2">
      <c r="A795">
        <v>794</v>
      </c>
      <c r="B795" t="s">
        <v>1972</v>
      </c>
      <c r="C795" t="s">
        <v>1989</v>
      </c>
      <c r="D795">
        <v>664</v>
      </c>
      <c r="E795" s="210">
        <v>50</v>
      </c>
    </row>
    <row r="796" spans="1:5" x14ac:dyDescent="0.2">
      <c r="A796">
        <v>795</v>
      </c>
      <c r="B796" t="s">
        <v>1970</v>
      </c>
      <c r="C796" t="s">
        <v>3799</v>
      </c>
      <c r="D796">
        <v>94</v>
      </c>
      <c r="E796" s="210">
        <v>78.947368421052602</v>
      </c>
    </row>
    <row r="797" spans="1:5" x14ac:dyDescent="0.2">
      <c r="A797">
        <v>796</v>
      </c>
      <c r="B797" t="s">
        <v>1968</v>
      </c>
      <c r="C797" t="s">
        <v>3800</v>
      </c>
      <c r="D797">
        <v>63</v>
      </c>
      <c r="E797" s="210">
        <v>62.2222222222222</v>
      </c>
    </row>
    <row r="798" spans="1:5" x14ac:dyDescent="0.2">
      <c r="A798">
        <v>797</v>
      </c>
      <c r="B798" t="s">
        <v>1966</v>
      </c>
      <c r="C798" t="s">
        <v>3801</v>
      </c>
      <c r="D798">
        <v>362</v>
      </c>
      <c r="E798" s="210">
        <v>66.6666666666666</v>
      </c>
    </row>
    <row r="799" spans="1:5" x14ac:dyDescent="0.2">
      <c r="A799">
        <v>798</v>
      </c>
      <c r="B799" t="s">
        <v>1964</v>
      </c>
      <c r="C799" t="s">
        <v>3802</v>
      </c>
      <c r="D799">
        <v>642</v>
      </c>
      <c r="E799" s="210">
        <v>68.571428571428498</v>
      </c>
    </row>
    <row r="800" spans="1:5" x14ac:dyDescent="0.2">
      <c r="A800">
        <v>799</v>
      </c>
      <c r="B800" t="s">
        <v>1961</v>
      </c>
      <c r="C800" t="s">
        <v>3803</v>
      </c>
      <c r="D800">
        <v>89</v>
      </c>
      <c r="E800" s="210">
        <v>82.051282051282001</v>
      </c>
    </row>
    <row r="801" spans="1:5" x14ac:dyDescent="0.2">
      <c r="A801">
        <v>800</v>
      </c>
      <c r="B801" t="s">
        <v>1959</v>
      </c>
      <c r="C801" t="s">
        <v>2311</v>
      </c>
      <c r="D801">
        <v>564</v>
      </c>
      <c r="E801" s="210">
        <v>42.105263157894697</v>
      </c>
    </row>
    <row r="802" spans="1:5" x14ac:dyDescent="0.2">
      <c r="A802">
        <v>801</v>
      </c>
      <c r="B802" t="s">
        <v>1957</v>
      </c>
      <c r="C802" t="s">
        <v>3804</v>
      </c>
      <c r="D802">
        <v>590</v>
      </c>
      <c r="E802" s="210">
        <v>82.051282051282001</v>
      </c>
    </row>
    <row r="803" spans="1:5" x14ac:dyDescent="0.2">
      <c r="A803">
        <v>802</v>
      </c>
      <c r="B803" t="s">
        <v>1955</v>
      </c>
      <c r="C803" t="s">
        <v>3805</v>
      </c>
      <c r="D803">
        <v>220</v>
      </c>
      <c r="E803" s="210">
        <v>77.7777777777777</v>
      </c>
    </row>
    <row r="804" spans="1:5" x14ac:dyDescent="0.2">
      <c r="A804">
        <v>803</v>
      </c>
      <c r="B804" t="s">
        <v>1953</v>
      </c>
      <c r="C804" t="s">
        <v>3791</v>
      </c>
      <c r="D804">
        <v>241</v>
      </c>
      <c r="E804" s="210">
        <v>48.275862068965502</v>
      </c>
    </row>
    <row r="805" spans="1:5" x14ac:dyDescent="0.2">
      <c r="A805">
        <v>804</v>
      </c>
      <c r="B805" t="s">
        <v>1295</v>
      </c>
      <c r="C805" t="s">
        <v>3806</v>
      </c>
      <c r="D805">
        <v>343</v>
      </c>
      <c r="E805" s="210">
        <v>76.190476190476105</v>
      </c>
    </row>
    <row r="806" spans="1:5" x14ac:dyDescent="0.2">
      <c r="A806">
        <v>805</v>
      </c>
      <c r="B806" t="s">
        <v>1950</v>
      </c>
      <c r="C806" t="s">
        <v>3807</v>
      </c>
      <c r="D806">
        <v>205</v>
      </c>
      <c r="E806" s="210">
        <v>75.862068965517196</v>
      </c>
    </row>
    <row r="807" spans="1:5" x14ac:dyDescent="0.2">
      <c r="A807">
        <v>806</v>
      </c>
      <c r="B807" t="s">
        <v>1948</v>
      </c>
      <c r="C807" t="s">
        <v>3808</v>
      </c>
      <c r="D807">
        <v>57</v>
      </c>
      <c r="E807" s="210">
        <v>66.6666666666666</v>
      </c>
    </row>
    <row r="808" spans="1:5" x14ac:dyDescent="0.2">
      <c r="A808">
        <v>807</v>
      </c>
      <c r="B808" t="s">
        <v>1946</v>
      </c>
      <c r="C808" t="s">
        <v>3809</v>
      </c>
      <c r="D808">
        <v>113</v>
      </c>
      <c r="E808" s="210">
        <v>70.588235294117595</v>
      </c>
    </row>
    <row r="809" spans="1:5" x14ac:dyDescent="0.2">
      <c r="A809">
        <v>808</v>
      </c>
      <c r="B809" t="s">
        <v>1944</v>
      </c>
      <c r="C809" t="s">
        <v>1944</v>
      </c>
      <c r="D809">
        <v>400</v>
      </c>
      <c r="E809" s="210">
        <v>100</v>
      </c>
    </row>
    <row r="810" spans="1:5" x14ac:dyDescent="0.2">
      <c r="A810">
        <v>809</v>
      </c>
      <c r="B810" t="s">
        <v>1942</v>
      </c>
      <c r="C810" t="s">
        <v>1942</v>
      </c>
      <c r="D810">
        <v>516</v>
      </c>
      <c r="E810" s="210">
        <v>100</v>
      </c>
    </row>
    <row r="811" spans="1:5" x14ac:dyDescent="0.2">
      <c r="A811">
        <v>810</v>
      </c>
      <c r="B811" t="s">
        <v>1940</v>
      </c>
      <c r="C811" t="s">
        <v>212</v>
      </c>
      <c r="D811">
        <v>264</v>
      </c>
      <c r="E811" s="210">
        <v>94.736842105263094</v>
      </c>
    </row>
    <row r="812" spans="1:5" x14ac:dyDescent="0.2">
      <c r="A812">
        <v>811</v>
      </c>
      <c r="B812" t="s">
        <v>1938</v>
      </c>
      <c r="C812" t="s">
        <v>3810</v>
      </c>
      <c r="D812">
        <v>505</v>
      </c>
      <c r="E812" s="210">
        <v>77.7777777777777</v>
      </c>
    </row>
    <row r="813" spans="1:5" x14ac:dyDescent="0.2">
      <c r="A813">
        <v>812</v>
      </c>
      <c r="B813" t="s">
        <v>1936</v>
      </c>
      <c r="C813" t="s">
        <v>3811</v>
      </c>
      <c r="D813">
        <v>509</v>
      </c>
      <c r="E813" s="210">
        <v>92.307692307692307</v>
      </c>
    </row>
    <row r="814" spans="1:5" x14ac:dyDescent="0.2">
      <c r="A814">
        <v>813</v>
      </c>
      <c r="B814" t="s">
        <v>1934</v>
      </c>
      <c r="C814" t="s">
        <v>3812</v>
      </c>
      <c r="D814">
        <v>152</v>
      </c>
      <c r="E814" s="210">
        <v>87.5</v>
      </c>
    </row>
    <row r="815" spans="1:5" x14ac:dyDescent="0.2">
      <c r="A815">
        <v>814</v>
      </c>
      <c r="B815" t="s">
        <v>1931</v>
      </c>
      <c r="C815" t="s">
        <v>2386</v>
      </c>
      <c r="D815">
        <v>459</v>
      </c>
      <c r="E815" s="210">
        <v>44.4444444444444</v>
      </c>
    </row>
    <row r="816" spans="1:5" x14ac:dyDescent="0.2">
      <c r="A816">
        <v>815</v>
      </c>
      <c r="B816" t="s">
        <v>357</v>
      </c>
      <c r="C816" t="s">
        <v>357</v>
      </c>
      <c r="D816">
        <v>623</v>
      </c>
      <c r="E816" s="210">
        <v>100</v>
      </c>
    </row>
    <row r="817" spans="1:5" x14ac:dyDescent="0.2">
      <c r="A817">
        <v>816</v>
      </c>
      <c r="B817" t="s">
        <v>1927</v>
      </c>
      <c r="C817" t="s">
        <v>3813</v>
      </c>
      <c r="D817">
        <v>265</v>
      </c>
      <c r="E817" s="210">
        <v>66.6666666666666</v>
      </c>
    </row>
    <row r="818" spans="1:5" x14ac:dyDescent="0.2">
      <c r="A818">
        <v>817</v>
      </c>
      <c r="B818" t="s">
        <v>1925</v>
      </c>
      <c r="C818" t="s">
        <v>1923</v>
      </c>
      <c r="D818">
        <v>572</v>
      </c>
      <c r="E818" s="210">
        <v>84.210526315789394</v>
      </c>
    </row>
    <row r="819" spans="1:5" x14ac:dyDescent="0.2">
      <c r="A819">
        <v>818</v>
      </c>
      <c r="B819" t="s">
        <v>1923</v>
      </c>
      <c r="C819" t="s">
        <v>1923</v>
      </c>
      <c r="D819">
        <v>572</v>
      </c>
      <c r="E819" s="210">
        <v>100</v>
      </c>
    </row>
    <row r="820" spans="1:5" x14ac:dyDescent="0.2">
      <c r="A820">
        <v>819</v>
      </c>
      <c r="B820" t="s">
        <v>1462</v>
      </c>
      <c r="C820" t="s">
        <v>3814</v>
      </c>
      <c r="D820">
        <v>652</v>
      </c>
      <c r="E820" s="210">
        <v>87.179487179487097</v>
      </c>
    </row>
    <row r="821" spans="1:5" x14ac:dyDescent="0.2">
      <c r="A821">
        <v>820</v>
      </c>
      <c r="B821" t="s">
        <v>1920</v>
      </c>
      <c r="C821" t="s">
        <v>3621</v>
      </c>
      <c r="D821">
        <v>531</v>
      </c>
      <c r="E821" s="210">
        <v>38.095238095238003</v>
      </c>
    </row>
    <row r="822" spans="1:5" x14ac:dyDescent="0.2">
      <c r="A822">
        <v>821</v>
      </c>
      <c r="B822" t="s">
        <v>1917</v>
      </c>
      <c r="C822" t="s">
        <v>3815</v>
      </c>
      <c r="D822">
        <v>296</v>
      </c>
      <c r="E822" s="210">
        <v>76.923076923076906</v>
      </c>
    </row>
    <row r="823" spans="1:5" x14ac:dyDescent="0.2">
      <c r="A823">
        <v>822</v>
      </c>
      <c r="B823" t="s">
        <v>1915</v>
      </c>
      <c r="C823" t="s">
        <v>1249</v>
      </c>
      <c r="D823">
        <v>482</v>
      </c>
      <c r="E823" s="210">
        <v>52.631578947368403</v>
      </c>
    </row>
    <row r="824" spans="1:5" x14ac:dyDescent="0.2">
      <c r="A824">
        <v>823</v>
      </c>
      <c r="B824" t="s">
        <v>1913</v>
      </c>
      <c r="C824" t="s">
        <v>3910</v>
      </c>
      <c r="D824">
        <v>508</v>
      </c>
      <c r="E824" s="210">
        <v>56</v>
      </c>
    </row>
    <row r="825" spans="1:5" x14ac:dyDescent="0.2">
      <c r="A825">
        <v>824</v>
      </c>
      <c r="B825" t="s">
        <v>1912</v>
      </c>
      <c r="C825" t="s">
        <v>3910</v>
      </c>
      <c r="D825">
        <v>508</v>
      </c>
      <c r="E825" s="210">
        <v>56</v>
      </c>
    </row>
    <row r="826" spans="1:5" x14ac:dyDescent="0.2">
      <c r="A826">
        <v>825</v>
      </c>
      <c r="B826" t="s">
        <v>1910</v>
      </c>
      <c r="C826" t="s">
        <v>3816</v>
      </c>
      <c r="D826">
        <v>190</v>
      </c>
      <c r="E826" s="210">
        <v>63.157894736842103</v>
      </c>
    </row>
    <row r="827" spans="1:5" x14ac:dyDescent="0.2">
      <c r="A827">
        <v>826</v>
      </c>
      <c r="B827" t="s">
        <v>1907</v>
      </c>
      <c r="C827" t="s">
        <v>3817</v>
      </c>
      <c r="D827">
        <v>16</v>
      </c>
      <c r="E827" s="210">
        <v>66.6666666666666</v>
      </c>
    </row>
    <row r="828" spans="1:5" x14ac:dyDescent="0.2">
      <c r="A828">
        <v>827</v>
      </c>
      <c r="B828" t="s">
        <v>1905</v>
      </c>
      <c r="C828" t="s">
        <v>3465</v>
      </c>
      <c r="D828">
        <v>1</v>
      </c>
      <c r="E828" s="210">
        <v>0</v>
      </c>
    </row>
    <row r="829" spans="1:5" x14ac:dyDescent="0.2">
      <c r="A829">
        <v>828</v>
      </c>
      <c r="B829" t="s">
        <v>1904</v>
      </c>
      <c r="C829" t="s">
        <v>3818</v>
      </c>
      <c r="D829">
        <v>24</v>
      </c>
      <c r="E829" s="210">
        <v>82.352941176470495</v>
      </c>
    </row>
    <row r="830" spans="1:5" x14ac:dyDescent="0.2">
      <c r="A830">
        <v>829</v>
      </c>
      <c r="B830" t="s">
        <v>1902</v>
      </c>
      <c r="C830" t="s">
        <v>3819</v>
      </c>
      <c r="D830">
        <v>271</v>
      </c>
      <c r="E830" s="210">
        <v>63.636363636363598</v>
      </c>
    </row>
    <row r="831" spans="1:5" x14ac:dyDescent="0.2">
      <c r="A831">
        <v>830</v>
      </c>
      <c r="B831" t="s">
        <v>1899</v>
      </c>
      <c r="C831" t="s">
        <v>2313</v>
      </c>
      <c r="D831">
        <v>621</v>
      </c>
      <c r="E831" s="210">
        <v>66.6666666666666</v>
      </c>
    </row>
    <row r="832" spans="1:5" x14ac:dyDescent="0.2">
      <c r="A832">
        <v>831</v>
      </c>
      <c r="B832" t="s">
        <v>1897</v>
      </c>
      <c r="C832" t="s">
        <v>3239</v>
      </c>
      <c r="D832">
        <v>36</v>
      </c>
      <c r="E832" s="210">
        <v>47.619047619047599</v>
      </c>
    </row>
    <row r="833" spans="1:5" x14ac:dyDescent="0.2">
      <c r="A833">
        <v>832</v>
      </c>
      <c r="B833" t="s">
        <v>1895</v>
      </c>
      <c r="C833" t="s">
        <v>3820</v>
      </c>
      <c r="D833">
        <v>233</v>
      </c>
      <c r="E833" s="210">
        <v>90.909090909090907</v>
      </c>
    </row>
    <row r="834" spans="1:5" x14ac:dyDescent="0.2">
      <c r="A834">
        <v>833</v>
      </c>
      <c r="B834" t="s">
        <v>1892</v>
      </c>
      <c r="C834" t="s">
        <v>3808</v>
      </c>
      <c r="D834">
        <v>57</v>
      </c>
      <c r="E834" s="210">
        <v>100</v>
      </c>
    </row>
    <row r="835" spans="1:5" x14ac:dyDescent="0.2">
      <c r="A835">
        <v>834</v>
      </c>
      <c r="B835" t="s">
        <v>1890</v>
      </c>
      <c r="C835" t="s">
        <v>3821</v>
      </c>
      <c r="D835">
        <v>163</v>
      </c>
      <c r="E835" s="210">
        <v>70.588235294117595</v>
      </c>
    </row>
    <row r="836" spans="1:5" x14ac:dyDescent="0.2">
      <c r="A836">
        <v>835</v>
      </c>
      <c r="B836" t="s">
        <v>930</v>
      </c>
      <c r="C836" t="s">
        <v>3528</v>
      </c>
      <c r="D836">
        <v>419</v>
      </c>
      <c r="E836" s="210">
        <v>100</v>
      </c>
    </row>
    <row r="837" spans="1:5" x14ac:dyDescent="0.2">
      <c r="A837">
        <v>836</v>
      </c>
      <c r="B837" t="s">
        <v>954</v>
      </c>
      <c r="C837" t="s">
        <v>954</v>
      </c>
      <c r="D837">
        <v>488</v>
      </c>
      <c r="E837" s="210">
        <v>100</v>
      </c>
    </row>
    <row r="838" spans="1:5" x14ac:dyDescent="0.2">
      <c r="A838">
        <v>837</v>
      </c>
      <c r="B838" t="s">
        <v>1886</v>
      </c>
      <c r="C838" t="s">
        <v>2747</v>
      </c>
      <c r="D838">
        <v>30</v>
      </c>
      <c r="E838" s="210">
        <v>44.4444444444444</v>
      </c>
    </row>
    <row r="839" spans="1:5" x14ac:dyDescent="0.2">
      <c r="A839">
        <v>838</v>
      </c>
      <c r="B839" t="s">
        <v>1884</v>
      </c>
      <c r="C839" t="s">
        <v>1884</v>
      </c>
      <c r="D839">
        <v>500</v>
      </c>
      <c r="E839" s="210">
        <v>100</v>
      </c>
    </row>
    <row r="840" spans="1:5" x14ac:dyDescent="0.2">
      <c r="A840">
        <v>839</v>
      </c>
      <c r="B840" t="s">
        <v>1882</v>
      </c>
      <c r="C840" t="s">
        <v>1882</v>
      </c>
      <c r="D840">
        <v>434</v>
      </c>
      <c r="E840" s="210">
        <v>100</v>
      </c>
    </row>
    <row r="841" spans="1:5" x14ac:dyDescent="0.2">
      <c r="A841">
        <v>840</v>
      </c>
      <c r="B841" t="s">
        <v>1249</v>
      </c>
      <c r="C841" t="s">
        <v>1249</v>
      </c>
      <c r="D841">
        <v>482</v>
      </c>
      <c r="E841" s="210">
        <v>100</v>
      </c>
    </row>
    <row r="842" spans="1:5" x14ac:dyDescent="0.2">
      <c r="A842">
        <v>841</v>
      </c>
      <c r="B842" t="s">
        <v>1879</v>
      </c>
      <c r="C842" t="s">
        <v>3821</v>
      </c>
      <c r="D842">
        <v>163</v>
      </c>
      <c r="E842" s="210">
        <v>50</v>
      </c>
    </row>
    <row r="843" spans="1:5" x14ac:dyDescent="0.2">
      <c r="A843">
        <v>842</v>
      </c>
      <c r="B843" t="s">
        <v>1877</v>
      </c>
      <c r="C843" t="s">
        <v>3716</v>
      </c>
      <c r="D843">
        <v>495</v>
      </c>
      <c r="E843" s="210">
        <v>54.545454545454497</v>
      </c>
    </row>
    <row r="844" spans="1:5" x14ac:dyDescent="0.2">
      <c r="A844">
        <v>843</v>
      </c>
      <c r="B844" t="s">
        <v>1875</v>
      </c>
      <c r="C844" t="s">
        <v>97</v>
      </c>
      <c r="D844">
        <v>307</v>
      </c>
      <c r="E844" s="210">
        <v>63.157894736842103</v>
      </c>
    </row>
    <row r="845" spans="1:5" x14ac:dyDescent="0.2">
      <c r="A845">
        <v>844</v>
      </c>
      <c r="B845" t="s">
        <v>1873</v>
      </c>
      <c r="C845" t="s">
        <v>3822</v>
      </c>
      <c r="D845">
        <v>277</v>
      </c>
      <c r="E845" s="210">
        <v>60</v>
      </c>
    </row>
    <row r="846" spans="1:5" x14ac:dyDescent="0.2">
      <c r="A846">
        <v>845</v>
      </c>
      <c r="B846" t="s">
        <v>1871</v>
      </c>
      <c r="C846" t="s">
        <v>3823</v>
      </c>
      <c r="D846">
        <v>635</v>
      </c>
      <c r="E846" s="210">
        <v>51.282051282051199</v>
      </c>
    </row>
    <row r="847" spans="1:5" x14ac:dyDescent="0.2">
      <c r="A847">
        <v>846</v>
      </c>
      <c r="B847" t="s">
        <v>1151</v>
      </c>
      <c r="C847" t="s">
        <v>3592</v>
      </c>
      <c r="D847">
        <v>522</v>
      </c>
      <c r="E847" s="210">
        <v>47.058823529411697</v>
      </c>
    </row>
    <row r="848" spans="1:5" x14ac:dyDescent="0.2">
      <c r="A848">
        <v>847</v>
      </c>
      <c r="B848" t="s">
        <v>1868</v>
      </c>
      <c r="C848" t="s">
        <v>3823</v>
      </c>
      <c r="D848">
        <v>635</v>
      </c>
      <c r="E848" s="210">
        <v>70.967741935483801</v>
      </c>
    </row>
    <row r="849" spans="1:5" x14ac:dyDescent="0.2">
      <c r="A849">
        <v>848</v>
      </c>
      <c r="B849" t="s">
        <v>1866</v>
      </c>
      <c r="C849" t="s">
        <v>3824</v>
      </c>
      <c r="D849">
        <v>141</v>
      </c>
      <c r="E849" s="210">
        <v>75</v>
      </c>
    </row>
    <row r="850" spans="1:5" x14ac:dyDescent="0.2">
      <c r="A850">
        <v>849</v>
      </c>
      <c r="B850" t="s">
        <v>1197</v>
      </c>
      <c r="C850" t="s">
        <v>3825</v>
      </c>
      <c r="D850">
        <v>565</v>
      </c>
      <c r="E850" s="210">
        <v>82.758620689655103</v>
      </c>
    </row>
    <row r="851" spans="1:5" x14ac:dyDescent="0.2">
      <c r="A851">
        <v>850</v>
      </c>
      <c r="B851" t="s">
        <v>1863</v>
      </c>
      <c r="C851" t="s">
        <v>3497</v>
      </c>
      <c r="D851">
        <v>106</v>
      </c>
      <c r="E851" s="210">
        <v>38.095238095238003</v>
      </c>
    </row>
    <row r="852" spans="1:5" x14ac:dyDescent="0.2">
      <c r="A852">
        <v>851</v>
      </c>
      <c r="B852" t="s">
        <v>1861</v>
      </c>
      <c r="C852" t="s">
        <v>3825</v>
      </c>
      <c r="D852">
        <v>565</v>
      </c>
      <c r="E852" s="210">
        <v>56.25</v>
      </c>
    </row>
    <row r="853" spans="1:5" x14ac:dyDescent="0.2">
      <c r="A853">
        <v>852</v>
      </c>
      <c r="B853" t="s">
        <v>1859</v>
      </c>
      <c r="C853" t="s">
        <v>3826</v>
      </c>
      <c r="D853">
        <v>17</v>
      </c>
      <c r="E853" s="210">
        <v>80</v>
      </c>
    </row>
    <row r="854" spans="1:5" x14ac:dyDescent="0.2">
      <c r="A854">
        <v>853</v>
      </c>
      <c r="B854" t="s">
        <v>1857</v>
      </c>
      <c r="C854" t="s">
        <v>3696</v>
      </c>
      <c r="D854">
        <v>589</v>
      </c>
      <c r="E854" s="210">
        <v>58.3333333333333</v>
      </c>
    </row>
    <row r="855" spans="1:5" x14ac:dyDescent="0.2">
      <c r="A855">
        <v>854</v>
      </c>
      <c r="B855" t="s">
        <v>1855</v>
      </c>
      <c r="C855" t="s">
        <v>3823</v>
      </c>
      <c r="D855">
        <v>635</v>
      </c>
      <c r="E855" s="210">
        <v>83.870967741935402</v>
      </c>
    </row>
    <row r="856" spans="1:5" x14ac:dyDescent="0.2">
      <c r="A856">
        <v>855</v>
      </c>
      <c r="B856" t="s">
        <v>1853</v>
      </c>
      <c r="C856" t="s">
        <v>3823</v>
      </c>
      <c r="D856">
        <v>635</v>
      </c>
      <c r="E856" s="210">
        <v>94.117647058823493</v>
      </c>
    </row>
    <row r="857" spans="1:5" x14ac:dyDescent="0.2">
      <c r="A857">
        <v>856</v>
      </c>
      <c r="B857" t="s">
        <v>1851</v>
      </c>
      <c r="C857" t="s">
        <v>3827</v>
      </c>
      <c r="D857">
        <v>273</v>
      </c>
      <c r="E857" s="210">
        <v>77.7777777777777</v>
      </c>
    </row>
    <row r="858" spans="1:5" x14ac:dyDescent="0.2">
      <c r="A858">
        <v>857</v>
      </c>
      <c r="B858" t="s">
        <v>1849</v>
      </c>
      <c r="C858" t="s">
        <v>3827</v>
      </c>
      <c r="D858">
        <v>273</v>
      </c>
      <c r="E858" s="210">
        <v>50</v>
      </c>
    </row>
    <row r="859" spans="1:5" x14ac:dyDescent="0.2">
      <c r="A859">
        <v>858</v>
      </c>
      <c r="B859" t="s">
        <v>1847</v>
      </c>
      <c r="C859" t="s">
        <v>3827</v>
      </c>
      <c r="D859">
        <v>273</v>
      </c>
      <c r="E859" s="210">
        <v>62.5</v>
      </c>
    </row>
    <row r="860" spans="1:5" x14ac:dyDescent="0.2">
      <c r="A860">
        <v>859</v>
      </c>
      <c r="B860" t="s">
        <v>1845</v>
      </c>
      <c r="C860" t="s">
        <v>3828</v>
      </c>
      <c r="D860">
        <v>354</v>
      </c>
      <c r="E860" s="210">
        <v>94.736842105263094</v>
      </c>
    </row>
    <row r="861" spans="1:5" x14ac:dyDescent="0.2">
      <c r="A861">
        <v>860</v>
      </c>
      <c r="B861" t="s">
        <v>1843</v>
      </c>
      <c r="C861" t="s">
        <v>1843</v>
      </c>
      <c r="D861">
        <v>73</v>
      </c>
      <c r="E861" s="210">
        <v>100</v>
      </c>
    </row>
    <row r="862" spans="1:5" x14ac:dyDescent="0.2">
      <c r="A862">
        <v>861</v>
      </c>
      <c r="B862" t="s">
        <v>1841</v>
      </c>
      <c r="C862" t="s">
        <v>3829</v>
      </c>
      <c r="D862">
        <v>246</v>
      </c>
      <c r="E862" s="210">
        <v>82.758620689655103</v>
      </c>
    </row>
    <row r="863" spans="1:5" x14ac:dyDescent="0.2">
      <c r="A863">
        <v>862</v>
      </c>
      <c r="B863" t="s">
        <v>1343</v>
      </c>
      <c r="C863" t="s">
        <v>1343</v>
      </c>
      <c r="D863">
        <v>548</v>
      </c>
      <c r="E863" s="210">
        <v>100</v>
      </c>
    </row>
    <row r="864" spans="1:5" x14ac:dyDescent="0.2">
      <c r="A864">
        <v>863</v>
      </c>
      <c r="B864" t="s">
        <v>1838</v>
      </c>
      <c r="C864" t="s">
        <v>3830</v>
      </c>
      <c r="D864">
        <v>167</v>
      </c>
      <c r="E864" s="210">
        <v>64.285714285714207</v>
      </c>
    </row>
    <row r="865" spans="1:5" x14ac:dyDescent="0.2">
      <c r="A865">
        <v>864</v>
      </c>
      <c r="B865" t="s">
        <v>1836</v>
      </c>
      <c r="C865" t="s">
        <v>3831</v>
      </c>
      <c r="D865">
        <v>335</v>
      </c>
      <c r="E865" s="210">
        <v>68.571428571428498</v>
      </c>
    </row>
    <row r="866" spans="1:5" x14ac:dyDescent="0.2">
      <c r="A866">
        <v>865</v>
      </c>
      <c r="B866" t="s">
        <v>1834</v>
      </c>
      <c r="C866" t="s">
        <v>3752</v>
      </c>
      <c r="D866">
        <v>611</v>
      </c>
      <c r="E866" s="210">
        <v>47.619047619047599</v>
      </c>
    </row>
    <row r="867" spans="1:5" x14ac:dyDescent="0.2">
      <c r="A867">
        <v>866</v>
      </c>
      <c r="B867" t="s">
        <v>1832</v>
      </c>
      <c r="C867" t="s">
        <v>3832</v>
      </c>
      <c r="D867">
        <v>165</v>
      </c>
      <c r="E867" s="210">
        <v>71.428571428571402</v>
      </c>
    </row>
    <row r="868" spans="1:5" x14ac:dyDescent="0.2">
      <c r="A868">
        <v>867</v>
      </c>
      <c r="B868" t="s">
        <v>1830</v>
      </c>
      <c r="C868" t="s">
        <v>3833</v>
      </c>
      <c r="D868">
        <v>585</v>
      </c>
      <c r="E868" s="210">
        <v>78.787878787878697</v>
      </c>
    </row>
    <row r="869" spans="1:5" x14ac:dyDescent="0.2">
      <c r="A869">
        <v>868</v>
      </c>
      <c r="B869" t="s">
        <v>1828</v>
      </c>
      <c r="C869" t="s">
        <v>3834</v>
      </c>
      <c r="D869">
        <v>659</v>
      </c>
      <c r="E869" s="210">
        <v>80</v>
      </c>
    </row>
    <row r="870" spans="1:5" x14ac:dyDescent="0.2">
      <c r="A870">
        <v>869</v>
      </c>
      <c r="B870" t="s">
        <v>1826</v>
      </c>
      <c r="C870" t="s">
        <v>1826</v>
      </c>
      <c r="D870">
        <v>101</v>
      </c>
      <c r="E870" s="210">
        <v>100</v>
      </c>
    </row>
    <row r="871" spans="1:5" x14ac:dyDescent="0.2">
      <c r="A871">
        <v>870</v>
      </c>
      <c r="B871" t="s">
        <v>1433</v>
      </c>
      <c r="C871" t="s">
        <v>3835</v>
      </c>
      <c r="D871">
        <v>415</v>
      </c>
      <c r="E871" s="210">
        <v>80</v>
      </c>
    </row>
    <row r="872" spans="1:5" x14ac:dyDescent="0.2">
      <c r="A872">
        <v>871</v>
      </c>
      <c r="B872" t="s">
        <v>1823</v>
      </c>
      <c r="C872" t="s">
        <v>3836</v>
      </c>
      <c r="D872">
        <v>18</v>
      </c>
      <c r="E872" s="210">
        <v>69.230769230769198</v>
      </c>
    </row>
    <row r="873" spans="1:5" x14ac:dyDescent="0.2">
      <c r="A873">
        <v>872</v>
      </c>
      <c r="B873" t="s">
        <v>1821</v>
      </c>
      <c r="C873" t="s">
        <v>3836</v>
      </c>
      <c r="D873">
        <v>18</v>
      </c>
      <c r="E873" s="210">
        <v>75.862068965517196</v>
      </c>
    </row>
    <row r="874" spans="1:5" x14ac:dyDescent="0.2">
      <c r="A874">
        <v>873</v>
      </c>
      <c r="B874" t="s">
        <v>1819</v>
      </c>
      <c r="C874" t="s">
        <v>3836</v>
      </c>
      <c r="D874">
        <v>18</v>
      </c>
      <c r="E874" s="210">
        <v>73.3333333333333</v>
      </c>
    </row>
    <row r="875" spans="1:5" x14ac:dyDescent="0.2">
      <c r="A875">
        <v>874</v>
      </c>
      <c r="B875" t="s">
        <v>1817</v>
      </c>
      <c r="C875" t="s">
        <v>3553</v>
      </c>
      <c r="D875">
        <v>475</v>
      </c>
      <c r="E875" s="210">
        <v>60.869565217391298</v>
      </c>
    </row>
    <row r="876" spans="1:5" x14ac:dyDescent="0.2">
      <c r="A876">
        <v>875</v>
      </c>
      <c r="B876" t="s">
        <v>1815</v>
      </c>
      <c r="C876" t="s">
        <v>1272</v>
      </c>
      <c r="D876">
        <v>128</v>
      </c>
      <c r="E876" s="210">
        <v>81.081081081080995</v>
      </c>
    </row>
    <row r="877" spans="1:5" x14ac:dyDescent="0.2">
      <c r="A877">
        <v>876</v>
      </c>
      <c r="B877" t="s">
        <v>1272</v>
      </c>
      <c r="C877" t="s">
        <v>1272</v>
      </c>
      <c r="D877">
        <v>128</v>
      </c>
      <c r="E877" s="210">
        <v>100</v>
      </c>
    </row>
    <row r="878" spans="1:5" x14ac:dyDescent="0.2">
      <c r="A878">
        <v>877</v>
      </c>
      <c r="B878" t="s">
        <v>1812</v>
      </c>
      <c r="C878" t="s">
        <v>138</v>
      </c>
      <c r="D878">
        <v>535</v>
      </c>
      <c r="E878" s="210">
        <v>78.260869565217305</v>
      </c>
    </row>
    <row r="879" spans="1:5" x14ac:dyDescent="0.2">
      <c r="A879">
        <v>878</v>
      </c>
      <c r="B879" t="s">
        <v>1810</v>
      </c>
      <c r="C879" t="s">
        <v>1810</v>
      </c>
      <c r="D879">
        <v>440</v>
      </c>
      <c r="E879" s="210">
        <v>100</v>
      </c>
    </row>
    <row r="880" spans="1:5" x14ac:dyDescent="0.2">
      <c r="A880">
        <v>879</v>
      </c>
      <c r="B880" t="s">
        <v>1808</v>
      </c>
      <c r="C880" t="s">
        <v>3749</v>
      </c>
      <c r="D880">
        <v>170</v>
      </c>
      <c r="E880" s="210">
        <v>37.5</v>
      </c>
    </row>
    <row r="881" spans="1:5" x14ac:dyDescent="0.2">
      <c r="A881">
        <v>880</v>
      </c>
      <c r="B881" t="s">
        <v>1806</v>
      </c>
      <c r="C881" t="s">
        <v>3752</v>
      </c>
      <c r="D881">
        <v>611</v>
      </c>
      <c r="E881" s="210">
        <v>76.190476190476105</v>
      </c>
    </row>
    <row r="882" spans="1:5" x14ac:dyDescent="0.2">
      <c r="A882">
        <v>881</v>
      </c>
      <c r="B882" t="s">
        <v>1804</v>
      </c>
      <c r="C882" t="s">
        <v>1804</v>
      </c>
      <c r="D882">
        <v>279</v>
      </c>
      <c r="E882" s="210">
        <v>100</v>
      </c>
    </row>
    <row r="883" spans="1:5" x14ac:dyDescent="0.2">
      <c r="A883">
        <v>882</v>
      </c>
      <c r="B883" t="s">
        <v>1802</v>
      </c>
      <c r="C883" t="s">
        <v>3837</v>
      </c>
      <c r="D883">
        <v>514</v>
      </c>
      <c r="E883" s="210">
        <v>70.588235294117595</v>
      </c>
    </row>
    <row r="884" spans="1:5" x14ac:dyDescent="0.2">
      <c r="A884">
        <v>883</v>
      </c>
      <c r="B884" t="s">
        <v>1800</v>
      </c>
      <c r="C884" t="s">
        <v>1700</v>
      </c>
      <c r="D884">
        <v>559</v>
      </c>
      <c r="E884" s="210">
        <v>80</v>
      </c>
    </row>
    <row r="885" spans="1:5" x14ac:dyDescent="0.2">
      <c r="A885">
        <v>884</v>
      </c>
      <c r="B885" t="s">
        <v>1798</v>
      </c>
      <c r="C885" t="s">
        <v>933</v>
      </c>
      <c r="D885">
        <v>323</v>
      </c>
      <c r="E885" s="210">
        <v>66.6666666666666</v>
      </c>
    </row>
    <row r="886" spans="1:5" x14ac:dyDescent="0.2">
      <c r="A886">
        <v>885</v>
      </c>
      <c r="B886" t="s">
        <v>1796</v>
      </c>
      <c r="C886" t="s">
        <v>3838</v>
      </c>
      <c r="D886">
        <v>198</v>
      </c>
      <c r="E886" s="210">
        <v>63.157894736842103</v>
      </c>
    </row>
    <row r="887" spans="1:5" x14ac:dyDescent="0.2">
      <c r="A887">
        <v>886</v>
      </c>
      <c r="B887" t="s">
        <v>1794</v>
      </c>
      <c r="C887" t="s">
        <v>3431</v>
      </c>
      <c r="D887">
        <v>309</v>
      </c>
      <c r="E887" s="210">
        <v>45.161290322580598</v>
      </c>
    </row>
    <row r="888" spans="1:5" x14ac:dyDescent="0.2">
      <c r="A888">
        <v>887</v>
      </c>
      <c r="B888" t="s">
        <v>1792</v>
      </c>
      <c r="C888" t="s">
        <v>918</v>
      </c>
      <c r="D888">
        <v>160</v>
      </c>
      <c r="E888" s="210">
        <v>38.709677419354797</v>
      </c>
    </row>
    <row r="889" spans="1:5" x14ac:dyDescent="0.2">
      <c r="A889">
        <v>888</v>
      </c>
      <c r="B889" t="s">
        <v>1790</v>
      </c>
      <c r="C889" t="s">
        <v>3839</v>
      </c>
      <c r="D889">
        <v>153</v>
      </c>
      <c r="E889" s="210">
        <v>71.428571428571402</v>
      </c>
    </row>
    <row r="890" spans="1:5" x14ac:dyDescent="0.2">
      <c r="A890">
        <v>889</v>
      </c>
      <c r="B890" t="s">
        <v>1787</v>
      </c>
      <c r="C890" t="s">
        <v>1787</v>
      </c>
      <c r="D890">
        <v>650</v>
      </c>
      <c r="E890" s="210">
        <v>100</v>
      </c>
    </row>
    <row r="891" spans="1:5" x14ac:dyDescent="0.2">
      <c r="A891">
        <v>890</v>
      </c>
      <c r="B891" t="s">
        <v>1785</v>
      </c>
      <c r="C891" t="s">
        <v>3675</v>
      </c>
      <c r="D891">
        <v>115</v>
      </c>
      <c r="E891" s="210">
        <v>58.3333333333333</v>
      </c>
    </row>
    <row r="892" spans="1:5" x14ac:dyDescent="0.2">
      <c r="A892">
        <v>891</v>
      </c>
      <c r="B892" t="s">
        <v>1783</v>
      </c>
      <c r="C892" t="s">
        <v>1783</v>
      </c>
      <c r="D892">
        <v>185</v>
      </c>
      <c r="E892" s="210">
        <v>100</v>
      </c>
    </row>
    <row r="893" spans="1:5" x14ac:dyDescent="0.2">
      <c r="A893">
        <v>892</v>
      </c>
      <c r="B893" t="s">
        <v>1780</v>
      </c>
      <c r="C893" t="s">
        <v>1783</v>
      </c>
      <c r="D893">
        <v>185</v>
      </c>
      <c r="E893" s="210">
        <v>68.75</v>
      </c>
    </row>
    <row r="894" spans="1:5" x14ac:dyDescent="0.2">
      <c r="A894">
        <v>893</v>
      </c>
      <c r="B894" t="s">
        <v>1779</v>
      </c>
      <c r="C894" t="s">
        <v>1783</v>
      </c>
      <c r="D894">
        <v>185</v>
      </c>
      <c r="E894" s="210">
        <v>66.6666666666666</v>
      </c>
    </row>
    <row r="895" spans="1:5" x14ac:dyDescent="0.2">
      <c r="A895">
        <v>894</v>
      </c>
      <c r="B895" t="s">
        <v>1777</v>
      </c>
      <c r="C895" t="s">
        <v>3535</v>
      </c>
      <c r="D895">
        <v>450</v>
      </c>
      <c r="E895" s="210">
        <v>35.294117647058798</v>
      </c>
    </row>
    <row r="896" spans="1:5" x14ac:dyDescent="0.2">
      <c r="A896">
        <v>895</v>
      </c>
      <c r="B896" t="s">
        <v>1775</v>
      </c>
      <c r="C896" t="s">
        <v>1775</v>
      </c>
      <c r="D896">
        <v>545</v>
      </c>
      <c r="E896" s="210">
        <v>100</v>
      </c>
    </row>
    <row r="897" spans="1:5" x14ac:dyDescent="0.2">
      <c r="A897">
        <v>896</v>
      </c>
      <c r="B897" t="s">
        <v>1773</v>
      </c>
      <c r="C897" t="s">
        <v>3657</v>
      </c>
      <c r="D897">
        <v>214</v>
      </c>
      <c r="E897" s="210">
        <v>72</v>
      </c>
    </row>
    <row r="898" spans="1:5" x14ac:dyDescent="0.2">
      <c r="A898">
        <v>897</v>
      </c>
      <c r="B898" t="s">
        <v>1771</v>
      </c>
      <c r="C898" t="s">
        <v>3657</v>
      </c>
      <c r="D898">
        <v>214</v>
      </c>
      <c r="E898" s="210">
        <v>86.274509803921504</v>
      </c>
    </row>
    <row r="899" spans="1:5" x14ac:dyDescent="0.2">
      <c r="A899">
        <v>898</v>
      </c>
      <c r="B899" t="s">
        <v>1769</v>
      </c>
      <c r="C899" t="s">
        <v>3657</v>
      </c>
      <c r="D899">
        <v>214</v>
      </c>
      <c r="E899" s="210">
        <v>70.588235294117595</v>
      </c>
    </row>
    <row r="900" spans="1:5" x14ac:dyDescent="0.2">
      <c r="A900">
        <v>899</v>
      </c>
      <c r="B900" t="s">
        <v>1767</v>
      </c>
      <c r="C900" t="s">
        <v>1767</v>
      </c>
      <c r="D900">
        <v>643</v>
      </c>
      <c r="E900" s="210">
        <v>100</v>
      </c>
    </row>
    <row r="901" spans="1:5" x14ac:dyDescent="0.2">
      <c r="A901">
        <v>900</v>
      </c>
      <c r="B901" t="s">
        <v>1765</v>
      </c>
      <c r="C901" t="s">
        <v>1765</v>
      </c>
      <c r="D901">
        <v>669</v>
      </c>
      <c r="E901" s="210">
        <v>100</v>
      </c>
    </row>
    <row r="902" spans="1:5" x14ac:dyDescent="0.2">
      <c r="A902">
        <v>901</v>
      </c>
      <c r="B902" t="s">
        <v>1763</v>
      </c>
      <c r="C902" t="s">
        <v>1775</v>
      </c>
      <c r="D902">
        <v>545</v>
      </c>
      <c r="E902" s="210">
        <v>57.142857142857103</v>
      </c>
    </row>
    <row r="903" spans="1:5" x14ac:dyDescent="0.2">
      <c r="A903">
        <v>902</v>
      </c>
      <c r="B903" t="s">
        <v>1761</v>
      </c>
      <c r="C903" t="s">
        <v>3840</v>
      </c>
      <c r="D903">
        <v>530</v>
      </c>
      <c r="E903" s="210">
        <v>63.636363636363598</v>
      </c>
    </row>
    <row r="904" spans="1:5" x14ac:dyDescent="0.2">
      <c r="A904">
        <v>903</v>
      </c>
      <c r="B904" t="s">
        <v>1759</v>
      </c>
      <c r="C904" t="s">
        <v>3841</v>
      </c>
      <c r="D904">
        <v>263</v>
      </c>
      <c r="E904" s="210">
        <v>81.481481481481495</v>
      </c>
    </row>
    <row r="905" spans="1:5" x14ac:dyDescent="0.2">
      <c r="A905">
        <v>904</v>
      </c>
      <c r="B905" t="s">
        <v>1757</v>
      </c>
      <c r="C905" t="s">
        <v>3842</v>
      </c>
      <c r="D905">
        <v>484</v>
      </c>
      <c r="E905" s="210">
        <v>82.758620689655103</v>
      </c>
    </row>
    <row r="906" spans="1:5" x14ac:dyDescent="0.2">
      <c r="A906">
        <v>905</v>
      </c>
      <c r="B906" t="s">
        <v>1755</v>
      </c>
      <c r="C906" t="s">
        <v>3843</v>
      </c>
      <c r="D906">
        <v>444</v>
      </c>
      <c r="E906" s="210">
        <v>76.470588235294102</v>
      </c>
    </row>
    <row r="907" spans="1:5" x14ac:dyDescent="0.2">
      <c r="A907">
        <v>906</v>
      </c>
      <c r="B907" t="s">
        <v>1753</v>
      </c>
      <c r="C907" t="s">
        <v>3844</v>
      </c>
      <c r="D907">
        <v>138</v>
      </c>
      <c r="E907" s="210">
        <v>72</v>
      </c>
    </row>
    <row r="908" spans="1:5" x14ac:dyDescent="0.2">
      <c r="A908">
        <v>907</v>
      </c>
      <c r="B908" t="s">
        <v>1751</v>
      </c>
      <c r="C908" t="s">
        <v>3844</v>
      </c>
      <c r="D908">
        <v>138</v>
      </c>
      <c r="E908" s="210">
        <v>66.6666666666666</v>
      </c>
    </row>
    <row r="909" spans="1:5" x14ac:dyDescent="0.2">
      <c r="A909">
        <v>908</v>
      </c>
      <c r="B909" t="s">
        <v>1749</v>
      </c>
      <c r="C909" t="s">
        <v>1749</v>
      </c>
      <c r="D909">
        <v>347</v>
      </c>
      <c r="E909" s="210">
        <v>100</v>
      </c>
    </row>
    <row r="910" spans="1:5" x14ac:dyDescent="0.2">
      <c r="A910">
        <v>909</v>
      </c>
      <c r="B910" t="s">
        <v>1747</v>
      </c>
      <c r="C910" t="s">
        <v>3845</v>
      </c>
      <c r="D910">
        <v>250</v>
      </c>
      <c r="E910" s="210">
        <v>73.684210526315795</v>
      </c>
    </row>
    <row r="911" spans="1:5" x14ac:dyDescent="0.2">
      <c r="A911">
        <v>910</v>
      </c>
      <c r="B911" t="s">
        <v>1745</v>
      </c>
      <c r="C911" t="s">
        <v>1745</v>
      </c>
      <c r="D911">
        <v>666</v>
      </c>
      <c r="E911" s="210">
        <v>100</v>
      </c>
    </row>
    <row r="912" spans="1:5" x14ac:dyDescent="0.2">
      <c r="A912">
        <v>911</v>
      </c>
      <c r="B912" t="s">
        <v>1743</v>
      </c>
      <c r="C912" t="s">
        <v>1775</v>
      </c>
      <c r="D912">
        <v>545</v>
      </c>
      <c r="E912" s="210">
        <v>50</v>
      </c>
    </row>
    <row r="913" spans="1:5" x14ac:dyDescent="0.2">
      <c r="A913">
        <v>912</v>
      </c>
      <c r="B913" t="s">
        <v>1741</v>
      </c>
      <c r="C913" t="s">
        <v>1989</v>
      </c>
      <c r="D913">
        <v>664</v>
      </c>
      <c r="E913" s="210">
        <v>47.368421052631497</v>
      </c>
    </row>
    <row r="914" spans="1:5" x14ac:dyDescent="0.2">
      <c r="A914">
        <v>913</v>
      </c>
      <c r="B914" t="s">
        <v>224</v>
      </c>
      <c r="C914" t="s">
        <v>224</v>
      </c>
      <c r="D914">
        <v>575</v>
      </c>
      <c r="E914" s="210">
        <v>100</v>
      </c>
    </row>
    <row r="915" spans="1:5" x14ac:dyDescent="0.2">
      <c r="A915">
        <v>914</v>
      </c>
      <c r="B915" t="s">
        <v>1738</v>
      </c>
      <c r="C915" t="s">
        <v>3846</v>
      </c>
      <c r="D915">
        <v>19</v>
      </c>
      <c r="E915" s="210">
        <v>78.947368421052602</v>
      </c>
    </row>
    <row r="916" spans="1:5" x14ac:dyDescent="0.2">
      <c r="A916">
        <v>915</v>
      </c>
      <c r="B916" t="s">
        <v>1737</v>
      </c>
      <c r="C916" t="s">
        <v>3846</v>
      </c>
      <c r="D916">
        <v>19</v>
      </c>
      <c r="E916" s="210">
        <v>85.714285714285694</v>
      </c>
    </row>
    <row r="917" spans="1:5" x14ac:dyDescent="0.2">
      <c r="A917">
        <v>916</v>
      </c>
      <c r="B917" t="s">
        <v>1736</v>
      </c>
      <c r="C917" t="s">
        <v>3846</v>
      </c>
      <c r="D917">
        <v>19</v>
      </c>
      <c r="E917" s="210">
        <v>65.116279069767401</v>
      </c>
    </row>
    <row r="918" spans="1:5" x14ac:dyDescent="0.2">
      <c r="A918">
        <v>917</v>
      </c>
      <c r="B918" t="s">
        <v>225</v>
      </c>
      <c r="C918" t="s">
        <v>225</v>
      </c>
      <c r="D918">
        <v>593</v>
      </c>
      <c r="E918" s="210">
        <v>100</v>
      </c>
    </row>
    <row r="919" spans="1:5" x14ac:dyDescent="0.2">
      <c r="A919">
        <v>918</v>
      </c>
      <c r="B919" t="s">
        <v>226</v>
      </c>
      <c r="C919" t="s">
        <v>226</v>
      </c>
      <c r="D919">
        <v>539</v>
      </c>
      <c r="E919" s="210">
        <v>100</v>
      </c>
    </row>
    <row r="920" spans="1:5" x14ac:dyDescent="0.2">
      <c r="A920">
        <v>919</v>
      </c>
      <c r="B920" t="s">
        <v>31</v>
      </c>
      <c r="C920" t="s">
        <v>31</v>
      </c>
      <c r="D920">
        <v>372</v>
      </c>
      <c r="E920" s="210">
        <v>100</v>
      </c>
    </row>
    <row r="921" spans="1:5" x14ac:dyDescent="0.2">
      <c r="A921">
        <v>920</v>
      </c>
      <c r="B921" t="s">
        <v>1731</v>
      </c>
      <c r="C921" t="s">
        <v>3911</v>
      </c>
      <c r="D921">
        <v>541</v>
      </c>
      <c r="E921" s="210">
        <v>52.941176470588204</v>
      </c>
    </row>
    <row r="922" spans="1:5" x14ac:dyDescent="0.2">
      <c r="A922">
        <v>921</v>
      </c>
      <c r="B922" t="s">
        <v>1729</v>
      </c>
      <c r="C922" t="s">
        <v>3912</v>
      </c>
      <c r="D922">
        <v>578</v>
      </c>
      <c r="E922" s="210">
        <v>57.894736842105203</v>
      </c>
    </row>
    <row r="923" spans="1:5" x14ac:dyDescent="0.2">
      <c r="A923">
        <v>922</v>
      </c>
      <c r="B923" t="s">
        <v>1727</v>
      </c>
      <c r="C923" t="s">
        <v>3913</v>
      </c>
      <c r="D923">
        <v>658</v>
      </c>
      <c r="E923" s="210">
        <v>52.941176470588204</v>
      </c>
    </row>
    <row r="924" spans="1:5" x14ac:dyDescent="0.2">
      <c r="A924">
        <v>923</v>
      </c>
      <c r="B924" t="s">
        <v>1725</v>
      </c>
      <c r="C924" t="s">
        <v>3847</v>
      </c>
      <c r="D924">
        <v>406</v>
      </c>
      <c r="E924" s="210">
        <v>82.758620689655103</v>
      </c>
    </row>
    <row r="925" spans="1:5" x14ac:dyDescent="0.2">
      <c r="A925">
        <v>924</v>
      </c>
      <c r="B925" t="s">
        <v>1723</v>
      </c>
      <c r="C925" t="s">
        <v>3848</v>
      </c>
      <c r="D925">
        <v>247</v>
      </c>
      <c r="E925" s="210">
        <v>74.418604651162795</v>
      </c>
    </row>
    <row r="926" spans="1:5" x14ac:dyDescent="0.2">
      <c r="A926">
        <v>925</v>
      </c>
      <c r="B926" t="s">
        <v>1721</v>
      </c>
      <c r="C926" t="s">
        <v>3849</v>
      </c>
      <c r="D926">
        <v>20</v>
      </c>
      <c r="E926" s="210">
        <v>73.684210526315795</v>
      </c>
    </row>
    <row r="927" spans="1:5" x14ac:dyDescent="0.2">
      <c r="A927">
        <v>926</v>
      </c>
      <c r="B927" t="s">
        <v>1719</v>
      </c>
      <c r="C927" t="s">
        <v>3837</v>
      </c>
      <c r="D927">
        <v>514</v>
      </c>
      <c r="E927" s="210">
        <v>80</v>
      </c>
    </row>
    <row r="928" spans="1:5" x14ac:dyDescent="0.2">
      <c r="A928">
        <v>927</v>
      </c>
      <c r="B928" t="s">
        <v>1717</v>
      </c>
      <c r="C928" t="s">
        <v>3850</v>
      </c>
      <c r="D928">
        <v>294</v>
      </c>
      <c r="E928" s="210">
        <v>75.675675675675606</v>
      </c>
    </row>
    <row r="929" spans="1:5" x14ac:dyDescent="0.2">
      <c r="A929">
        <v>928</v>
      </c>
      <c r="B929" t="s">
        <v>1714</v>
      </c>
      <c r="C929" t="s">
        <v>3851</v>
      </c>
      <c r="D929">
        <v>473</v>
      </c>
      <c r="E929" s="210">
        <v>80</v>
      </c>
    </row>
    <row r="930" spans="1:5" x14ac:dyDescent="0.2">
      <c r="A930">
        <v>929</v>
      </c>
      <c r="B930" t="s">
        <v>1712</v>
      </c>
      <c r="C930" t="s">
        <v>3852</v>
      </c>
      <c r="D930">
        <v>476</v>
      </c>
      <c r="E930" s="210">
        <v>80</v>
      </c>
    </row>
    <row r="931" spans="1:5" x14ac:dyDescent="0.2">
      <c r="A931">
        <v>930</v>
      </c>
      <c r="B931" t="s">
        <v>1710</v>
      </c>
      <c r="C931" t="s">
        <v>3623</v>
      </c>
      <c r="D931">
        <v>269</v>
      </c>
      <c r="E931" s="210">
        <v>58.064516129032199</v>
      </c>
    </row>
    <row r="932" spans="1:5" x14ac:dyDescent="0.2">
      <c r="A932">
        <v>931</v>
      </c>
      <c r="B932" t="s">
        <v>1708</v>
      </c>
      <c r="C932" t="s">
        <v>3847</v>
      </c>
      <c r="D932">
        <v>406</v>
      </c>
      <c r="E932" s="210">
        <v>77.419354838709594</v>
      </c>
    </row>
    <row r="933" spans="1:5" x14ac:dyDescent="0.2">
      <c r="A933">
        <v>932</v>
      </c>
      <c r="B933" t="s">
        <v>1706</v>
      </c>
      <c r="C933" t="s">
        <v>3837</v>
      </c>
      <c r="D933">
        <v>514</v>
      </c>
      <c r="E933" s="210">
        <v>74.074074074074005</v>
      </c>
    </row>
    <row r="934" spans="1:5" x14ac:dyDescent="0.2">
      <c r="A934">
        <v>933</v>
      </c>
      <c r="B934" t="s">
        <v>1704</v>
      </c>
      <c r="C934" t="s">
        <v>3851</v>
      </c>
      <c r="D934">
        <v>473</v>
      </c>
      <c r="E934" s="210">
        <v>74.074074074074005</v>
      </c>
    </row>
    <row r="935" spans="1:5" x14ac:dyDescent="0.2">
      <c r="A935">
        <v>934</v>
      </c>
      <c r="B935" t="s">
        <v>1702</v>
      </c>
      <c r="C935" t="s">
        <v>3852</v>
      </c>
      <c r="D935">
        <v>476</v>
      </c>
      <c r="E935" s="210">
        <v>74.074074074074005</v>
      </c>
    </row>
    <row r="936" spans="1:5" x14ac:dyDescent="0.2">
      <c r="A936">
        <v>935</v>
      </c>
      <c r="B936" t="s">
        <v>1700</v>
      </c>
      <c r="C936" t="s">
        <v>1700</v>
      </c>
      <c r="D936">
        <v>559</v>
      </c>
      <c r="E936" s="210">
        <v>100</v>
      </c>
    </row>
    <row r="937" spans="1:5" x14ac:dyDescent="0.2">
      <c r="A937">
        <v>936</v>
      </c>
      <c r="B937" t="s">
        <v>933</v>
      </c>
      <c r="C937" t="s">
        <v>933</v>
      </c>
      <c r="D937">
        <v>323</v>
      </c>
      <c r="E937" s="210">
        <v>100</v>
      </c>
    </row>
    <row r="938" spans="1:5" x14ac:dyDescent="0.2">
      <c r="A938">
        <v>937</v>
      </c>
      <c r="B938" t="s">
        <v>1697</v>
      </c>
      <c r="C938" t="s">
        <v>1697</v>
      </c>
      <c r="D938">
        <v>80</v>
      </c>
      <c r="E938" s="210">
        <v>100</v>
      </c>
    </row>
    <row r="939" spans="1:5" x14ac:dyDescent="0.2">
      <c r="A939">
        <v>938</v>
      </c>
      <c r="B939" t="s">
        <v>1695</v>
      </c>
      <c r="C939" t="s">
        <v>3679</v>
      </c>
      <c r="D939">
        <v>525</v>
      </c>
      <c r="E939" s="210">
        <v>71.428571428571402</v>
      </c>
    </row>
    <row r="940" spans="1:5" x14ac:dyDescent="0.2">
      <c r="A940">
        <v>939</v>
      </c>
      <c r="B940" t="s">
        <v>1693</v>
      </c>
      <c r="C940" t="s">
        <v>3853</v>
      </c>
      <c r="D940">
        <v>391</v>
      </c>
      <c r="E940" s="210">
        <v>76.923076923076906</v>
      </c>
    </row>
    <row r="941" spans="1:5" x14ac:dyDescent="0.2">
      <c r="A941">
        <v>940</v>
      </c>
      <c r="B941" t="s">
        <v>1691</v>
      </c>
      <c r="C941" t="s">
        <v>3854</v>
      </c>
      <c r="D941">
        <v>454</v>
      </c>
      <c r="E941" s="210">
        <v>66.6666666666666</v>
      </c>
    </row>
    <row r="942" spans="1:5" x14ac:dyDescent="0.2">
      <c r="A942">
        <v>941</v>
      </c>
      <c r="B942" t="s">
        <v>1689</v>
      </c>
      <c r="C942" t="s">
        <v>3855</v>
      </c>
      <c r="D942">
        <v>405</v>
      </c>
      <c r="E942" s="210">
        <v>78.048780487804805</v>
      </c>
    </row>
    <row r="943" spans="1:5" x14ac:dyDescent="0.2">
      <c r="A943">
        <v>942</v>
      </c>
      <c r="B943" t="s">
        <v>1687</v>
      </c>
      <c r="C943" t="s">
        <v>3854</v>
      </c>
      <c r="D943">
        <v>454</v>
      </c>
      <c r="E943" s="210">
        <v>75.675675675675606</v>
      </c>
    </row>
    <row r="944" spans="1:5" x14ac:dyDescent="0.2">
      <c r="A944">
        <v>943</v>
      </c>
      <c r="B944" t="s">
        <v>1685</v>
      </c>
      <c r="C944" t="s">
        <v>3853</v>
      </c>
      <c r="D944">
        <v>391</v>
      </c>
      <c r="E944" s="210">
        <v>76.923076923076906</v>
      </c>
    </row>
    <row r="945" spans="1:5" x14ac:dyDescent="0.2">
      <c r="A945">
        <v>944</v>
      </c>
      <c r="B945" t="s">
        <v>1683</v>
      </c>
      <c r="C945" t="s">
        <v>3854</v>
      </c>
      <c r="D945">
        <v>454</v>
      </c>
      <c r="E945" s="210">
        <v>66.6666666666666</v>
      </c>
    </row>
    <row r="946" spans="1:5" x14ac:dyDescent="0.2">
      <c r="A946">
        <v>945</v>
      </c>
      <c r="B946" t="s">
        <v>1681</v>
      </c>
      <c r="C946" t="s">
        <v>3855</v>
      </c>
      <c r="D946">
        <v>405</v>
      </c>
      <c r="E946" s="210">
        <v>78.048780487804805</v>
      </c>
    </row>
    <row r="947" spans="1:5" x14ac:dyDescent="0.2">
      <c r="A947">
        <v>946</v>
      </c>
      <c r="B947" t="s">
        <v>1679</v>
      </c>
      <c r="C947" t="s">
        <v>3854</v>
      </c>
      <c r="D947">
        <v>454</v>
      </c>
      <c r="E947" s="210">
        <v>75.675675675675606</v>
      </c>
    </row>
    <row r="948" spans="1:5" x14ac:dyDescent="0.2">
      <c r="A948">
        <v>947</v>
      </c>
      <c r="B948" t="s">
        <v>1677</v>
      </c>
      <c r="C948" t="s">
        <v>1677</v>
      </c>
      <c r="D948">
        <v>636</v>
      </c>
      <c r="E948" s="210">
        <v>100</v>
      </c>
    </row>
    <row r="949" spans="1:5" x14ac:dyDescent="0.2">
      <c r="A949">
        <v>948</v>
      </c>
      <c r="B949" t="s">
        <v>1675</v>
      </c>
      <c r="C949" t="s">
        <v>1677</v>
      </c>
      <c r="D949">
        <v>636</v>
      </c>
      <c r="E949" s="210">
        <v>82.926829268292593</v>
      </c>
    </row>
    <row r="950" spans="1:5" x14ac:dyDescent="0.2">
      <c r="A950">
        <v>949</v>
      </c>
      <c r="B950" t="s">
        <v>1673</v>
      </c>
      <c r="C950" t="s">
        <v>3608</v>
      </c>
      <c r="D950">
        <v>66</v>
      </c>
      <c r="E950" s="210">
        <v>62.857142857142797</v>
      </c>
    </row>
    <row r="951" spans="1:5" x14ac:dyDescent="0.2">
      <c r="A951">
        <v>950</v>
      </c>
      <c r="B951" t="s">
        <v>1671</v>
      </c>
      <c r="C951" t="s">
        <v>3856</v>
      </c>
      <c r="D951">
        <v>26</v>
      </c>
      <c r="E951" s="210">
        <v>95.238095238095198</v>
      </c>
    </row>
    <row r="952" spans="1:5" x14ac:dyDescent="0.2">
      <c r="A952">
        <v>951</v>
      </c>
      <c r="B952" t="s">
        <v>1669</v>
      </c>
      <c r="C952" t="s">
        <v>3702</v>
      </c>
      <c r="D952">
        <v>203</v>
      </c>
      <c r="E952" s="210">
        <v>46.153846153846096</v>
      </c>
    </row>
    <row r="953" spans="1:5" x14ac:dyDescent="0.2">
      <c r="A953">
        <v>952</v>
      </c>
      <c r="B953" t="s">
        <v>1667</v>
      </c>
      <c r="C953" t="s">
        <v>3857</v>
      </c>
      <c r="D953">
        <v>513</v>
      </c>
      <c r="E953" s="210">
        <v>91.6666666666666</v>
      </c>
    </row>
    <row r="954" spans="1:5" x14ac:dyDescent="0.2">
      <c r="A954">
        <v>953</v>
      </c>
      <c r="B954" t="s">
        <v>1665</v>
      </c>
      <c r="C954" t="s">
        <v>3858</v>
      </c>
      <c r="D954">
        <v>542</v>
      </c>
      <c r="E954" s="210">
        <v>84.210526315789394</v>
      </c>
    </row>
    <row r="955" spans="1:5" x14ac:dyDescent="0.2">
      <c r="A955">
        <v>954</v>
      </c>
      <c r="B955" t="s">
        <v>1663</v>
      </c>
      <c r="C955" t="s">
        <v>1663</v>
      </c>
      <c r="D955">
        <v>351</v>
      </c>
      <c r="E955" s="210">
        <v>100</v>
      </c>
    </row>
    <row r="956" spans="1:5" x14ac:dyDescent="0.2">
      <c r="A956">
        <v>955</v>
      </c>
      <c r="B956" t="s">
        <v>1661</v>
      </c>
      <c r="C956" t="s">
        <v>3859</v>
      </c>
      <c r="D956">
        <v>397</v>
      </c>
      <c r="E956" s="210">
        <v>87.179487179487097</v>
      </c>
    </row>
    <row r="957" spans="1:5" x14ac:dyDescent="0.2">
      <c r="A957">
        <v>956</v>
      </c>
      <c r="B957" t="s">
        <v>1659</v>
      </c>
      <c r="C957" t="s">
        <v>357</v>
      </c>
      <c r="D957">
        <v>623</v>
      </c>
      <c r="E957" s="210">
        <v>51.612903225806399</v>
      </c>
    </row>
    <row r="958" spans="1:5" x14ac:dyDescent="0.2">
      <c r="A958">
        <v>957</v>
      </c>
      <c r="B958" t="s">
        <v>1657</v>
      </c>
      <c r="C958" t="s">
        <v>3507</v>
      </c>
      <c r="D958">
        <v>49</v>
      </c>
      <c r="E958" s="210">
        <v>42.857142857142797</v>
      </c>
    </row>
    <row r="959" spans="1:5" x14ac:dyDescent="0.2">
      <c r="A959">
        <v>958</v>
      </c>
      <c r="B959" t="s">
        <v>1655</v>
      </c>
      <c r="C959" t="s">
        <v>3835</v>
      </c>
      <c r="D959">
        <v>415</v>
      </c>
      <c r="E959" s="210">
        <v>80</v>
      </c>
    </row>
    <row r="960" spans="1:5" x14ac:dyDescent="0.2">
      <c r="A960">
        <v>959</v>
      </c>
      <c r="B960" t="s">
        <v>1653</v>
      </c>
      <c r="C960" t="s">
        <v>1653</v>
      </c>
      <c r="D960">
        <v>199</v>
      </c>
      <c r="E960" s="210">
        <v>100</v>
      </c>
    </row>
    <row r="961" spans="1:5" x14ac:dyDescent="0.2">
      <c r="A961">
        <v>960</v>
      </c>
      <c r="B961" t="s">
        <v>1651</v>
      </c>
      <c r="C961" t="s">
        <v>3914</v>
      </c>
      <c r="D961">
        <v>216</v>
      </c>
      <c r="E961" s="210">
        <v>58.823529411764703</v>
      </c>
    </row>
    <row r="962" spans="1:5" x14ac:dyDescent="0.2">
      <c r="A962">
        <v>961</v>
      </c>
      <c r="B962" t="s">
        <v>1648</v>
      </c>
      <c r="C962" t="s">
        <v>1642</v>
      </c>
      <c r="D962">
        <v>103</v>
      </c>
      <c r="E962" s="210">
        <v>47.619047619047599</v>
      </c>
    </row>
    <row r="963" spans="1:5" x14ac:dyDescent="0.2">
      <c r="A963">
        <v>962</v>
      </c>
      <c r="B963" t="s">
        <v>1646</v>
      </c>
      <c r="C963" t="s">
        <v>3803</v>
      </c>
      <c r="D963">
        <v>89</v>
      </c>
      <c r="E963" s="210">
        <v>56.25</v>
      </c>
    </row>
    <row r="964" spans="1:5" x14ac:dyDescent="0.2">
      <c r="A964">
        <v>963</v>
      </c>
      <c r="B964" t="s">
        <v>1644</v>
      </c>
      <c r="C964" t="s">
        <v>1557</v>
      </c>
      <c r="D964">
        <v>172</v>
      </c>
      <c r="E964" s="210">
        <v>58.3333333333333</v>
      </c>
    </row>
    <row r="965" spans="1:5" x14ac:dyDescent="0.2">
      <c r="A965">
        <v>964</v>
      </c>
      <c r="B965" t="s">
        <v>1642</v>
      </c>
      <c r="C965" t="s">
        <v>1642</v>
      </c>
      <c r="D965">
        <v>103</v>
      </c>
      <c r="E965" s="210">
        <v>100</v>
      </c>
    </row>
    <row r="966" spans="1:5" x14ac:dyDescent="0.2">
      <c r="A966">
        <v>965</v>
      </c>
      <c r="B966" t="s">
        <v>1640</v>
      </c>
      <c r="C966" t="s">
        <v>3491</v>
      </c>
      <c r="D966">
        <v>85</v>
      </c>
      <c r="E966" s="210">
        <v>72.727272727272705</v>
      </c>
    </row>
    <row r="967" spans="1:5" x14ac:dyDescent="0.2">
      <c r="A967">
        <v>966</v>
      </c>
      <c r="B967" t="s">
        <v>1638</v>
      </c>
      <c r="C967" t="s">
        <v>3860</v>
      </c>
      <c r="D967">
        <v>161</v>
      </c>
      <c r="E967" s="210">
        <v>80</v>
      </c>
    </row>
    <row r="968" spans="1:5" x14ac:dyDescent="0.2">
      <c r="A968">
        <v>967</v>
      </c>
      <c r="B968" t="s">
        <v>1636</v>
      </c>
      <c r="C968" t="s">
        <v>3501</v>
      </c>
      <c r="D968">
        <v>274</v>
      </c>
      <c r="E968" s="210">
        <v>63.157894736842103</v>
      </c>
    </row>
    <row r="969" spans="1:5" x14ac:dyDescent="0.2">
      <c r="A969">
        <v>968</v>
      </c>
      <c r="B969" t="s">
        <v>233</v>
      </c>
      <c r="C969" t="s">
        <v>233</v>
      </c>
      <c r="D969">
        <v>425</v>
      </c>
      <c r="E969" s="210">
        <v>100</v>
      </c>
    </row>
    <row r="970" spans="1:5" x14ac:dyDescent="0.2">
      <c r="A970">
        <v>969</v>
      </c>
      <c r="B970" t="s">
        <v>234</v>
      </c>
      <c r="C970" t="s">
        <v>234</v>
      </c>
      <c r="D970">
        <v>493</v>
      </c>
      <c r="E970" s="210">
        <v>100</v>
      </c>
    </row>
    <row r="971" spans="1:5" x14ac:dyDescent="0.2">
      <c r="A971">
        <v>970</v>
      </c>
      <c r="B971" t="s">
        <v>1632</v>
      </c>
      <c r="C971" t="s">
        <v>1632</v>
      </c>
      <c r="D971">
        <v>662</v>
      </c>
      <c r="E971" s="210">
        <v>100</v>
      </c>
    </row>
    <row r="972" spans="1:5" x14ac:dyDescent="0.2">
      <c r="A972">
        <v>971</v>
      </c>
      <c r="B972" t="s">
        <v>1630</v>
      </c>
      <c r="C972" t="s">
        <v>1630</v>
      </c>
      <c r="D972">
        <v>668</v>
      </c>
      <c r="E972" s="210">
        <v>100</v>
      </c>
    </row>
    <row r="973" spans="1:5" x14ac:dyDescent="0.2">
      <c r="A973">
        <v>972</v>
      </c>
      <c r="B973" t="s">
        <v>1628</v>
      </c>
      <c r="C973" t="s">
        <v>1628</v>
      </c>
      <c r="D973">
        <v>614</v>
      </c>
      <c r="E973" s="210">
        <v>100</v>
      </c>
    </row>
    <row r="974" spans="1:5" x14ac:dyDescent="0.2">
      <c r="A974">
        <v>973</v>
      </c>
      <c r="B974" t="s">
        <v>935</v>
      </c>
      <c r="C974" t="s">
        <v>3861</v>
      </c>
      <c r="D974">
        <v>411</v>
      </c>
      <c r="E974" s="210">
        <v>82.352941176470495</v>
      </c>
    </row>
    <row r="975" spans="1:5" x14ac:dyDescent="0.2">
      <c r="A975">
        <v>974</v>
      </c>
      <c r="B975" t="s">
        <v>936</v>
      </c>
      <c r="C975" t="s">
        <v>3862</v>
      </c>
      <c r="D975">
        <v>433</v>
      </c>
      <c r="E975" s="210">
        <v>82.352941176470495</v>
      </c>
    </row>
    <row r="976" spans="1:5" x14ac:dyDescent="0.2">
      <c r="A976">
        <v>975</v>
      </c>
      <c r="B976" t="s">
        <v>1624</v>
      </c>
      <c r="C976" t="s">
        <v>3863</v>
      </c>
      <c r="D976">
        <v>201</v>
      </c>
      <c r="E976" s="210">
        <v>78.260869565217305</v>
      </c>
    </row>
    <row r="977" spans="1:5" x14ac:dyDescent="0.2">
      <c r="A977">
        <v>976</v>
      </c>
      <c r="B977" t="s">
        <v>1622</v>
      </c>
      <c r="C977" t="s">
        <v>1622</v>
      </c>
      <c r="D977">
        <v>554</v>
      </c>
      <c r="E977" s="210">
        <v>100</v>
      </c>
    </row>
    <row r="978" spans="1:5" x14ac:dyDescent="0.2">
      <c r="A978">
        <v>977</v>
      </c>
      <c r="B978" t="s">
        <v>1620</v>
      </c>
      <c r="C978" t="s">
        <v>3864</v>
      </c>
      <c r="D978">
        <v>143</v>
      </c>
      <c r="E978" s="210">
        <v>80</v>
      </c>
    </row>
    <row r="979" spans="1:5" x14ac:dyDescent="0.2">
      <c r="A979">
        <v>978</v>
      </c>
      <c r="B979" t="s">
        <v>1617</v>
      </c>
      <c r="C979" t="s">
        <v>3865</v>
      </c>
      <c r="D979">
        <v>254</v>
      </c>
      <c r="E979" s="210">
        <v>95.238095238095198</v>
      </c>
    </row>
    <row r="980" spans="1:5" x14ac:dyDescent="0.2">
      <c r="A980">
        <v>979</v>
      </c>
      <c r="B980" t="s">
        <v>1615</v>
      </c>
      <c r="C980" t="s">
        <v>3863</v>
      </c>
      <c r="D980">
        <v>201</v>
      </c>
      <c r="E980" s="210">
        <v>82.758620689655103</v>
      </c>
    </row>
    <row r="981" spans="1:5" x14ac:dyDescent="0.2">
      <c r="A981">
        <v>980</v>
      </c>
      <c r="B981" t="s">
        <v>1613</v>
      </c>
      <c r="C981" t="s">
        <v>3866</v>
      </c>
      <c r="D981">
        <v>527</v>
      </c>
      <c r="E981" s="210">
        <v>78.571428571428498</v>
      </c>
    </row>
    <row r="982" spans="1:5" x14ac:dyDescent="0.2">
      <c r="A982">
        <v>981</v>
      </c>
      <c r="B982" t="s">
        <v>1611</v>
      </c>
      <c r="C982" t="s">
        <v>3867</v>
      </c>
      <c r="D982">
        <v>222</v>
      </c>
      <c r="E982" s="210">
        <v>95.238095238095198</v>
      </c>
    </row>
    <row r="983" spans="1:5" x14ac:dyDescent="0.2">
      <c r="A983">
        <v>982</v>
      </c>
      <c r="B983" t="s">
        <v>1608</v>
      </c>
      <c r="C983" t="s">
        <v>1606</v>
      </c>
      <c r="D983">
        <v>194</v>
      </c>
      <c r="E983" s="210">
        <v>68.421052631578902</v>
      </c>
    </row>
    <row r="984" spans="1:5" x14ac:dyDescent="0.2">
      <c r="A984">
        <v>983</v>
      </c>
      <c r="B984" t="s">
        <v>1606</v>
      </c>
      <c r="C984" t="s">
        <v>1606</v>
      </c>
      <c r="D984">
        <v>194</v>
      </c>
      <c r="E984" s="210">
        <v>100</v>
      </c>
    </row>
    <row r="985" spans="1:5" x14ac:dyDescent="0.2">
      <c r="A985">
        <v>984</v>
      </c>
      <c r="B985" t="s">
        <v>1604</v>
      </c>
      <c r="C985" t="s">
        <v>3868</v>
      </c>
      <c r="D985">
        <v>283</v>
      </c>
      <c r="E985" s="210">
        <v>70.967741935483801</v>
      </c>
    </row>
    <row r="986" spans="1:5" x14ac:dyDescent="0.2">
      <c r="A986">
        <v>985</v>
      </c>
      <c r="B986" t="s">
        <v>1602</v>
      </c>
      <c r="C986" t="s">
        <v>3542</v>
      </c>
      <c r="D986">
        <v>443</v>
      </c>
      <c r="E986" s="210">
        <v>64.705882352941103</v>
      </c>
    </row>
    <row r="987" spans="1:5" x14ac:dyDescent="0.2">
      <c r="A987">
        <v>986</v>
      </c>
      <c r="B987" t="s">
        <v>1600</v>
      </c>
      <c r="C987" t="s">
        <v>1606</v>
      </c>
      <c r="D987">
        <v>194</v>
      </c>
      <c r="E987" s="210">
        <v>63.157894736842103</v>
      </c>
    </row>
    <row r="988" spans="1:5" x14ac:dyDescent="0.2">
      <c r="A988">
        <v>987</v>
      </c>
      <c r="B988" t="s">
        <v>1598</v>
      </c>
      <c r="C988" t="s">
        <v>3547</v>
      </c>
      <c r="D988">
        <v>281</v>
      </c>
      <c r="E988" s="210">
        <v>85.714285714285694</v>
      </c>
    </row>
    <row r="989" spans="1:5" x14ac:dyDescent="0.2">
      <c r="A989">
        <v>988</v>
      </c>
      <c r="B989" t="s">
        <v>1596</v>
      </c>
      <c r="C989" t="s">
        <v>163</v>
      </c>
      <c r="D989">
        <v>332</v>
      </c>
      <c r="E989" s="210">
        <v>73.684210526315795</v>
      </c>
    </row>
    <row r="990" spans="1:5" x14ac:dyDescent="0.2">
      <c r="A990">
        <v>989</v>
      </c>
      <c r="B990" t="s">
        <v>1594</v>
      </c>
      <c r="C990" t="s">
        <v>164</v>
      </c>
      <c r="D990">
        <v>396</v>
      </c>
      <c r="E990" s="210">
        <v>80</v>
      </c>
    </row>
    <row r="991" spans="1:5" x14ac:dyDescent="0.2">
      <c r="A991">
        <v>990</v>
      </c>
      <c r="B991" t="s">
        <v>1592</v>
      </c>
      <c r="C991" t="s">
        <v>3831</v>
      </c>
      <c r="D991">
        <v>335</v>
      </c>
      <c r="E991" s="210">
        <v>72.727272727272705</v>
      </c>
    </row>
    <row r="992" spans="1:5" x14ac:dyDescent="0.2">
      <c r="A992">
        <v>991</v>
      </c>
      <c r="B992" t="s">
        <v>1013</v>
      </c>
      <c r="C992" t="s">
        <v>3869</v>
      </c>
      <c r="D992">
        <v>272</v>
      </c>
      <c r="E992" s="210">
        <v>95.238095238095198</v>
      </c>
    </row>
    <row r="993" spans="1:5" x14ac:dyDescent="0.2">
      <c r="A993">
        <v>992</v>
      </c>
      <c r="B993" t="s">
        <v>1589</v>
      </c>
      <c r="C993" t="s">
        <v>164</v>
      </c>
      <c r="D993">
        <v>396</v>
      </c>
      <c r="E993" s="210">
        <v>66.6666666666666</v>
      </c>
    </row>
    <row r="994" spans="1:5" x14ac:dyDescent="0.2">
      <c r="A994">
        <v>993</v>
      </c>
      <c r="B994" t="s">
        <v>1587</v>
      </c>
      <c r="C994" t="s">
        <v>3870</v>
      </c>
      <c r="D994">
        <v>260</v>
      </c>
      <c r="E994" s="210">
        <v>94.736842105263094</v>
      </c>
    </row>
    <row r="995" spans="1:5" x14ac:dyDescent="0.2">
      <c r="A995">
        <v>994</v>
      </c>
      <c r="B995" t="s">
        <v>1585</v>
      </c>
      <c r="C995" t="s">
        <v>3871</v>
      </c>
      <c r="D995">
        <v>464</v>
      </c>
      <c r="E995" s="210">
        <v>82.352941176470495</v>
      </c>
    </row>
    <row r="996" spans="1:5" x14ac:dyDescent="0.2">
      <c r="A996">
        <v>995</v>
      </c>
      <c r="B996" t="s">
        <v>1583</v>
      </c>
      <c r="C996" t="s">
        <v>3872</v>
      </c>
      <c r="D996">
        <v>481</v>
      </c>
      <c r="E996" s="210">
        <v>63.829787234042499</v>
      </c>
    </row>
    <row r="997" spans="1:5" x14ac:dyDescent="0.2">
      <c r="A997">
        <v>996</v>
      </c>
      <c r="B997" t="s">
        <v>1581</v>
      </c>
      <c r="C997" t="s">
        <v>3553</v>
      </c>
      <c r="D997">
        <v>475</v>
      </c>
      <c r="E997" s="210">
        <v>56.521739130434703</v>
      </c>
    </row>
    <row r="998" spans="1:5" x14ac:dyDescent="0.2">
      <c r="A998">
        <v>997</v>
      </c>
      <c r="B998" t="s">
        <v>1578</v>
      </c>
      <c r="C998" t="s">
        <v>3863</v>
      </c>
      <c r="D998">
        <v>201</v>
      </c>
      <c r="E998" s="210">
        <v>66.6666666666666</v>
      </c>
    </row>
    <row r="999" spans="1:5" x14ac:dyDescent="0.2">
      <c r="A999">
        <v>998</v>
      </c>
      <c r="B999" t="s">
        <v>1576</v>
      </c>
      <c r="C999" t="s">
        <v>3873</v>
      </c>
      <c r="D999">
        <v>387</v>
      </c>
      <c r="E999" s="210">
        <v>70.588235294117595</v>
      </c>
    </row>
    <row r="1000" spans="1:5" x14ac:dyDescent="0.2">
      <c r="A1000">
        <v>999</v>
      </c>
      <c r="B1000" t="s">
        <v>1574</v>
      </c>
      <c r="C1000" t="s">
        <v>3874</v>
      </c>
      <c r="D1000">
        <v>436</v>
      </c>
      <c r="E1000" s="210">
        <v>81.481481481481495</v>
      </c>
    </row>
    <row r="1001" spans="1:5" x14ac:dyDescent="0.2">
      <c r="A1001">
        <v>1000</v>
      </c>
      <c r="B1001" t="s">
        <v>1572</v>
      </c>
      <c r="C1001" t="s">
        <v>3875</v>
      </c>
      <c r="D1001">
        <v>278</v>
      </c>
      <c r="E1001" s="210">
        <v>81.481481481481495</v>
      </c>
    </row>
    <row r="1002" spans="1:5" x14ac:dyDescent="0.2">
      <c r="A1002">
        <v>1001</v>
      </c>
      <c r="B1002" t="s">
        <v>1569</v>
      </c>
      <c r="C1002" t="s">
        <v>3876</v>
      </c>
      <c r="D1002">
        <v>588</v>
      </c>
      <c r="E1002" s="210">
        <v>72.2222222222222</v>
      </c>
    </row>
    <row r="1003" spans="1:5" x14ac:dyDescent="0.2">
      <c r="A1003">
        <v>1002</v>
      </c>
      <c r="B1003" t="s">
        <v>1567</v>
      </c>
      <c r="C1003" t="s">
        <v>3877</v>
      </c>
      <c r="D1003">
        <v>369</v>
      </c>
      <c r="E1003" s="210">
        <v>100</v>
      </c>
    </row>
    <row r="1004" spans="1:5" x14ac:dyDescent="0.2">
      <c r="A1004">
        <v>1003</v>
      </c>
      <c r="B1004" t="s">
        <v>1565</v>
      </c>
      <c r="C1004" t="s">
        <v>3876</v>
      </c>
      <c r="D1004">
        <v>588</v>
      </c>
      <c r="E1004" s="210">
        <v>62.857142857142797</v>
      </c>
    </row>
    <row r="1005" spans="1:5" x14ac:dyDescent="0.2">
      <c r="A1005">
        <v>1004</v>
      </c>
      <c r="B1005" t="s">
        <v>1563</v>
      </c>
      <c r="C1005" t="s">
        <v>3876</v>
      </c>
      <c r="D1005">
        <v>588</v>
      </c>
      <c r="E1005" s="210">
        <v>62.857142857142797</v>
      </c>
    </row>
    <row r="1006" spans="1:5" x14ac:dyDescent="0.2">
      <c r="A1006">
        <v>1005</v>
      </c>
      <c r="B1006" t="s">
        <v>1561</v>
      </c>
      <c r="C1006" t="s">
        <v>3876</v>
      </c>
      <c r="D1006">
        <v>588</v>
      </c>
      <c r="E1006" s="210">
        <v>59.459459459459403</v>
      </c>
    </row>
    <row r="1007" spans="1:5" x14ac:dyDescent="0.2">
      <c r="A1007">
        <v>1006</v>
      </c>
      <c r="B1007" t="s">
        <v>1559</v>
      </c>
      <c r="C1007" t="s">
        <v>3915</v>
      </c>
      <c r="D1007">
        <v>259</v>
      </c>
      <c r="E1007" s="210">
        <v>35.294117647058798</v>
      </c>
    </row>
    <row r="1008" spans="1:5" x14ac:dyDescent="0.2">
      <c r="A1008">
        <v>1007</v>
      </c>
      <c r="B1008" t="s">
        <v>1557</v>
      </c>
      <c r="C1008" t="s">
        <v>1557</v>
      </c>
      <c r="D1008">
        <v>172</v>
      </c>
      <c r="E1008" s="210">
        <v>100</v>
      </c>
    </row>
    <row r="1009" spans="1:5" x14ac:dyDescent="0.2">
      <c r="A1009">
        <v>1008</v>
      </c>
      <c r="B1009" t="s">
        <v>1554</v>
      </c>
      <c r="C1009" t="s">
        <v>1552</v>
      </c>
      <c r="D1009">
        <v>416</v>
      </c>
      <c r="E1009" s="210">
        <v>83.3333333333333</v>
      </c>
    </row>
    <row r="1010" spans="1:5" x14ac:dyDescent="0.2">
      <c r="A1010">
        <v>1009</v>
      </c>
      <c r="B1010" t="s">
        <v>1552</v>
      </c>
      <c r="C1010" t="s">
        <v>1552</v>
      </c>
      <c r="D1010">
        <v>416</v>
      </c>
      <c r="E1010" s="210">
        <v>100</v>
      </c>
    </row>
    <row r="1011" spans="1:5" x14ac:dyDescent="0.2">
      <c r="A1011">
        <v>1010</v>
      </c>
      <c r="B1011" t="s">
        <v>1550</v>
      </c>
      <c r="C1011" t="s">
        <v>1550</v>
      </c>
      <c r="D1011">
        <v>399</v>
      </c>
      <c r="E1011" s="210">
        <v>100</v>
      </c>
    </row>
    <row r="1012" spans="1:5" x14ac:dyDescent="0.2">
      <c r="A1012">
        <v>1011</v>
      </c>
      <c r="B1012" t="s">
        <v>1548</v>
      </c>
      <c r="C1012" t="s">
        <v>3839</v>
      </c>
      <c r="D1012">
        <v>153</v>
      </c>
      <c r="E1012" s="210">
        <v>35.294117647058798</v>
      </c>
    </row>
    <row r="1013" spans="1:5" x14ac:dyDescent="0.2">
      <c r="A1013">
        <v>1012</v>
      </c>
      <c r="B1013" t="s">
        <v>1546</v>
      </c>
      <c r="C1013" t="s">
        <v>3878</v>
      </c>
      <c r="D1013">
        <v>526</v>
      </c>
      <c r="E1013" s="210">
        <v>100</v>
      </c>
    </row>
    <row r="1014" spans="1:5" x14ac:dyDescent="0.2">
      <c r="A1014">
        <v>1013</v>
      </c>
      <c r="B1014" t="s">
        <v>1544</v>
      </c>
      <c r="C1014" t="s">
        <v>3696</v>
      </c>
      <c r="D1014">
        <v>589</v>
      </c>
      <c r="E1014" s="210">
        <v>100</v>
      </c>
    </row>
    <row r="1015" spans="1:5" x14ac:dyDescent="0.2">
      <c r="A1015">
        <v>1014</v>
      </c>
      <c r="B1015" t="s">
        <v>1542</v>
      </c>
      <c r="C1015" t="s">
        <v>1542</v>
      </c>
      <c r="D1015">
        <v>550</v>
      </c>
      <c r="E1015" s="210">
        <v>100</v>
      </c>
    </row>
    <row r="1016" spans="1:5" x14ac:dyDescent="0.2">
      <c r="A1016">
        <v>1015</v>
      </c>
      <c r="B1016" t="s">
        <v>1539</v>
      </c>
      <c r="C1016" t="s">
        <v>1539</v>
      </c>
      <c r="D1016">
        <v>569</v>
      </c>
      <c r="E1016" s="210">
        <v>100</v>
      </c>
    </row>
    <row r="1017" spans="1:5" x14ac:dyDescent="0.2">
      <c r="A1017">
        <v>1016</v>
      </c>
      <c r="B1017" t="s">
        <v>1537</v>
      </c>
      <c r="C1017" t="s">
        <v>1537</v>
      </c>
      <c r="D1017">
        <v>608</v>
      </c>
      <c r="E1017" s="210">
        <v>100</v>
      </c>
    </row>
    <row r="1018" spans="1:5" x14ac:dyDescent="0.2">
      <c r="A1018">
        <v>1017</v>
      </c>
      <c r="B1018" t="s">
        <v>1534</v>
      </c>
      <c r="C1018" t="s">
        <v>3322</v>
      </c>
      <c r="D1018">
        <v>313</v>
      </c>
      <c r="E1018" s="210">
        <v>64.705882352941103</v>
      </c>
    </row>
    <row r="1019" spans="1:5" x14ac:dyDescent="0.2">
      <c r="A1019">
        <v>1018</v>
      </c>
      <c r="B1019" t="s">
        <v>1532</v>
      </c>
      <c r="C1019" t="s">
        <v>194</v>
      </c>
      <c r="D1019">
        <v>421</v>
      </c>
      <c r="E1019" s="210">
        <v>52.941176470588204</v>
      </c>
    </row>
    <row r="1020" spans="1:5" x14ac:dyDescent="0.2">
      <c r="A1020">
        <v>1019</v>
      </c>
      <c r="B1020" t="s">
        <v>1239</v>
      </c>
      <c r="C1020" t="s">
        <v>1239</v>
      </c>
      <c r="D1020">
        <v>110</v>
      </c>
      <c r="E1020" s="210">
        <v>100</v>
      </c>
    </row>
    <row r="1021" spans="1:5" x14ac:dyDescent="0.2">
      <c r="A1021">
        <v>1020</v>
      </c>
      <c r="B1021" t="s">
        <v>1528</v>
      </c>
      <c r="C1021" t="s">
        <v>3879</v>
      </c>
      <c r="D1021">
        <v>266</v>
      </c>
      <c r="E1021" s="210">
        <v>81.481481481481495</v>
      </c>
    </row>
    <row r="1022" spans="1:5" x14ac:dyDescent="0.2">
      <c r="A1022">
        <v>1021</v>
      </c>
      <c r="B1022" t="s">
        <v>1526</v>
      </c>
      <c r="C1022" t="s">
        <v>3880</v>
      </c>
      <c r="D1022">
        <v>555</v>
      </c>
      <c r="E1022" s="210">
        <v>62.068965517241303</v>
      </c>
    </row>
    <row r="1023" spans="1:5" x14ac:dyDescent="0.2">
      <c r="A1023">
        <v>1022</v>
      </c>
      <c r="B1023" t="s">
        <v>1524</v>
      </c>
      <c r="C1023" t="s">
        <v>3853</v>
      </c>
      <c r="D1023">
        <v>391</v>
      </c>
      <c r="E1023" s="210">
        <v>56.25</v>
      </c>
    </row>
    <row r="1024" spans="1:5" x14ac:dyDescent="0.2">
      <c r="A1024">
        <v>1023</v>
      </c>
      <c r="B1024" t="s">
        <v>1522</v>
      </c>
      <c r="C1024" t="s">
        <v>1522</v>
      </c>
      <c r="D1024">
        <v>154</v>
      </c>
      <c r="E1024" s="210">
        <v>100</v>
      </c>
    </row>
    <row r="1025" spans="1:5" x14ac:dyDescent="0.2">
      <c r="A1025">
        <v>1024</v>
      </c>
      <c r="B1025" t="s">
        <v>1520</v>
      </c>
      <c r="C1025" t="s">
        <v>1520</v>
      </c>
      <c r="D1025">
        <v>51</v>
      </c>
      <c r="E1025" s="210">
        <v>100</v>
      </c>
    </row>
    <row r="1026" spans="1:5" x14ac:dyDescent="0.2">
      <c r="A1026">
        <v>1025</v>
      </c>
      <c r="B1026" t="s">
        <v>1396</v>
      </c>
      <c r="C1026" t="s">
        <v>3881</v>
      </c>
      <c r="D1026">
        <v>183</v>
      </c>
      <c r="E1026" s="210">
        <v>75</v>
      </c>
    </row>
    <row r="1027" spans="1:5" x14ac:dyDescent="0.2">
      <c r="A1027">
        <v>1026</v>
      </c>
      <c r="B1027" t="s">
        <v>1516</v>
      </c>
      <c r="C1027" t="s">
        <v>3882</v>
      </c>
      <c r="D1027">
        <v>625</v>
      </c>
      <c r="E1027" s="210">
        <v>69.565217391304301</v>
      </c>
    </row>
    <row r="1028" spans="1:5" x14ac:dyDescent="0.2">
      <c r="A1028">
        <v>1027</v>
      </c>
      <c r="B1028" t="s">
        <v>1515</v>
      </c>
      <c r="C1028" t="s">
        <v>3882</v>
      </c>
      <c r="D1028">
        <v>625</v>
      </c>
      <c r="E1028" s="210">
        <v>84.210526315789394</v>
      </c>
    </row>
    <row r="1029" spans="1:5" x14ac:dyDescent="0.2">
      <c r="A1029">
        <v>1028</v>
      </c>
      <c r="B1029" t="s">
        <v>1513</v>
      </c>
      <c r="C1029" t="s">
        <v>3882</v>
      </c>
      <c r="D1029">
        <v>625</v>
      </c>
      <c r="E1029" s="210">
        <v>73.684210526315795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workbookViewId="0">
      <selection activeCell="F20" sqref="F20"/>
    </sheetView>
  </sheetViews>
  <sheetFormatPr defaultRowHeight="13.2" x14ac:dyDescent="0.2"/>
  <cols>
    <col min="1" max="1" width="57.44140625" bestFit="1" customWidth="1"/>
    <col min="2" max="2" width="49.88671875" bestFit="1" customWidth="1"/>
    <col min="4" max="4" width="17.44140625" customWidth="1"/>
  </cols>
  <sheetData>
    <row r="1" spans="1:4" x14ac:dyDescent="0.2">
      <c r="A1" s="189">
        <v>46052</v>
      </c>
    </row>
    <row r="2" spans="1:4" x14ac:dyDescent="0.2">
      <c r="A2" t="s">
        <v>3475</v>
      </c>
      <c r="B2" t="s">
        <v>3474</v>
      </c>
      <c r="C2" t="s">
        <v>3473</v>
      </c>
      <c r="D2" t="s">
        <v>3472</v>
      </c>
    </row>
    <row r="3" spans="1:4" x14ac:dyDescent="0.2">
      <c r="A3" t="s">
        <v>3471</v>
      </c>
      <c r="B3" t="s">
        <v>3470</v>
      </c>
      <c r="C3">
        <v>21</v>
      </c>
      <c r="D3" t="s">
        <v>1579</v>
      </c>
    </row>
    <row r="4" spans="1:4" x14ac:dyDescent="0.2">
      <c r="A4" t="s">
        <v>3469</v>
      </c>
      <c r="B4" t="s">
        <v>3468</v>
      </c>
      <c r="C4">
        <v>25</v>
      </c>
      <c r="D4" t="s">
        <v>1511</v>
      </c>
    </row>
    <row r="5" spans="1:4" x14ac:dyDescent="0.2">
      <c r="A5" t="s">
        <v>3467</v>
      </c>
      <c r="B5" t="s">
        <v>3466</v>
      </c>
      <c r="C5">
        <v>14</v>
      </c>
      <c r="D5" t="s">
        <v>1555</v>
      </c>
    </row>
    <row r="6" spans="1:4" x14ac:dyDescent="0.2">
      <c r="A6" t="s">
        <v>3465</v>
      </c>
      <c r="B6" t="s">
        <v>3464</v>
      </c>
      <c r="C6">
        <v>3</v>
      </c>
      <c r="D6" t="s">
        <v>1540</v>
      </c>
    </row>
    <row r="7" spans="1:4" x14ac:dyDescent="0.2">
      <c r="A7" t="s">
        <v>302</v>
      </c>
      <c r="B7" t="s">
        <v>3463</v>
      </c>
      <c r="C7">
        <v>25</v>
      </c>
      <c r="D7" t="s">
        <v>1511</v>
      </c>
    </row>
    <row r="8" spans="1:4" x14ac:dyDescent="0.2">
      <c r="A8" t="s">
        <v>3462</v>
      </c>
      <c r="B8" t="s">
        <v>3461</v>
      </c>
      <c r="C8">
        <v>15</v>
      </c>
      <c r="D8" t="s">
        <v>1618</v>
      </c>
    </row>
    <row r="9" spans="1:4" x14ac:dyDescent="0.2">
      <c r="A9" t="s">
        <v>303</v>
      </c>
      <c r="B9" t="s">
        <v>3460</v>
      </c>
      <c r="C9">
        <v>25</v>
      </c>
      <c r="D9" t="s">
        <v>1511</v>
      </c>
    </row>
    <row r="10" spans="1:4" x14ac:dyDescent="0.2">
      <c r="A10" t="s">
        <v>3459</v>
      </c>
      <c r="B10" t="s">
        <v>3458</v>
      </c>
      <c r="C10">
        <v>14</v>
      </c>
      <c r="D10" t="s">
        <v>1555</v>
      </c>
    </row>
    <row r="11" spans="1:4" x14ac:dyDescent="0.2">
      <c r="A11" t="s">
        <v>3457</v>
      </c>
      <c r="B11" t="s">
        <v>3456</v>
      </c>
      <c r="C11">
        <v>1</v>
      </c>
      <c r="D11" t="s">
        <v>1517</v>
      </c>
    </row>
    <row r="12" spans="1:4" x14ac:dyDescent="0.2">
      <c r="A12" t="s">
        <v>3455</v>
      </c>
      <c r="B12" t="s">
        <v>3454</v>
      </c>
      <c r="C12">
        <v>25</v>
      </c>
      <c r="D12" t="s">
        <v>1511</v>
      </c>
    </row>
    <row r="13" spans="1:4" x14ac:dyDescent="0.2">
      <c r="A13" t="s">
        <v>3453</v>
      </c>
      <c r="B13" t="s">
        <v>3452</v>
      </c>
      <c r="C13">
        <v>1</v>
      </c>
      <c r="D13" t="s">
        <v>1517</v>
      </c>
    </row>
    <row r="14" spans="1:4" x14ac:dyDescent="0.2">
      <c r="A14" t="s">
        <v>3451</v>
      </c>
      <c r="B14" t="s">
        <v>3450</v>
      </c>
      <c r="C14">
        <v>1</v>
      </c>
      <c r="D14" t="s">
        <v>1517</v>
      </c>
    </row>
    <row r="15" spans="1:4" x14ac:dyDescent="0.2">
      <c r="A15" t="s">
        <v>3449</v>
      </c>
      <c r="B15" t="s">
        <v>3448</v>
      </c>
      <c r="C15">
        <v>1</v>
      </c>
      <c r="D15" t="s">
        <v>1517</v>
      </c>
    </row>
    <row r="16" spans="1:4" x14ac:dyDescent="0.2">
      <c r="A16" t="s">
        <v>3447</v>
      </c>
      <c r="B16" t="s">
        <v>3446</v>
      </c>
      <c r="C16">
        <v>1</v>
      </c>
      <c r="D16" t="s">
        <v>1517</v>
      </c>
    </row>
    <row r="17" spans="1:4" x14ac:dyDescent="0.2">
      <c r="A17" t="s">
        <v>3445</v>
      </c>
      <c r="B17" t="s">
        <v>3444</v>
      </c>
      <c r="C17">
        <v>25</v>
      </c>
      <c r="D17" t="s">
        <v>1511</v>
      </c>
    </row>
    <row r="18" spans="1:4" x14ac:dyDescent="0.2">
      <c r="A18" t="s">
        <v>3443</v>
      </c>
      <c r="B18" t="s">
        <v>3442</v>
      </c>
      <c r="C18">
        <v>25</v>
      </c>
      <c r="D18" t="s">
        <v>1511</v>
      </c>
    </row>
    <row r="19" spans="1:4" x14ac:dyDescent="0.2">
      <c r="A19" t="s">
        <v>3441</v>
      </c>
      <c r="B19" t="s">
        <v>3440</v>
      </c>
      <c r="C19">
        <v>25</v>
      </c>
      <c r="D19" t="s">
        <v>1511</v>
      </c>
    </row>
    <row r="20" spans="1:4" x14ac:dyDescent="0.2">
      <c r="A20" t="s">
        <v>3439</v>
      </c>
      <c r="B20" t="s">
        <v>3438</v>
      </c>
      <c r="C20">
        <v>8</v>
      </c>
      <c r="D20" t="s">
        <v>3227</v>
      </c>
    </row>
    <row r="21" spans="1:4" x14ac:dyDescent="0.2">
      <c r="A21" t="s">
        <v>3437</v>
      </c>
      <c r="B21" t="s">
        <v>3436</v>
      </c>
      <c r="C21">
        <v>14</v>
      </c>
      <c r="D21" t="s">
        <v>1555</v>
      </c>
    </row>
    <row r="22" spans="1:4" x14ac:dyDescent="0.2">
      <c r="A22" t="s">
        <v>3435</v>
      </c>
      <c r="B22" t="s">
        <v>3434</v>
      </c>
      <c r="C22">
        <v>1</v>
      </c>
      <c r="D22" t="s">
        <v>1517</v>
      </c>
    </row>
    <row r="23" spans="1:4" x14ac:dyDescent="0.2">
      <c r="A23" t="s">
        <v>3433</v>
      </c>
      <c r="B23" t="s">
        <v>3432</v>
      </c>
      <c r="C23">
        <v>1</v>
      </c>
      <c r="D23" t="s">
        <v>1517</v>
      </c>
    </row>
    <row r="24" spans="1:4" x14ac:dyDescent="0.2">
      <c r="A24" t="s">
        <v>3431</v>
      </c>
      <c r="B24" t="s">
        <v>3430</v>
      </c>
      <c r="C24">
        <v>1</v>
      </c>
      <c r="D24" t="s">
        <v>1517</v>
      </c>
    </row>
    <row r="25" spans="1:4" x14ac:dyDescent="0.2">
      <c r="A25" t="s">
        <v>3429</v>
      </c>
      <c r="B25" t="s">
        <v>3428</v>
      </c>
      <c r="C25">
        <v>3</v>
      </c>
      <c r="D25" t="s">
        <v>1540</v>
      </c>
    </row>
    <row r="26" spans="1:4" x14ac:dyDescent="0.2">
      <c r="A26" t="s">
        <v>3427</v>
      </c>
      <c r="B26" t="s">
        <v>3426</v>
      </c>
      <c r="C26">
        <v>25</v>
      </c>
      <c r="D26" t="s">
        <v>1511</v>
      </c>
    </row>
    <row r="27" spans="1:4" x14ac:dyDescent="0.2">
      <c r="A27" t="s">
        <v>3425</v>
      </c>
      <c r="B27" t="s">
        <v>3424</v>
      </c>
      <c r="C27">
        <v>21</v>
      </c>
      <c r="D27" t="s">
        <v>1579</v>
      </c>
    </row>
    <row r="28" spans="1:4" x14ac:dyDescent="0.2">
      <c r="A28" t="s">
        <v>3423</v>
      </c>
      <c r="B28" t="s">
        <v>3422</v>
      </c>
      <c r="C28">
        <v>21</v>
      </c>
      <c r="D28" t="s">
        <v>1579</v>
      </c>
    </row>
    <row r="29" spans="1:4" x14ac:dyDescent="0.2">
      <c r="A29" t="s">
        <v>3421</v>
      </c>
      <c r="B29" t="s">
        <v>3420</v>
      </c>
      <c r="C29">
        <v>25</v>
      </c>
      <c r="D29" t="s">
        <v>1511</v>
      </c>
    </row>
    <row r="30" spans="1:4" x14ac:dyDescent="0.2">
      <c r="A30" t="s">
        <v>3419</v>
      </c>
      <c r="B30" t="s">
        <v>3418</v>
      </c>
      <c r="C30">
        <v>25</v>
      </c>
      <c r="D30" t="s">
        <v>1511</v>
      </c>
    </row>
    <row r="31" spans="1:4" x14ac:dyDescent="0.2">
      <c r="A31" t="s">
        <v>3417</v>
      </c>
      <c r="B31" t="s">
        <v>3416</v>
      </c>
      <c r="C31">
        <v>1</v>
      </c>
      <c r="D31" t="s">
        <v>1517</v>
      </c>
    </row>
    <row r="32" spans="1:4" x14ac:dyDescent="0.2">
      <c r="A32" t="s">
        <v>3415</v>
      </c>
      <c r="B32" t="s">
        <v>3414</v>
      </c>
      <c r="C32">
        <v>1</v>
      </c>
      <c r="D32" t="s">
        <v>1517</v>
      </c>
    </row>
    <row r="33" spans="1:4" x14ac:dyDescent="0.2">
      <c r="A33" t="s">
        <v>3413</v>
      </c>
      <c r="B33" t="s">
        <v>3412</v>
      </c>
      <c r="C33">
        <v>1</v>
      </c>
      <c r="D33" t="s">
        <v>1517</v>
      </c>
    </row>
    <row r="34" spans="1:4" x14ac:dyDescent="0.2">
      <c r="A34" t="s">
        <v>3411</v>
      </c>
      <c r="B34" t="s">
        <v>3410</v>
      </c>
      <c r="C34">
        <v>1</v>
      </c>
      <c r="D34" t="s">
        <v>1517</v>
      </c>
    </row>
    <row r="35" spans="1:4" x14ac:dyDescent="0.2">
      <c r="A35" t="s">
        <v>3409</v>
      </c>
      <c r="B35" t="s">
        <v>3408</v>
      </c>
      <c r="C35">
        <v>1</v>
      </c>
      <c r="D35" t="s">
        <v>1517</v>
      </c>
    </row>
    <row r="36" spans="1:4" x14ac:dyDescent="0.2">
      <c r="A36" t="s">
        <v>3407</v>
      </c>
      <c r="B36" t="s">
        <v>3406</v>
      </c>
      <c r="C36">
        <v>1</v>
      </c>
      <c r="D36" t="s">
        <v>1517</v>
      </c>
    </row>
    <row r="37" spans="1:4" x14ac:dyDescent="0.2">
      <c r="A37" t="s">
        <v>3405</v>
      </c>
      <c r="B37" t="s">
        <v>3404</v>
      </c>
      <c r="C37">
        <v>10</v>
      </c>
      <c r="D37" t="s">
        <v>1570</v>
      </c>
    </row>
    <row r="38" spans="1:4" x14ac:dyDescent="0.2">
      <c r="A38" t="s">
        <v>3403</v>
      </c>
      <c r="B38" t="s">
        <v>3402</v>
      </c>
      <c r="C38">
        <v>1</v>
      </c>
      <c r="D38" t="s">
        <v>1517</v>
      </c>
    </row>
    <row r="39" spans="1:4" x14ac:dyDescent="0.2">
      <c r="A39" t="s">
        <v>305</v>
      </c>
      <c r="B39" t="s">
        <v>3401</v>
      </c>
      <c r="C39">
        <v>25</v>
      </c>
      <c r="D39" t="s">
        <v>1511</v>
      </c>
    </row>
    <row r="40" spans="1:4" x14ac:dyDescent="0.2">
      <c r="A40" t="s">
        <v>3400</v>
      </c>
      <c r="B40" t="s">
        <v>3399</v>
      </c>
      <c r="C40">
        <v>3</v>
      </c>
      <c r="D40" t="s">
        <v>1540</v>
      </c>
    </row>
    <row r="41" spans="1:4" x14ac:dyDescent="0.2">
      <c r="A41" t="s">
        <v>3398</v>
      </c>
      <c r="B41" t="s">
        <v>3397</v>
      </c>
      <c r="C41">
        <v>19</v>
      </c>
      <c r="D41" t="s">
        <v>1535</v>
      </c>
    </row>
    <row r="42" spans="1:4" x14ac:dyDescent="0.2">
      <c r="A42" t="s">
        <v>3396</v>
      </c>
      <c r="B42" t="s">
        <v>3395</v>
      </c>
      <c r="C42">
        <v>2</v>
      </c>
      <c r="D42" t="s">
        <v>1529</v>
      </c>
    </row>
    <row r="43" spans="1:4" x14ac:dyDescent="0.2">
      <c r="A43" t="s">
        <v>3394</v>
      </c>
      <c r="B43" t="s">
        <v>3393</v>
      </c>
      <c r="C43">
        <v>2</v>
      </c>
      <c r="D43" t="s">
        <v>1529</v>
      </c>
    </row>
    <row r="44" spans="1:4" x14ac:dyDescent="0.2">
      <c r="A44" t="s">
        <v>3392</v>
      </c>
      <c r="B44" t="s">
        <v>3391</v>
      </c>
      <c r="C44">
        <v>2</v>
      </c>
      <c r="D44" t="s">
        <v>1529</v>
      </c>
    </row>
    <row r="45" spans="1:4" x14ac:dyDescent="0.2">
      <c r="A45" t="s">
        <v>3390</v>
      </c>
      <c r="B45" t="s">
        <v>3389</v>
      </c>
      <c r="C45">
        <v>2</v>
      </c>
      <c r="D45" t="s">
        <v>1529</v>
      </c>
    </row>
    <row r="46" spans="1:4" x14ac:dyDescent="0.2">
      <c r="A46" t="s">
        <v>3388</v>
      </c>
      <c r="B46" t="s">
        <v>3387</v>
      </c>
      <c r="C46">
        <v>2</v>
      </c>
      <c r="D46" t="s">
        <v>1529</v>
      </c>
    </row>
    <row r="47" spans="1:4" x14ac:dyDescent="0.2">
      <c r="A47" t="s">
        <v>3386</v>
      </c>
      <c r="B47" t="s">
        <v>3385</v>
      </c>
      <c r="C47">
        <v>1</v>
      </c>
      <c r="D47" t="s">
        <v>1517</v>
      </c>
    </row>
    <row r="48" spans="1:4" x14ac:dyDescent="0.2">
      <c r="A48" t="s">
        <v>3384</v>
      </c>
      <c r="B48" t="s">
        <v>3383</v>
      </c>
      <c r="C48">
        <v>1</v>
      </c>
      <c r="D48" t="s">
        <v>1517</v>
      </c>
    </row>
    <row r="49" spans="1:4" x14ac:dyDescent="0.2">
      <c r="A49" t="s">
        <v>3382</v>
      </c>
      <c r="B49" t="s">
        <v>3381</v>
      </c>
      <c r="C49">
        <v>25</v>
      </c>
      <c r="D49" t="s">
        <v>1511</v>
      </c>
    </row>
    <row r="50" spans="1:4" x14ac:dyDescent="0.2">
      <c r="A50" t="s">
        <v>3380</v>
      </c>
      <c r="B50" t="s">
        <v>3379</v>
      </c>
      <c r="C50">
        <v>1</v>
      </c>
      <c r="D50" t="s">
        <v>1517</v>
      </c>
    </row>
    <row r="51" spans="1:4" x14ac:dyDescent="0.2">
      <c r="A51" t="s">
        <v>3378</v>
      </c>
      <c r="B51" t="s">
        <v>3377</v>
      </c>
      <c r="C51">
        <v>1</v>
      </c>
      <c r="D51" t="s">
        <v>1517</v>
      </c>
    </row>
    <row r="52" spans="1:4" x14ac:dyDescent="0.2">
      <c r="A52" t="s">
        <v>3376</v>
      </c>
      <c r="B52" t="s">
        <v>3375</v>
      </c>
      <c r="C52">
        <v>1</v>
      </c>
      <c r="D52" t="s">
        <v>1517</v>
      </c>
    </row>
    <row r="53" spans="1:4" x14ac:dyDescent="0.2">
      <c r="A53" t="s">
        <v>3374</v>
      </c>
      <c r="B53" t="s">
        <v>3373</v>
      </c>
      <c r="C53">
        <v>25</v>
      </c>
      <c r="D53" t="s">
        <v>1511</v>
      </c>
    </row>
    <row r="54" spans="1:4" x14ac:dyDescent="0.2">
      <c r="A54" t="s">
        <v>3372</v>
      </c>
      <c r="B54" t="s">
        <v>3371</v>
      </c>
      <c r="C54">
        <v>25</v>
      </c>
      <c r="D54" t="s">
        <v>1511</v>
      </c>
    </row>
    <row r="55" spans="1:4" x14ac:dyDescent="0.2">
      <c r="A55" t="s">
        <v>3370</v>
      </c>
      <c r="B55" t="s">
        <v>3369</v>
      </c>
      <c r="C55">
        <v>10</v>
      </c>
      <c r="D55" t="s">
        <v>1570</v>
      </c>
    </row>
    <row r="56" spans="1:4" x14ac:dyDescent="0.2">
      <c r="A56" t="s">
        <v>3368</v>
      </c>
      <c r="B56" t="s">
        <v>3367</v>
      </c>
      <c r="C56">
        <v>19</v>
      </c>
      <c r="D56" t="s">
        <v>1535</v>
      </c>
    </row>
    <row r="57" spans="1:4" x14ac:dyDescent="0.2">
      <c r="A57" t="s">
        <v>3366</v>
      </c>
      <c r="B57" t="s">
        <v>3365</v>
      </c>
      <c r="C57">
        <v>1</v>
      </c>
      <c r="D57" t="s">
        <v>1517</v>
      </c>
    </row>
    <row r="58" spans="1:4" x14ac:dyDescent="0.2">
      <c r="A58" t="s">
        <v>3364</v>
      </c>
      <c r="B58" t="s">
        <v>3363</v>
      </c>
      <c r="C58">
        <v>1</v>
      </c>
      <c r="D58" t="s">
        <v>1517</v>
      </c>
    </row>
    <row r="59" spans="1:4" x14ac:dyDescent="0.2">
      <c r="A59" t="s">
        <v>3362</v>
      </c>
      <c r="B59" t="s">
        <v>3361</v>
      </c>
      <c r="C59">
        <v>2</v>
      </c>
      <c r="D59" t="s">
        <v>1529</v>
      </c>
    </row>
    <row r="60" spans="1:4" x14ac:dyDescent="0.2">
      <c r="A60" t="s">
        <v>3360</v>
      </c>
      <c r="B60" t="s">
        <v>3359</v>
      </c>
      <c r="C60">
        <v>3</v>
      </c>
      <c r="D60" t="s">
        <v>1540</v>
      </c>
    </row>
    <row r="61" spans="1:4" x14ac:dyDescent="0.2">
      <c r="A61" t="s">
        <v>3358</v>
      </c>
      <c r="B61" t="s">
        <v>3357</v>
      </c>
      <c r="C61">
        <v>25</v>
      </c>
      <c r="D61" t="s">
        <v>1511</v>
      </c>
    </row>
    <row r="62" spans="1:4" x14ac:dyDescent="0.2">
      <c r="A62" t="s">
        <v>3356</v>
      </c>
      <c r="B62" t="s">
        <v>3355</v>
      </c>
      <c r="C62">
        <v>1</v>
      </c>
      <c r="D62" t="s">
        <v>1517</v>
      </c>
    </row>
    <row r="63" spans="1:4" x14ac:dyDescent="0.2">
      <c r="A63" t="s">
        <v>3354</v>
      </c>
      <c r="B63" t="s">
        <v>3353</v>
      </c>
      <c r="C63">
        <v>1</v>
      </c>
      <c r="D63" t="s">
        <v>1517</v>
      </c>
    </row>
    <row r="64" spans="1:4" x14ac:dyDescent="0.2">
      <c r="A64" t="s">
        <v>3352</v>
      </c>
      <c r="B64" t="s">
        <v>3351</v>
      </c>
      <c r="C64">
        <v>23</v>
      </c>
      <c r="D64" t="s">
        <v>2910</v>
      </c>
    </row>
    <row r="65" spans="1:4" x14ac:dyDescent="0.2">
      <c r="A65" t="s">
        <v>3350</v>
      </c>
      <c r="B65" t="s">
        <v>3349</v>
      </c>
      <c r="C65">
        <v>1</v>
      </c>
      <c r="D65" t="s">
        <v>1517</v>
      </c>
    </row>
    <row r="66" spans="1:4" x14ac:dyDescent="0.2">
      <c r="A66" t="s">
        <v>3348</v>
      </c>
      <c r="B66" t="s">
        <v>3347</v>
      </c>
      <c r="C66">
        <v>19</v>
      </c>
      <c r="D66" t="s">
        <v>1535</v>
      </c>
    </row>
    <row r="67" spans="1:4" x14ac:dyDescent="0.2">
      <c r="A67" t="s">
        <v>3346</v>
      </c>
      <c r="B67" t="s">
        <v>3345</v>
      </c>
      <c r="C67">
        <v>19</v>
      </c>
      <c r="D67" t="s">
        <v>1535</v>
      </c>
    </row>
    <row r="68" spans="1:4" x14ac:dyDescent="0.2">
      <c r="A68" t="s">
        <v>3344</v>
      </c>
      <c r="B68" t="s">
        <v>3343</v>
      </c>
      <c r="C68">
        <v>1</v>
      </c>
      <c r="D68" t="s">
        <v>1517</v>
      </c>
    </row>
    <row r="69" spans="1:4" x14ac:dyDescent="0.2">
      <c r="A69" t="s">
        <v>3342</v>
      </c>
      <c r="B69" t="s">
        <v>3341</v>
      </c>
      <c r="C69">
        <v>1</v>
      </c>
      <c r="D69" t="s">
        <v>1517</v>
      </c>
    </row>
    <row r="70" spans="1:4" x14ac:dyDescent="0.2">
      <c r="A70" t="s">
        <v>3340</v>
      </c>
      <c r="B70" t="s">
        <v>3339</v>
      </c>
      <c r="C70">
        <v>7</v>
      </c>
      <c r="D70" t="s">
        <v>1715</v>
      </c>
    </row>
    <row r="71" spans="1:4" x14ac:dyDescent="0.2">
      <c r="A71" t="s">
        <v>3338</v>
      </c>
      <c r="B71" t="s">
        <v>3337</v>
      </c>
      <c r="C71">
        <v>7</v>
      </c>
      <c r="D71" t="s">
        <v>1715</v>
      </c>
    </row>
    <row r="72" spans="1:4" x14ac:dyDescent="0.2">
      <c r="A72" t="s">
        <v>3336</v>
      </c>
      <c r="B72" t="s">
        <v>3335</v>
      </c>
      <c r="C72">
        <v>1</v>
      </c>
      <c r="D72" t="s">
        <v>1517</v>
      </c>
    </row>
    <row r="73" spans="1:4" x14ac:dyDescent="0.2">
      <c r="A73" t="s">
        <v>3334</v>
      </c>
      <c r="B73" t="s">
        <v>3333</v>
      </c>
      <c r="C73">
        <v>3</v>
      </c>
      <c r="D73" t="s">
        <v>1540</v>
      </c>
    </row>
    <row r="74" spans="1:4" x14ac:dyDescent="0.2">
      <c r="A74" t="s">
        <v>3332</v>
      </c>
      <c r="B74" t="s">
        <v>3331</v>
      </c>
      <c r="C74">
        <v>1</v>
      </c>
      <c r="D74" t="s">
        <v>1517</v>
      </c>
    </row>
    <row r="75" spans="1:4" x14ac:dyDescent="0.2">
      <c r="A75" t="s">
        <v>3330</v>
      </c>
      <c r="B75" t="s">
        <v>3329</v>
      </c>
      <c r="C75">
        <v>1</v>
      </c>
      <c r="D75" t="s">
        <v>1517</v>
      </c>
    </row>
    <row r="76" spans="1:4" x14ac:dyDescent="0.2">
      <c r="A76" t="s">
        <v>3328</v>
      </c>
      <c r="B76" t="s">
        <v>3327</v>
      </c>
      <c r="C76">
        <v>1</v>
      </c>
      <c r="D76" t="s">
        <v>1517</v>
      </c>
    </row>
    <row r="77" spans="1:4" x14ac:dyDescent="0.2">
      <c r="A77" t="s">
        <v>3326</v>
      </c>
      <c r="B77" t="s">
        <v>3325</v>
      </c>
      <c r="C77">
        <v>1</v>
      </c>
      <c r="D77" t="s">
        <v>1517</v>
      </c>
    </row>
    <row r="78" spans="1:4" x14ac:dyDescent="0.2">
      <c r="A78" t="s">
        <v>3324</v>
      </c>
      <c r="B78" t="s">
        <v>3323</v>
      </c>
      <c r="C78">
        <v>3</v>
      </c>
      <c r="D78" t="s">
        <v>1540</v>
      </c>
    </row>
    <row r="79" spans="1:4" x14ac:dyDescent="0.2">
      <c r="A79" t="s">
        <v>3322</v>
      </c>
      <c r="B79" t="s">
        <v>3321</v>
      </c>
      <c r="C79">
        <v>1</v>
      </c>
      <c r="D79" t="s">
        <v>1517</v>
      </c>
    </row>
    <row r="80" spans="1:4" x14ac:dyDescent="0.2">
      <c r="A80" t="s">
        <v>3320</v>
      </c>
      <c r="B80" t="s">
        <v>3319</v>
      </c>
      <c r="C80">
        <v>7</v>
      </c>
      <c r="D80" t="s">
        <v>1715</v>
      </c>
    </row>
    <row r="81" spans="1:4" x14ac:dyDescent="0.2">
      <c r="A81" t="s">
        <v>3318</v>
      </c>
      <c r="B81" t="s">
        <v>3317</v>
      </c>
      <c r="C81">
        <v>1</v>
      </c>
      <c r="D81" t="s">
        <v>1517</v>
      </c>
    </row>
    <row r="82" spans="1:4" x14ac:dyDescent="0.2">
      <c r="A82" t="s">
        <v>3316</v>
      </c>
      <c r="B82" t="s">
        <v>3315</v>
      </c>
      <c r="C82">
        <v>2</v>
      </c>
      <c r="D82" t="s">
        <v>1529</v>
      </c>
    </row>
    <row r="83" spans="1:4" x14ac:dyDescent="0.2">
      <c r="A83" t="s">
        <v>3314</v>
      </c>
      <c r="B83" t="s">
        <v>3313</v>
      </c>
      <c r="C83">
        <v>25</v>
      </c>
      <c r="D83" t="s">
        <v>1511</v>
      </c>
    </row>
    <row r="84" spans="1:4" x14ac:dyDescent="0.2">
      <c r="A84" t="s">
        <v>3312</v>
      </c>
      <c r="B84" t="s">
        <v>3311</v>
      </c>
      <c r="C84">
        <v>2</v>
      </c>
      <c r="D84" t="s">
        <v>1529</v>
      </c>
    </row>
    <row r="85" spans="1:4" x14ac:dyDescent="0.2">
      <c r="A85" t="s">
        <v>1309</v>
      </c>
      <c r="B85" t="s">
        <v>3310</v>
      </c>
      <c r="C85">
        <v>14</v>
      </c>
      <c r="D85" t="s">
        <v>1555</v>
      </c>
    </row>
    <row r="86" spans="1:4" x14ac:dyDescent="0.2">
      <c r="A86" t="s">
        <v>3309</v>
      </c>
      <c r="B86" t="s">
        <v>3308</v>
      </c>
      <c r="C86">
        <v>21</v>
      </c>
      <c r="D86" t="s">
        <v>1579</v>
      </c>
    </row>
    <row r="87" spans="1:4" x14ac:dyDescent="0.2">
      <c r="A87" t="s">
        <v>939</v>
      </c>
      <c r="B87" t="s">
        <v>3307</v>
      </c>
      <c r="C87">
        <v>3</v>
      </c>
      <c r="D87" t="s">
        <v>1540</v>
      </c>
    </row>
    <row r="88" spans="1:4" x14ac:dyDescent="0.2">
      <c r="A88" t="s">
        <v>3306</v>
      </c>
      <c r="B88" t="s">
        <v>3305</v>
      </c>
      <c r="C88">
        <v>25</v>
      </c>
      <c r="D88" t="s">
        <v>1511</v>
      </c>
    </row>
    <row r="89" spans="1:4" x14ac:dyDescent="0.2">
      <c r="A89" t="s">
        <v>3304</v>
      </c>
      <c r="B89" t="s">
        <v>3303</v>
      </c>
      <c r="C89">
        <v>25</v>
      </c>
      <c r="D89" t="s">
        <v>1511</v>
      </c>
    </row>
    <row r="90" spans="1:4" x14ac:dyDescent="0.2">
      <c r="A90" t="s">
        <v>3302</v>
      </c>
      <c r="B90" t="s">
        <v>3301</v>
      </c>
      <c r="C90">
        <v>1</v>
      </c>
      <c r="D90" t="s">
        <v>1517</v>
      </c>
    </row>
    <row r="91" spans="1:4" x14ac:dyDescent="0.2">
      <c r="A91" t="s">
        <v>3300</v>
      </c>
      <c r="B91" t="s">
        <v>3299</v>
      </c>
      <c r="C91">
        <v>14</v>
      </c>
      <c r="D91" t="s">
        <v>1555</v>
      </c>
    </row>
    <row r="92" spans="1:4" x14ac:dyDescent="0.2">
      <c r="A92" t="s">
        <v>3298</v>
      </c>
      <c r="B92" t="s">
        <v>3297</v>
      </c>
      <c r="C92">
        <v>12</v>
      </c>
      <c r="D92" t="s">
        <v>1609</v>
      </c>
    </row>
    <row r="93" spans="1:4" x14ac:dyDescent="0.2">
      <c r="A93" t="s">
        <v>3296</v>
      </c>
      <c r="B93" t="s">
        <v>3295</v>
      </c>
      <c r="C93">
        <v>1</v>
      </c>
      <c r="D93" t="s">
        <v>1517</v>
      </c>
    </row>
    <row r="94" spans="1:4" x14ac:dyDescent="0.2">
      <c r="A94" t="s">
        <v>3294</v>
      </c>
      <c r="B94" t="s">
        <v>3293</v>
      </c>
      <c r="C94">
        <v>1</v>
      </c>
      <c r="D94" t="s">
        <v>1517</v>
      </c>
    </row>
    <row r="95" spans="1:4" x14ac:dyDescent="0.2">
      <c r="A95" t="s">
        <v>3292</v>
      </c>
      <c r="B95" t="s">
        <v>3291</v>
      </c>
      <c r="C95">
        <v>1</v>
      </c>
      <c r="D95" t="s">
        <v>1517</v>
      </c>
    </row>
    <row r="96" spans="1:4" x14ac:dyDescent="0.2">
      <c r="A96" t="s">
        <v>3290</v>
      </c>
      <c r="B96" t="s">
        <v>3289</v>
      </c>
      <c r="C96">
        <v>3</v>
      </c>
      <c r="D96" t="s">
        <v>1540</v>
      </c>
    </row>
    <row r="97" spans="1:4" x14ac:dyDescent="0.2">
      <c r="A97" t="s">
        <v>3288</v>
      </c>
      <c r="B97" t="s">
        <v>3287</v>
      </c>
      <c r="C97">
        <v>25</v>
      </c>
      <c r="D97" t="s">
        <v>1511</v>
      </c>
    </row>
    <row r="98" spans="1:4" x14ac:dyDescent="0.2">
      <c r="A98" t="s">
        <v>3286</v>
      </c>
      <c r="B98" t="s">
        <v>3285</v>
      </c>
      <c r="C98">
        <v>2</v>
      </c>
      <c r="D98" t="s">
        <v>1529</v>
      </c>
    </row>
    <row r="99" spans="1:4" x14ac:dyDescent="0.2">
      <c r="A99" t="s">
        <v>3284</v>
      </c>
      <c r="B99" t="s">
        <v>3283</v>
      </c>
      <c r="C99">
        <v>3</v>
      </c>
      <c r="D99" t="s">
        <v>1540</v>
      </c>
    </row>
    <row r="100" spans="1:4" x14ac:dyDescent="0.2">
      <c r="A100" t="s">
        <v>3282</v>
      </c>
      <c r="B100" t="s">
        <v>3281</v>
      </c>
      <c r="C100">
        <v>1</v>
      </c>
      <c r="D100" t="s">
        <v>1517</v>
      </c>
    </row>
    <row r="101" spans="1:4" x14ac:dyDescent="0.2">
      <c r="A101" t="s">
        <v>3280</v>
      </c>
      <c r="B101" t="s">
        <v>3279</v>
      </c>
      <c r="C101">
        <v>25</v>
      </c>
      <c r="D101" t="s">
        <v>1511</v>
      </c>
    </row>
    <row r="102" spans="1:4" x14ac:dyDescent="0.2">
      <c r="A102" t="s">
        <v>3278</v>
      </c>
      <c r="B102" t="s">
        <v>3277</v>
      </c>
      <c r="C102">
        <v>24</v>
      </c>
      <c r="D102" t="s">
        <v>1781</v>
      </c>
    </row>
    <row r="103" spans="1:4" x14ac:dyDescent="0.2">
      <c r="A103" t="s">
        <v>3276</v>
      </c>
      <c r="B103" t="s">
        <v>3275</v>
      </c>
      <c r="C103">
        <v>7</v>
      </c>
      <c r="D103" t="s">
        <v>1715</v>
      </c>
    </row>
    <row r="104" spans="1:4" x14ac:dyDescent="0.2">
      <c r="A104" t="s">
        <v>3274</v>
      </c>
      <c r="B104" t="s">
        <v>3273</v>
      </c>
      <c r="C104">
        <v>25</v>
      </c>
      <c r="D104" t="s">
        <v>1511</v>
      </c>
    </row>
    <row r="105" spans="1:4" x14ac:dyDescent="0.2">
      <c r="A105" t="s">
        <v>3272</v>
      </c>
      <c r="B105" t="s">
        <v>3271</v>
      </c>
      <c r="C105">
        <v>2</v>
      </c>
      <c r="D105" t="s">
        <v>1529</v>
      </c>
    </row>
    <row r="106" spans="1:4" x14ac:dyDescent="0.2">
      <c r="A106" t="s">
        <v>3270</v>
      </c>
      <c r="B106" t="s">
        <v>3269</v>
      </c>
      <c r="C106">
        <v>2</v>
      </c>
      <c r="D106" t="s">
        <v>1529</v>
      </c>
    </row>
    <row r="107" spans="1:4" x14ac:dyDescent="0.2">
      <c r="A107" t="s">
        <v>3268</v>
      </c>
      <c r="B107" t="s">
        <v>3267</v>
      </c>
      <c r="C107">
        <v>2</v>
      </c>
      <c r="D107" t="s">
        <v>1529</v>
      </c>
    </row>
    <row r="108" spans="1:4" x14ac:dyDescent="0.2">
      <c r="A108" t="s">
        <v>3266</v>
      </c>
      <c r="B108" t="s">
        <v>3265</v>
      </c>
      <c r="C108">
        <v>25</v>
      </c>
      <c r="D108" t="s">
        <v>1511</v>
      </c>
    </row>
    <row r="109" spans="1:4" x14ac:dyDescent="0.2">
      <c r="A109" t="s">
        <v>1267</v>
      </c>
      <c r="B109" t="s">
        <v>3264</v>
      </c>
      <c r="C109">
        <v>1</v>
      </c>
      <c r="D109" t="s">
        <v>1517</v>
      </c>
    </row>
    <row r="110" spans="1:4" x14ac:dyDescent="0.2">
      <c r="A110" t="s">
        <v>3263</v>
      </c>
      <c r="B110" t="s">
        <v>3262</v>
      </c>
      <c r="C110">
        <v>1</v>
      </c>
      <c r="D110" t="s">
        <v>1517</v>
      </c>
    </row>
    <row r="111" spans="1:4" x14ac:dyDescent="0.2">
      <c r="A111" t="s">
        <v>3261</v>
      </c>
      <c r="B111" t="s">
        <v>3260</v>
      </c>
      <c r="C111">
        <v>1</v>
      </c>
      <c r="D111" t="s">
        <v>1517</v>
      </c>
    </row>
    <row r="112" spans="1:4" x14ac:dyDescent="0.2">
      <c r="A112" t="s">
        <v>79</v>
      </c>
      <c r="B112" t="s">
        <v>3259</v>
      </c>
      <c r="C112">
        <v>1</v>
      </c>
      <c r="D112" t="s">
        <v>1517</v>
      </c>
    </row>
    <row r="113" spans="1:4" x14ac:dyDescent="0.2">
      <c r="A113" t="s">
        <v>80</v>
      </c>
      <c r="B113" t="s">
        <v>3258</v>
      </c>
      <c r="C113">
        <v>1</v>
      </c>
      <c r="D113" t="s">
        <v>1517</v>
      </c>
    </row>
    <row r="114" spans="1:4" x14ac:dyDescent="0.2">
      <c r="A114" t="s">
        <v>3257</v>
      </c>
      <c r="B114" t="s">
        <v>3256</v>
      </c>
      <c r="C114">
        <v>1</v>
      </c>
      <c r="D114" t="s">
        <v>1517</v>
      </c>
    </row>
    <row r="115" spans="1:4" x14ac:dyDescent="0.2">
      <c r="A115" t="s">
        <v>3255</v>
      </c>
      <c r="B115" t="s">
        <v>3254</v>
      </c>
      <c r="C115">
        <v>1</v>
      </c>
      <c r="D115" t="s">
        <v>1517</v>
      </c>
    </row>
    <row r="116" spans="1:4" x14ac:dyDescent="0.2">
      <c r="A116" t="s">
        <v>3253</v>
      </c>
      <c r="B116" t="s">
        <v>3252</v>
      </c>
      <c r="C116">
        <v>14</v>
      </c>
      <c r="D116" t="s">
        <v>1555</v>
      </c>
    </row>
    <row r="117" spans="1:4" x14ac:dyDescent="0.2">
      <c r="A117" t="s">
        <v>3251</v>
      </c>
      <c r="B117" t="s">
        <v>3250</v>
      </c>
      <c r="C117">
        <v>17</v>
      </c>
      <c r="D117" t="s">
        <v>1649</v>
      </c>
    </row>
    <row r="118" spans="1:4" x14ac:dyDescent="0.2">
      <c r="A118" t="s">
        <v>3249</v>
      </c>
      <c r="B118" t="s">
        <v>3248</v>
      </c>
      <c r="C118">
        <v>1</v>
      </c>
      <c r="D118" t="s">
        <v>1517</v>
      </c>
    </row>
    <row r="119" spans="1:4" x14ac:dyDescent="0.2">
      <c r="A119" t="s">
        <v>3247</v>
      </c>
      <c r="B119" t="s">
        <v>3246</v>
      </c>
      <c r="C119">
        <v>15</v>
      </c>
      <c r="D119" t="s">
        <v>1618</v>
      </c>
    </row>
    <row r="120" spans="1:4" x14ac:dyDescent="0.2">
      <c r="A120" t="s">
        <v>3245</v>
      </c>
      <c r="B120" t="s">
        <v>3244</v>
      </c>
      <c r="C120">
        <v>25</v>
      </c>
      <c r="D120" t="s">
        <v>1511</v>
      </c>
    </row>
    <row r="121" spans="1:4" x14ac:dyDescent="0.2">
      <c r="A121" t="s">
        <v>3243</v>
      </c>
      <c r="B121" t="s">
        <v>3242</v>
      </c>
      <c r="C121">
        <v>3</v>
      </c>
      <c r="D121" t="s">
        <v>1540</v>
      </c>
    </row>
    <row r="122" spans="1:4" x14ac:dyDescent="0.2">
      <c r="A122" t="s">
        <v>3241</v>
      </c>
      <c r="B122" t="s">
        <v>3240</v>
      </c>
      <c r="C122">
        <v>1</v>
      </c>
      <c r="D122" t="s">
        <v>1517</v>
      </c>
    </row>
    <row r="123" spans="1:4" x14ac:dyDescent="0.2">
      <c r="A123" t="s">
        <v>3239</v>
      </c>
      <c r="B123" t="s">
        <v>3238</v>
      </c>
      <c r="C123">
        <v>15</v>
      </c>
      <c r="D123" t="s">
        <v>1618</v>
      </c>
    </row>
    <row r="124" spans="1:4" x14ac:dyDescent="0.2">
      <c r="A124" t="s">
        <v>3237</v>
      </c>
      <c r="B124" t="s">
        <v>3236</v>
      </c>
      <c r="C124">
        <v>21</v>
      </c>
      <c r="D124" t="s">
        <v>1579</v>
      </c>
    </row>
    <row r="125" spans="1:4" x14ac:dyDescent="0.2">
      <c r="A125" t="s">
        <v>3235</v>
      </c>
      <c r="B125" t="s">
        <v>3234</v>
      </c>
      <c r="C125">
        <v>1</v>
      </c>
      <c r="D125" t="s">
        <v>1517</v>
      </c>
    </row>
    <row r="126" spans="1:4" x14ac:dyDescent="0.2">
      <c r="A126" t="s">
        <v>3233</v>
      </c>
      <c r="B126" t="s">
        <v>3232</v>
      </c>
      <c r="C126">
        <v>1</v>
      </c>
      <c r="D126" t="s">
        <v>1517</v>
      </c>
    </row>
    <row r="127" spans="1:4" x14ac:dyDescent="0.2">
      <c r="A127" t="s">
        <v>3231</v>
      </c>
      <c r="B127" t="s">
        <v>3230</v>
      </c>
      <c r="C127">
        <v>1</v>
      </c>
      <c r="D127" t="s">
        <v>1517</v>
      </c>
    </row>
    <row r="128" spans="1:4" x14ac:dyDescent="0.2">
      <c r="A128" t="s">
        <v>3229</v>
      </c>
      <c r="B128" t="s">
        <v>3228</v>
      </c>
      <c r="C128">
        <v>8</v>
      </c>
      <c r="D128" t="s">
        <v>3227</v>
      </c>
    </row>
    <row r="129" spans="1:4" x14ac:dyDescent="0.2">
      <c r="A129" t="s">
        <v>3226</v>
      </c>
      <c r="B129" t="s">
        <v>3225</v>
      </c>
      <c r="C129">
        <v>1</v>
      </c>
      <c r="D129" t="s">
        <v>1517</v>
      </c>
    </row>
    <row r="130" spans="1:4" x14ac:dyDescent="0.2">
      <c r="A130" t="s">
        <v>3224</v>
      </c>
      <c r="B130" t="s">
        <v>3223</v>
      </c>
      <c r="C130">
        <v>2</v>
      </c>
      <c r="D130" t="s">
        <v>1529</v>
      </c>
    </row>
    <row r="131" spans="1:4" x14ac:dyDescent="0.2">
      <c r="A131" t="s">
        <v>3222</v>
      </c>
      <c r="B131" t="s">
        <v>3221</v>
      </c>
      <c r="C131">
        <v>1</v>
      </c>
      <c r="D131" t="s">
        <v>1517</v>
      </c>
    </row>
    <row r="132" spans="1:4" x14ac:dyDescent="0.2">
      <c r="A132" t="s">
        <v>3220</v>
      </c>
      <c r="B132" t="s">
        <v>3219</v>
      </c>
      <c r="C132">
        <v>1</v>
      </c>
      <c r="D132" t="s">
        <v>1517</v>
      </c>
    </row>
    <row r="133" spans="1:4" x14ac:dyDescent="0.2">
      <c r="A133" t="s">
        <v>3218</v>
      </c>
      <c r="B133" t="s">
        <v>3217</v>
      </c>
      <c r="C133">
        <v>3</v>
      </c>
      <c r="D133" t="s">
        <v>1540</v>
      </c>
    </row>
    <row r="134" spans="1:4" x14ac:dyDescent="0.2">
      <c r="A134" t="s">
        <v>3216</v>
      </c>
      <c r="B134" t="s">
        <v>3215</v>
      </c>
      <c r="C134">
        <v>1</v>
      </c>
      <c r="D134" t="s">
        <v>1517</v>
      </c>
    </row>
    <row r="135" spans="1:4" x14ac:dyDescent="0.2">
      <c r="A135" t="s">
        <v>1187</v>
      </c>
      <c r="B135" t="s">
        <v>3214</v>
      </c>
      <c r="C135">
        <v>1</v>
      </c>
      <c r="D135" t="s">
        <v>1517</v>
      </c>
    </row>
    <row r="136" spans="1:4" x14ac:dyDescent="0.2">
      <c r="A136" t="s">
        <v>3213</v>
      </c>
      <c r="B136" t="s">
        <v>3212</v>
      </c>
      <c r="C136">
        <v>1</v>
      </c>
      <c r="D136" t="s">
        <v>1517</v>
      </c>
    </row>
    <row r="137" spans="1:4" x14ac:dyDescent="0.2">
      <c r="A137" t="s">
        <v>3211</v>
      </c>
      <c r="B137" t="s">
        <v>3210</v>
      </c>
      <c r="C137">
        <v>25</v>
      </c>
      <c r="D137" t="s">
        <v>1511</v>
      </c>
    </row>
    <row r="138" spans="1:4" x14ac:dyDescent="0.2">
      <c r="A138" t="s">
        <v>1444</v>
      </c>
      <c r="B138" t="s">
        <v>3209</v>
      </c>
      <c r="C138">
        <v>1</v>
      </c>
      <c r="D138" t="s">
        <v>1517</v>
      </c>
    </row>
    <row r="139" spans="1:4" x14ac:dyDescent="0.2">
      <c r="A139" t="s">
        <v>3208</v>
      </c>
      <c r="B139" t="s">
        <v>3207</v>
      </c>
      <c r="C139">
        <v>1</v>
      </c>
      <c r="D139" t="s">
        <v>1517</v>
      </c>
    </row>
    <row r="140" spans="1:4" x14ac:dyDescent="0.2">
      <c r="A140" t="s">
        <v>3206</v>
      </c>
      <c r="B140" t="s">
        <v>3205</v>
      </c>
      <c r="C140">
        <v>1</v>
      </c>
      <c r="D140" t="s">
        <v>1517</v>
      </c>
    </row>
    <row r="141" spans="1:4" x14ac:dyDescent="0.2">
      <c r="A141" t="s">
        <v>3204</v>
      </c>
      <c r="B141" t="s">
        <v>3203</v>
      </c>
      <c r="C141">
        <v>1</v>
      </c>
      <c r="D141" t="s">
        <v>1517</v>
      </c>
    </row>
    <row r="142" spans="1:4" x14ac:dyDescent="0.2">
      <c r="A142" t="s">
        <v>3202</v>
      </c>
      <c r="B142" t="s">
        <v>3201</v>
      </c>
      <c r="C142">
        <v>1</v>
      </c>
      <c r="D142" t="s">
        <v>1517</v>
      </c>
    </row>
    <row r="143" spans="1:4" x14ac:dyDescent="0.2">
      <c r="A143" t="s">
        <v>3200</v>
      </c>
      <c r="B143" t="s">
        <v>3199</v>
      </c>
      <c r="C143">
        <v>1</v>
      </c>
      <c r="D143" t="s">
        <v>1517</v>
      </c>
    </row>
    <row r="144" spans="1:4" x14ac:dyDescent="0.2">
      <c r="A144" t="s">
        <v>3198</v>
      </c>
      <c r="B144" t="s">
        <v>3197</v>
      </c>
      <c r="C144">
        <v>1</v>
      </c>
      <c r="D144" t="s">
        <v>1517</v>
      </c>
    </row>
    <row r="145" spans="1:4" x14ac:dyDescent="0.2">
      <c r="A145" t="s">
        <v>3196</v>
      </c>
      <c r="B145" t="s">
        <v>3195</v>
      </c>
      <c r="C145">
        <v>1</v>
      </c>
      <c r="D145" t="s">
        <v>1517</v>
      </c>
    </row>
    <row r="146" spans="1:4" x14ac:dyDescent="0.2">
      <c r="A146" t="s">
        <v>3194</v>
      </c>
      <c r="B146" t="s">
        <v>3193</v>
      </c>
      <c r="C146">
        <v>1</v>
      </c>
      <c r="D146" t="s">
        <v>1517</v>
      </c>
    </row>
    <row r="147" spans="1:4" x14ac:dyDescent="0.2">
      <c r="A147" t="s">
        <v>3192</v>
      </c>
      <c r="B147" t="s">
        <v>3191</v>
      </c>
      <c r="C147">
        <v>1</v>
      </c>
      <c r="D147" t="s">
        <v>1517</v>
      </c>
    </row>
    <row r="148" spans="1:4" x14ac:dyDescent="0.2">
      <c r="A148" t="s">
        <v>3190</v>
      </c>
      <c r="B148" t="s">
        <v>3189</v>
      </c>
      <c r="C148">
        <v>3</v>
      </c>
      <c r="D148" t="s">
        <v>1540</v>
      </c>
    </row>
    <row r="149" spans="1:4" x14ac:dyDescent="0.2">
      <c r="A149" t="s">
        <v>3188</v>
      </c>
      <c r="B149" t="s">
        <v>3187</v>
      </c>
      <c r="C149">
        <v>1</v>
      </c>
      <c r="D149" t="s">
        <v>1517</v>
      </c>
    </row>
    <row r="150" spans="1:4" x14ac:dyDescent="0.2">
      <c r="A150" t="s">
        <v>3186</v>
      </c>
      <c r="B150" t="s">
        <v>3185</v>
      </c>
      <c r="C150">
        <v>25</v>
      </c>
      <c r="D150" t="s">
        <v>1511</v>
      </c>
    </row>
    <row r="151" spans="1:4" x14ac:dyDescent="0.2">
      <c r="A151" t="s">
        <v>3184</v>
      </c>
      <c r="B151" t="s">
        <v>3183</v>
      </c>
      <c r="C151">
        <v>25</v>
      </c>
      <c r="D151" t="s">
        <v>1511</v>
      </c>
    </row>
    <row r="152" spans="1:4" x14ac:dyDescent="0.2">
      <c r="A152" t="s">
        <v>3182</v>
      </c>
      <c r="B152" t="s">
        <v>3181</v>
      </c>
      <c r="C152">
        <v>7</v>
      </c>
      <c r="D152" t="s">
        <v>1715</v>
      </c>
    </row>
    <row r="153" spans="1:4" x14ac:dyDescent="0.2">
      <c r="A153" t="s">
        <v>3180</v>
      </c>
      <c r="B153" t="s">
        <v>3180</v>
      </c>
      <c r="C153">
        <v>7</v>
      </c>
      <c r="D153" t="s">
        <v>1715</v>
      </c>
    </row>
    <row r="154" spans="1:4" x14ac:dyDescent="0.2">
      <c r="A154" t="s">
        <v>3179</v>
      </c>
      <c r="B154" t="s">
        <v>3178</v>
      </c>
      <c r="C154">
        <v>1</v>
      </c>
      <c r="D154" t="s">
        <v>1517</v>
      </c>
    </row>
    <row r="155" spans="1:4" x14ac:dyDescent="0.2">
      <c r="A155" t="s">
        <v>3177</v>
      </c>
      <c r="B155" t="s">
        <v>3176</v>
      </c>
      <c r="C155">
        <v>17</v>
      </c>
      <c r="D155" t="s">
        <v>1649</v>
      </c>
    </row>
    <row r="156" spans="1:4" x14ac:dyDescent="0.2">
      <c r="A156" t="s">
        <v>3175</v>
      </c>
      <c r="B156" t="s">
        <v>3174</v>
      </c>
      <c r="C156">
        <v>2</v>
      </c>
      <c r="D156" t="s">
        <v>1529</v>
      </c>
    </row>
    <row r="157" spans="1:4" x14ac:dyDescent="0.2">
      <c r="A157" t="s">
        <v>3173</v>
      </c>
      <c r="B157" t="s">
        <v>3172</v>
      </c>
      <c r="C157">
        <v>1</v>
      </c>
      <c r="D157" t="s">
        <v>1517</v>
      </c>
    </row>
    <row r="158" spans="1:4" x14ac:dyDescent="0.2">
      <c r="A158" t="s">
        <v>3171</v>
      </c>
      <c r="B158" t="s">
        <v>3170</v>
      </c>
      <c r="C158">
        <v>25</v>
      </c>
      <c r="D158" t="s">
        <v>1511</v>
      </c>
    </row>
    <row r="159" spans="1:4" x14ac:dyDescent="0.2">
      <c r="A159" t="s">
        <v>314</v>
      </c>
      <c r="B159" t="s">
        <v>3169</v>
      </c>
      <c r="C159">
        <v>25</v>
      </c>
      <c r="D159" t="s">
        <v>1511</v>
      </c>
    </row>
    <row r="160" spans="1:4" x14ac:dyDescent="0.2">
      <c r="A160" t="s">
        <v>3168</v>
      </c>
      <c r="B160" t="s">
        <v>3167</v>
      </c>
      <c r="C160">
        <v>1</v>
      </c>
      <c r="D160" t="s">
        <v>1517</v>
      </c>
    </row>
    <row r="161" spans="1:4" x14ac:dyDescent="0.2">
      <c r="A161" t="s">
        <v>3166</v>
      </c>
      <c r="B161" t="s">
        <v>3165</v>
      </c>
      <c r="C161">
        <v>3</v>
      </c>
      <c r="D161" t="s">
        <v>1540</v>
      </c>
    </row>
    <row r="162" spans="1:4" x14ac:dyDescent="0.2">
      <c r="A162" t="s">
        <v>3164</v>
      </c>
      <c r="B162" t="s">
        <v>3163</v>
      </c>
      <c r="C162">
        <v>1</v>
      </c>
      <c r="D162" t="s">
        <v>1517</v>
      </c>
    </row>
    <row r="163" spans="1:4" x14ac:dyDescent="0.2">
      <c r="A163" t="s">
        <v>3162</v>
      </c>
      <c r="B163" t="s">
        <v>3161</v>
      </c>
      <c r="C163">
        <v>1</v>
      </c>
      <c r="D163" t="s">
        <v>1517</v>
      </c>
    </row>
    <row r="164" spans="1:4" x14ac:dyDescent="0.2">
      <c r="A164" t="s">
        <v>1356</v>
      </c>
      <c r="B164" t="s">
        <v>3160</v>
      </c>
      <c r="C164">
        <v>3</v>
      </c>
      <c r="D164" t="s">
        <v>1540</v>
      </c>
    </row>
    <row r="165" spans="1:4" x14ac:dyDescent="0.2">
      <c r="A165" t="s">
        <v>1357</v>
      </c>
      <c r="B165" t="s">
        <v>3159</v>
      </c>
      <c r="C165">
        <v>3</v>
      </c>
      <c r="D165" t="s">
        <v>1540</v>
      </c>
    </row>
    <row r="166" spans="1:4" x14ac:dyDescent="0.2">
      <c r="A166" t="s">
        <v>3158</v>
      </c>
      <c r="B166" t="s">
        <v>3157</v>
      </c>
      <c r="C166">
        <v>25</v>
      </c>
      <c r="D166" t="s">
        <v>1511</v>
      </c>
    </row>
    <row r="167" spans="1:4" x14ac:dyDescent="0.2">
      <c r="A167" t="s">
        <v>3156</v>
      </c>
      <c r="B167" t="s">
        <v>3155</v>
      </c>
      <c r="C167">
        <v>25</v>
      </c>
      <c r="D167" t="s">
        <v>1511</v>
      </c>
    </row>
    <row r="168" spans="1:4" x14ac:dyDescent="0.2">
      <c r="A168" t="s">
        <v>3154</v>
      </c>
      <c r="B168" t="s">
        <v>3153</v>
      </c>
      <c r="C168">
        <v>1</v>
      </c>
      <c r="D168" t="s">
        <v>1517</v>
      </c>
    </row>
    <row r="169" spans="1:4" x14ac:dyDescent="0.2">
      <c r="A169" t="s">
        <v>3152</v>
      </c>
      <c r="B169" t="s">
        <v>3151</v>
      </c>
      <c r="C169">
        <v>1</v>
      </c>
      <c r="D169" t="s">
        <v>1517</v>
      </c>
    </row>
    <row r="170" spans="1:4" x14ac:dyDescent="0.2">
      <c r="A170" t="s">
        <v>3150</v>
      </c>
      <c r="B170" t="s">
        <v>3149</v>
      </c>
      <c r="C170">
        <v>15</v>
      </c>
      <c r="D170" t="s">
        <v>1618</v>
      </c>
    </row>
    <row r="171" spans="1:4" x14ac:dyDescent="0.2">
      <c r="A171" t="s">
        <v>3148</v>
      </c>
      <c r="B171" t="s">
        <v>3147</v>
      </c>
      <c r="C171">
        <v>14</v>
      </c>
      <c r="D171" t="s">
        <v>1555</v>
      </c>
    </row>
    <row r="172" spans="1:4" x14ac:dyDescent="0.2">
      <c r="A172" t="s">
        <v>3146</v>
      </c>
      <c r="B172" t="s">
        <v>3145</v>
      </c>
      <c r="C172">
        <v>1</v>
      </c>
      <c r="D172" t="s">
        <v>1517</v>
      </c>
    </row>
    <row r="173" spans="1:4" x14ac:dyDescent="0.2">
      <c r="A173" t="s">
        <v>3144</v>
      </c>
      <c r="B173" t="s">
        <v>3143</v>
      </c>
      <c r="C173">
        <v>1</v>
      </c>
      <c r="D173" t="s">
        <v>1517</v>
      </c>
    </row>
    <row r="174" spans="1:4" x14ac:dyDescent="0.2">
      <c r="A174" t="s">
        <v>3142</v>
      </c>
      <c r="B174" t="s">
        <v>3141</v>
      </c>
      <c r="C174">
        <v>2</v>
      </c>
      <c r="D174" t="s">
        <v>1529</v>
      </c>
    </row>
    <row r="175" spans="1:4" x14ac:dyDescent="0.2">
      <c r="A175" t="s">
        <v>3140</v>
      </c>
      <c r="B175" t="s">
        <v>3139</v>
      </c>
      <c r="C175">
        <v>1</v>
      </c>
      <c r="D175" t="s">
        <v>1517</v>
      </c>
    </row>
    <row r="176" spans="1:4" x14ac:dyDescent="0.2">
      <c r="A176" t="s">
        <v>3138</v>
      </c>
      <c r="B176" t="s">
        <v>3137</v>
      </c>
      <c r="C176">
        <v>1</v>
      </c>
      <c r="D176" t="s">
        <v>1517</v>
      </c>
    </row>
    <row r="177" spans="1:4" x14ac:dyDescent="0.2">
      <c r="A177" t="s">
        <v>3136</v>
      </c>
      <c r="B177" t="s">
        <v>3135</v>
      </c>
      <c r="C177">
        <v>1</v>
      </c>
      <c r="D177" t="s">
        <v>1517</v>
      </c>
    </row>
    <row r="178" spans="1:4" x14ac:dyDescent="0.2">
      <c r="A178" t="s">
        <v>3134</v>
      </c>
      <c r="B178" t="s">
        <v>3133</v>
      </c>
      <c r="C178">
        <v>24</v>
      </c>
      <c r="D178" t="s">
        <v>1781</v>
      </c>
    </row>
    <row r="179" spans="1:4" x14ac:dyDescent="0.2">
      <c r="A179" t="s">
        <v>3132</v>
      </c>
      <c r="B179" t="s">
        <v>3131</v>
      </c>
      <c r="C179">
        <v>21</v>
      </c>
      <c r="D179" t="s">
        <v>1579</v>
      </c>
    </row>
    <row r="180" spans="1:4" x14ac:dyDescent="0.2">
      <c r="A180" t="s">
        <v>3130</v>
      </c>
      <c r="B180" t="s">
        <v>3129</v>
      </c>
      <c r="C180">
        <v>1</v>
      </c>
      <c r="D180" t="s">
        <v>1517</v>
      </c>
    </row>
    <row r="181" spans="1:4" x14ac:dyDescent="0.2">
      <c r="A181" t="s">
        <v>3128</v>
      </c>
      <c r="B181" t="s">
        <v>3127</v>
      </c>
      <c r="C181">
        <v>1</v>
      </c>
      <c r="D181" t="s">
        <v>1517</v>
      </c>
    </row>
    <row r="182" spans="1:4" x14ac:dyDescent="0.2">
      <c r="A182" t="s">
        <v>3126</v>
      </c>
      <c r="B182" t="s">
        <v>3125</v>
      </c>
      <c r="C182">
        <v>1</v>
      </c>
      <c r="D182" t="s">
        <v>1517</v>
      </c>
    </row>
    <row r="183" spans="1:4" x14ac:dyDescent="0.2">
      <c r="A183" t="s">
        <v>3124</v>
      </c>
      <c r="B183" t="s">
        <v>3123</v>
      </c>
      <c r="C183">
        <v>3</v>
      </c>
      <c r="D183" t="s">
        <v>1540</v>
      </c>
    </row>
    <row r="184" spans="1:4" x14ac:dyDescent="0.2">
      <c r="A184" t="s">
        <v>3122</v>
      </c>
      <c r="B184" t="s">
        <v>3121</v>
      </c>
      <c r="C184">
        <v>1</v>
      </c>
      <c r="D184" t="s">
        <v>1517</v>
      </c>
    </row>
    <row r="185" spans="1:4" x14ac:dyDescent="0.2">
      <c r="A185" t="s">
        <v>3120</v>
      </c>
      <c r="B185" t="s">
        <v>3119</v>
      </c>
      <c r="C185">
        <v>1</v>
      </c>
      <c r="D185" t="s">
        <v>1517</v>
      </c>
    </row>
    <row r="186" spans="1:4" x14ac:dyDescent="0.2">
      <c r="A186" t="s">
        <v>3118</v>
      </c>
      <c r="B186" t="s">
        <v>3117</v>
      </c>
      <c r="C186">
        <v>1</v>
      </c>
      <c r="D186" t="s">
        <v>1517</v>
      </c>
    </row>
    <row r="187" spans="1:4" x14ac:dyDescent="0.2">
      <c r="A187" t="s">
        <v>3116</v>
      </c>
      <c r="B187" t="s">
        <v>3115</v>
      </c>
      <c r="C187">
        <v>4</v>
      </c>
      <c r="D187" t="s">
        <v>1932</v>
      </c>
    </row>
    <row r="188" spans="1:4" x14ac:dyDescent="0.2">
      <c r="A188" t="s">
        <v>3114</v>
      </c>
      <c r="B188" t="s">
        <v>3113</v>
      </c>
      <c r="C188">
        <v>1</v>
      </c>
      <c r="D188" t="s">
        <v>1517</v>
      </c>
    </row>
    <row r="189" spans="1:4" x14ac:dyDescent="0.2">
      <c r="A189" t="s">
        <v>3112</v>
      </c>
      <c r="B189" t="s">
        <v>3111</v>
      </c>
      <c r="C189">
        <v>1</v>
      </c>
      <c r="D189" t="s">
        <v>1517</v>
      </c>
    </row>
    <row r="190" spans="1:4" x14ac:dyDescent="0.2">
      <c r="A190" t="s">
        <v>3110</v>
      </c>
      <c r="B190" t="s">
        <v>3109</v>
      </c>
      <c r="C190">
        <v>1</v>
      </c>
      <c r="D190" t="s">
        <v>1517</v>
      </c>
    </row>
    <row r="191" spans="1:4" x14ac:dyDescent="0.2">
      <c r="A191" t="s">
        <v>3108</v>
      </c>
      <c r="B191" t="s">
        <v>3107</v>
      </c>
      <c r="C191">
        <v>4</v>
      </c>
      <c r="D191" t="s">
        <v>1932</v>
      </c>
    </row>
    <row r="192" spans="1:4" x14ac:dyDescent="0.2">
      <c r="A192" t="s">
        <v>3106</v>
      </c>
      <c r="B192" t="s">
        <v>3105</v>
      </c>
      <c r="C192">
        <v>1</v>
      </c>
      <c r="D192" t="s">
        <v>1517</v>
      </c>
    </row>
    <row r="193" spans="1:4" x14ac:dyDescent="0.2">
      <c r="A193" t="s">
        <v>3104</v>
      </c>
      <c r="B193" t="s">
        <v>3103</v>
      </c>
      <c r="C193">
        <v>14</v>
      </c>
      <c r="D193" t="s">
        <v>1555</v>
      </c>
    </row>
    <row r="194" spans="1:4" x14ac:dyDescent="0.2">
      <c r="A194" t="s">
        <v>3102</v>
      </c>
      <c r="B194" t="s">
        <v>3101</v>
      </c>
      <c r="C194">
        <v>1</v>
      </c>
      <c r="D194" t="s">
        <v>1517</v>
      </c>
    </row>
    <row r="195" spans="1:4" x14ac:dyDescent="0.2">
      <c r="A195" t="s">
        <v>3100</v>
      </c>
      <c r="B195" t="s">
        <v>3099</v>
      </c>
      <c r="C195">
        <v>1</v>
      </c>
      <c r="D195" t="s">
        <v>1517</v>
      </c>
    </row>
    <row r="196" spans="1:4" x14ac:dyDescent="0.2">
      <c r="A196" t="s">
        <v>3098</v>
      </c>
      <c r="B196" t="s">
        <v>3097</v>
      </c>
      <c r="C196">
        <v>1</v>
      </c>
      <c r="D196" t="s">
        <v>1517</v>
      </c>
    </row>
    <row r="197" spans="1:4" x14ac:dyDescent="0.2">
      <c r="A197" t="s">
        <v>3096</v>
      </c>
      <c r="B197" t="s">
        <v>3095</v>
      </c>
      <c r="C197">
        <v>1</v>
      </c>
      <c r="D197" t="s">
        <v>1517</v>
      </c>
    </row>
    <row r="198" spans="1:4" x14ac:dyDescent="0.2">
      <c r="A198" t="s">
        <v>3094</v>
      </c>
      <c r="B198" t="s">
        <v>3093</v>
      </c>
      <c r="C198">
        <v>1</v>
      </c>
      <c r="D198" t="s">
        <v>1517</v>
      </c>
    </row>
    <row r="199" spans="1:4" x14ac:dyDescent="0.2">
      <c r="A199" t="s">
        <v>3092</v>
      </c>
      <c r="B199" t="s">
        <v>3091</v>
      </c>
      <c r="C199">
        <v>3</v>
      </c>
      <c r="D199" t="s">
        <v>1540</v>
      </c>
    </row>
    <row r="200" spans="1:4" x14ac:dyDescent="0.2">
      <c r="A200" t="s">
        <v>3090</v>
      </c>
      <c r="B200" t="s">
        <v>3089</v>
      </c>
      <c r="C200">
        <v>24</v>
      </c>
      <c r="D200" t="s">
        <v>1781</v>
      </c>
    </row>
    <row r="201" spans="1:4" x14ac:dyDescent="0.2">
      <c r="A201" t="s">
        <v>3088</v>
      </c>
      <c r="B201" t="s">
        <v>3087</v>
      </c>
      <c r="C201">
        <v>24</v>
      </c>
      <c r="D201" t="s">
        <v>1781</v>
      </c>
    </row>
    <row r="202" spans="1:4" x14ac:dyDescent="0.2">
      <c r="A202" t="s">
        <v>94</v>
      </c>
      <c r="B202" t="s">
        <v>3086</v>
      </c>
      <c r="C202">
        <v>1</v>
      </c>
      <c r="D202" t="s">
        <v>1517</v>
      </c>
    </row>
    <row r="203" spans="1:4" x14ac:dyDescent="0.2">
      <c r="A203" t="s">
        <v>3085</v>
      </c>
      <c r="B203" t="s">
        <v>3084</v>
      </c>
      <c r="C203">
        <v>1</v>
      </c>
      <c r="D203" t="s">
        <v>1517</v>
      </c>
    </row>
    <row r="204" spans="1:4" x14ac:dyDescent="0.2">
      <c r="A204" t="s">
        <v>3083</v>
      </c>
      <c r="B204" t="s">
        <v>3082</v>
      </c>
      <c r="C204">
        <v>1</v>
      </c>
      <c r="D204" t="s">
        <v>1517</v>
      </c>
    </row>
    <row r="205" spans="1:4" x14ac:dyDescent="0.2">
      <c r="A205" t="s">
        <v>3081</v>
      </c>
      <c r="B205" t="s">
        <v>3080</v>
      </c>
      <c r="C205">
        <v>1</v>
      </c>
      <c r="D205" t="s">
        <v>1517</v>
      </c>
    </row>
    <row r="206" spans="1:4" x14ac:dyDescent="0.2">
      <c r="A206" t="s">
        <v>3079</v>
      </c>
      <c r="B206" t="s">
        <v>3078</v>
      </c>
      <c r="C206">
        <v>1</v>
      </c>
      <c r="D206" t="s">
        <v>1517</v>
      </c>
    </row>
    <row r="207" spans="1:4" x14ac:dyDescent="0.2">
      <c r="A207" t="s">
        <v>3077</v>
      </c>
      <c r="B207" t="s">
        <v>3076</v>
      </c>
      <c r="C207">
        <v>1</v>
      </c>
      <c r="D207" t="s">
        <v>1517</v>
      </c>
    </row>
    <row r="208" spans="1:4" x14ac:dyDescent="0.2">
      <c r="A208" t="s">
        <v>3075</v>
      </c>
      <c r="B208" t="s">
        <v>3074</v>
      </c>
      <c r="C208">
        <v>1</v>
      </c>
      <c r="D208" t="s">
        <v>1517</v>
      </c>
    </row>
    <row r="209" spans="1:4" x14ac:dyDescent="0.2">
      <c r="A209" t="s">
        <v>3073</v>
      </c>
      <c r="B209" t="s">
        <v>3072</v>
      </c>
      <c r="C209">
        <v>3</v>
      </c>
      <c r="D209" t="s">
        <v>1540</v>
      </c>
    </row>
    <row r="210" spans="1:4" x14ac:dyDescent="0.2">
      <c r="A210" t="s">
        <v>3071</v>
      </c>
      <c r="B210" t="s">
        <v>3070</v>
      </c>
      <c r="C210">
        <v>1</v>
      </c>
      <c r="D210" t="s">
        <v>1517</v>
      </c>
    </row>
    <row r="211" spans="1:4" x14ac:dyDescent="0.2">
      <c r="A211" t="s">
        <v>3069</v>
      </c>
      <c r="B211" t="s">
        <v>3068</v>
      </c>
      <c r="C211">
        <v>1</v>
      </c>
      <c r="D211" t="s">
        <v>1517</v>
      </c>
    </row>
    <row r="212" spans="1:4" x14ac:dyDescent="0.2">
      <c r="A212" t="s">
        <v>20</v>
      </c>
      <c r="B212" t="s">
        <v>3067</v>
      </c>
      <c r="C212">
        <v>3</v>
      </c>
      <c r="D212" t="s">
        <v>1540</v>
      </c>
    </row>
    <row r="213" spans="1:4" x14ac:dyDescent="0.2">
      <c r="A213" t="s">
        <v>3066</v>
      </c>
      <c r="B213" t="s">
        <v>3065</v>
      </c>
      <c r="C213">
        <v>1</v>
      </c>
      <c r="D213" t="s">
        <v>1517</v>
      </c>
    </row>
    <row r="214" spans="1:4" x14ac:dyDescent="0.2">
      <c r="A214" t="s">
        <v>3064</v>
      </c>
      <c r="B214" t="s">
        <v>3063</v>
      </c>
      <c r="C214">
        <v>1</v>
      </c>
      <c r="D214" t="s">
        <v>1517</v>
      </c>
    </row>
    <row r="215" spans="1:4" x14ac:dyDescent="0.2">
      <c r="A215" t="s">
        <v>3062</v>
      </c>
      <c r="B215" t="s">
        <v>3061</v>
      </c>
      <c r="C215">
        <v>1</v>
      </c>
      <c r="D215" t="s">
        <v>1517</v>
      </c>
    </row>
    <row r="216" spans="1:4" x14ac:dyDescent="0.2">
      <c r="A216" t="s">
        <v>3060</v>
      </c>
      <c r="B216" t="s">
        <v>3059</v>
      </c>
      <c r="C216">
        <v>1</v>
      </c>
      <c r="D216" t="s">
        <v>1517</v>
      </c>
    </row>
    <row r="217" spans="1:4" x14ac:dyDescent="0.2">
      <c r="A217" t="s">
        <v>3058</v>
      </c>
      <c r="B217" t="s">
        <v>3057</v>
      </c>
      <c r="C217">
        <v>3</v>
      </c>
      <c r="D217" t="s">
        <v>1540</v>
      </c>
    </row>
    <row r="218" spans="1:4" x14ac:dyDescent="0.2">
      <c r="A218" t="s">
        <v>3056</v>
      </c>
      <c r="B218" t="s">
        <v>3055</v>
      </c>
      <c r="C218">
        <v>1</v>
      </c>
      <c r="D218" t="s">
        <v>1517</v>
      </c>
    </row>
    <row r="219" spans="1:4" x14ac:dyDescent="0.2">
      <c r="A219" t="s">
        <v>376</v>
      </c>
      <c r="B219" t="s">
        <v>3054</v>
      </c>
      <c r="C219">
        <v>12</v>
      </c>
      <c r="D219" t="s">
        <v>1609</v>
      </c>
    </row>
    <row r="220" spans="1:4" x14ac:dyDescent="0.2">
      <c r="A220" t="s">
        <v>3053</v>
      </c>
      <c r="B220" t="s">
        <v>3052</v>
      </c>
      <c r="C220">
        <v>7</v>
      </c>
      <c r="D220" t="s">
        <v>1715</v>
      </c>
    </row>
    <row r="221" spans="1:4" x14ac:dyDescent="0.2">
      <c r="A221" t="s">
        <v>3051</v>
      </c>
      <c r="B221" t="s">
        <v>3050</v>
      </c>
      <c r="C221">
        <v>25</v>
      </c>
      <c r="D221" t="s">
        <v>1511</v>
      </c>
    </row>
    <row r="222" spans="1:4" x14ac:dyDescent="0.2">
      <c r="A222" t="s">
        <v>3049</v>
      </c>
      <c r="B222" t="s">
        <v>3048</v>
      </c>
      <c r="C222">
        <v>25</v>
      </c>
      <c r="D222" t="s">
        <v>1511</v>
      </c>
    </row>
    <row r="223" spans="1:4" x14ac:dyDescent="0.2">
      <c r="A223" t="s">
        <v>3047</v>
      </c>
      <c r="B223" t="s">
        <v>3046</v>
      </c>
      <c r="C223">
        <v>18</v>
      </c>
      <c r="D223" t="s">
        <v>1962</v>
      </c>
    </row>
    <row r="224" spans="1:4" x14ac:dyDescent="0.2">
      <c r="A224" t="s">
        <v>3045</v>
      </c>
      <c r="B224" t="s">
        <v>3044</v>
      </c>
      <c r="C224">
        <v>3</v>
      </c>
      <c r="D224" t="s">
        <v>1540</v>
      </c>
    </row>
    <row r="225" spans="1:4" x14ac:dyDescent="0.2">
      <c r="A225" t="s">
        <v>3043</v>
      </c>
      <c r="B225" t="s">
        <v>3042</v>
      </c>
      <c r="C225">
        <v>10</v>
      </c>
      <c r="D225" t="s">
        <v>1570</v>
      </c>
    </row>
    <row r="226" spans="1:4" x14ac:dyDescent="0.2">
      <c r="A226" t="s">
        <v>3041</v>
      </c>
      <c r="B226" t="s">
        <v>3040</v>
      </c>
      <c r="C226">
        <v>1</v>
      </c>
      <c r="D226" t="s">
        <v>1517</v>
      </c>
    </row>
    <row r="227" spans="1:4" x14ac:dyDescent="0.2">
      <c r="A227" t="s">
        <v>3039</v>
      </c>
      <c r="B227" t="s">
        <v>3038</v>
      </c>
      <c r="C227">
        <v>24</v>
      </c>
      <c r="D227" t="s">
        <v>1781</v>
      </c>
    </row>
    <row r="228" spans="1:4" x14ac:dyDescent="0.2">
      <c r="A228" t="s">
        <v>3037</v>
      </c>
      <c r="B228" t="s">
        <v>3036</v>
      </c>
      <c r="C228">
        <v>1</v>
      </c>
      <c r="D228" t="s">
        <v>1517</v>
      </c>
    </row>
    <row r="229" spans="1:4" x14ac:dyDescent="0.2">
      <c r="A229" t="s">
        <v>3035</v>
      </c>
      <c r="B229" t="s">
        <v>3034</v>
      </c>
      <c r="C229">
        <v>1</v>
      </c>
      <c r="D229" t="s">
        <v>1517</v>
      </c>
    </row>
    <row r="230" spans="1:4" x14ac:dyDescent="0.2">
      <c r="A230" t="s">
        <v>3033</v>
      </c>
      <c r="B230" t="s">
        <v>3032</v>
      </c>
      <c r="C230">
        <v>1</v>
      </c>
      <c r="D230" t="s">
        <v>1517</v>
      </c>
    </row>
    <row r="231" spans="1:4" x14ac:dyDescent="0.2">
      <c r="A231" t="s">
        <v>3031</v>
      </c>
      <c r="B231" t="s">
        <v>3030</v>
      </c>
      <c r="C231">
        <v>1</v>
      </c>
      <c r="D231" t="s">
        <v>1517</v>
      </c>
    </row>
    <row r="232" spans="1:4" x14ac:dyDescent="0.2">
      <c r="A232" t="s">
        <v>3029</v>
      </c>
      <c r="B232" t="s">
        <v>3028</v>
      </c>
      <c r="C232">
        <v>3</v>
      </c>
      <c r="D232" t="s">
        <v>1540</v>
      </c>
    </row>
    <row r="233" spans="1:4" x14ac:dyDescent="0.2">
      <c r="A233" t="s">
        <v>3027</v>
      </c>
      <c r="B233" t="s">
        <v>3026</v>
      </c>
      <c r="C233">
        <v>1</v>
      </c>
      <c r="D233" t="s">
        <v>1517</v>
      </c>
    </row>
    <row r="234" spans="1:4" x14ac:dyDescent="0.2">
      <c r="A234" t="s">
        <v>3025</v>
      </c>
      <c r="B234" t="s">
        <v>3024</v>
      </c>
      <c r="C234">
        <v>1</v>
      </c>
      <c r="D234" t="s">
        <v>1517</v>
      </c>
    </row>
    <row r="235" spans="1:4" x14ac:dyDescent="0.2">
      <c r="A235" t="s">
        <v>3023</v>
      </c>
      <c r="B235" t="s">
        <v>3022</v>
      </c>
      <c r="C235">
        <v>1</v>
      </c>
      <c r="D235" t="s">
        <v>1517</v>
      </c>
    </row>
    <row r="236" spans="1:4" x14ac:dyDescent="0.2">
      <c r="A236" t="s">
        <v>1140</v>
      </c>
      <c r="B236" t="s">
        <v>3021</v>
      </c>
      <c r="C236">
        <v>21</v>
      </c>
      <c r="D236" t="s">
        <v>1579</v>
      </c>
    </row>
    <row r="237" spans="1:4" x14ac:dyDescent="0.2">
      <c r="A237" t="s">
        <v>3020</v>
      </c>
      <c r="B237" t="s">
        <v>3019</v>
      </c>
      <c r="C237">
        <v>1</v>
      </c>
      <c r="D237" t="s">
        <v>1517</v>
      </c>
    </row>
    <row r="238" spans="1:4" x14ac:dyDescent="0.2">
      <c r="A238" t="s">
        <v>3018</v>
      </c>
      <c r="B238" t="s">
        <v>3017</v>
      </c>
      <c r="C238">
        <v>3</v>
      </c>
      <c r="D238" t="s">
        <v>1540</v>
      </c>
    </row>
    <row r="239" spans="1:4" x14ac:dyDescent="0.2">
      <c r="A239" t="s">
        <v>3016</v>
      </c>
      <c r="B239" t="s">
        <v>3015</v>
      </c>
      <c r="C239">
        <v>3</v>
      </c>
      <c r="D239" t="s">
        <v>1540</v>
      </c>
    </row>
    <row r="240" spans="1:4" x14ac:dyDescent="0.2">
      <c r="A240" t="s">
        <v>3014</v>
      </c>
      <c r="B240" t="s">
        <v>3013</v>
      </c>
      <c r="C240">
        <v>3</v>
      </c>
      <c r="D240" t="s">
        <v>1540</v>
      </c>
    </row>
    <row r="241" spans="1:4" x14ac:dyDescent="0.2">
      <c r="A241" t="s">
        <v>3012</v>
      </c>
      <c r="B241" t="s">
        <v>3011</v>
      </c>
      <c r="C241">
        <v>3</v>
      </c>
      <c r="D241" t="s">
        <v>1540</v>
      </c>
    </row>
    <row r="242" spans="1:4" x14ac:dyDescent="0.2">
      <c r="A242" t="s">
        <v>3010</v>
      </c>
      <c r="B242" t="s">
        <v>3009</v>
      </c>
      <c r="C242">
        <v>3</v>
      </c>
      <c r="D242" t="s">
        <v>1540</v>
      </c>
    </row>
    <row r="243" spans="1:4" x14ac:dyDescent="0.2">
      <c r="A243" t="s">
        <v>3008</v>
      </c>
      <c r="B243" t="s">
        <v>3007</v>
      </c>
      <c r="C243">
        <v>3</v>
      </c>
      <c r="D243" t="s">
        <v>1540</v>
      </c>
    </row>
    <row r="244" spans="1:4" x14ac:dyDescent="0.2">
      <c r="A244" t="s">
        <v>3006</v>
      </c>
      <c r="B244" t="s">
        <v>3005</v>
      </c>
      <c r="C244">
        <v>3</v>
      </c>
      <c r="D244" t="s">
        <v>1540</v>
      </c>
    </row>
    <row r="245" spans="1:4" x14ac:dyDescent="0.2">
      <c r="A245" t="s">
        <v>3004</v>
      </c>
      <c r="B245" t="s">
        <v>3003</v>
      </c>
      <c r="C245">
        <v>4</v>
      </c>
      <c r="D245" t="s">
        <v>1932</v>
      </c>
    </row>
    <row r="246" spans="1:4" x14ac:dyDescent="0.2">
      <c r="A246" t="s">
        <v>3002</v>
      </c>
      <c r="B246" t="s">
        <v>3001</v>
      </c>
      <c r="C246">
        <v>3</v>
      </c>
      <c r="D246" t="s">
        <v>1540</v>
      </c>
    </row>
    <row r="247" spans="1:4" x14ac:dyDescent="0.2">
      <c r="A247" t="s">
        <v>3000</v>
      </c>
      <c r="B247" t="s">
        <v>2999</v>
      </c>
      <c r="C247">
        <v>21</v>
      </c>
      <c r="D247" t="s">
        <v>1579</v>
      </c>
    </row>
    <row r="248" spans="1:4" x14ac:dyDescent="0.2">
      <c r="A248" t="s">
        <v>2998</v>
      </c>
      <c r="B248" t="s">
        <v>2997</v>
      </c>
      <c r="C248">
        <v>1</v>
      </c>
      <c r="D248" t="s">
        <v>1517</v>
      </c>
    </row>
    <row r="249" spans="1:4" x14ac:dyDescent="0.2">
      <c r="A249" t="s">
        <v>2996</v>
      </c>
      <c r="B249" t="s">
        <v>2995</v>
      </c>
      <c r="C249">
        <v>1</v>
      </c>
      <c r="D249" t="s">
        <v>1517</v>
      </c>
    </row>
    <row r="250" spans="1:4" x14ac:dyDescent="0.2">
      <c r="A250" t="s">
        <v>2994</v>
      </c>
      <c r="B250" t="s">
        <v>2993</v>
      </c>
      <c r="C250">
        <v>3</v>
      </c>
      <c r="D250" t="s">
        <v>1540</v>
      </c>
    </row>
    <row r="251" spans="1:4" x14ac:dyDescent="0.2">
      <c r="A251" t="s">
        <v>2992</v>
      </c>
      <c r="B251" t="s">
        <v>2991</v>
      </c>
      <c r="C251">
        <v>1</v>
      </c>
      <c r="D251" t="s">
        <v>1517</v>
      </c>
    </row>
    <row r="252" spans="1:4" x14ac:dyDescent="0.2">
      <c r="A252" t="s">
        <v>2990</v>
      </c>
      <c r="B252" t="s">
        <v>2989</v>
      </c>
      <c r="C252">
        <v>1</v>
      </c>
      <c r="D252" t="s">
        <v>1517</v>
      </c>
    </row>
    <row r="253" spans="1:4" x14ac:dyDescent="0.2">
      <c r="A253" t="s">
        <v>2988</v>
      </c>
      <c r="B253" t="s">
        <v>2987</v>
      </c>
      <c r="C253">
        <v>1</v>
      </c>
      <c r="D253" t="s">
        <v>1517</v>
      </c>
    </row>
    <row r="254" spans="1:4" x14ac:dyDescent="0.2">
      <c r="A254" t="s">
        <v>1425</v>
      </c>
      <c r="B254" t="s">
        <v>2986</v>
      </c>
      <c r="C254">
        <v>25</v>
      </c>
      <c r="D254" t="s">
        <v>1511</v>
      </c>
    </row>
    <row r="255" spans="1:4" x14ac:dyDescent="0.2">
      <c r="A255" t="s">
        <v>2985</v>
      </c>
      <c r="B255" t="s">
        <v>2984</v>
      </c>
      <c r="C255">
        <v>13</v>
      </c>
      <c r="D255" t="s">
        <v>2983</v>
      </c>
    </row>
    <row r="256" spans="1:4" x14ac:dyDescent="0.2">
      <c r="A256" t="s">
        <v>1404</v>
      </c>
      <c r="B256" t="s">
        <v>2982</v>
      </c>
      <c r="C256">
        <v>1</v>
      </c>
      <c r="D256" t="s">
        <v>1517</v>
      </c>
    </row>
    <row r="257" spans="1:4" x14ac:dyDescent="0.2">
      <c r="A257" t="s">
        <v>2981</v>
      </c>
      <c r="B257" t="s">
        <v>2980</v>
      </c>
      <c r="C257">
        <v>25</v>
      </c>
      <c r="D257" t="s">
        <v>1511</v>
      </c>
    </row>
    <row r="258" spans="1:4" x14ac:dyDescent="0.2">
      <c r="A258" t="s">
        <v>2979</v>
      </c>
      <c r="B258" t="s">
        <v>2978</v>
      </c>
      <c r="C258">
        <v>1</v>
      </c>
      <c r="D258" t="s">
        <v>1517</v>
      </c>
    </row>
    <row r="259" spans="1:4" x14ac:dyDescent="0.2">
      <c r="A259" t="s">
        <v>2977</v>
      </c>
      <c r="B259" t="s">
        <v>2976</v>
      </c>
      <c r="C259">
        <v>1</v>
      </c>
      <c r="D259" t="s">
        <v>1517</v>
      </c>
    </row>
    <row r="260" spans="1:4" x14ac:dyDescent="0.2">
      <c r="A260" t="s">
        <v>2975</v>
      </c>
      <c r="B260" t="s">
        <v>2974</v>
      </c>
      <c r="C260">
        <v>25</v>
      </c>
      <c r="D260" t="s">
        <v>1511</v>
      </c>
    </row>
    <row r="261" spans="1:4" x14ac:dyDescent="0.2">
      <c r="A261" t="s">
        <v>2973</v>
      </c>
      <c r="B261" t="s">
        <v>2972</v>
      </c>
      <c r="C261">
        <v>25</v>
      </c>
      <c r="D261" t="s">
        <v>1511</v>
      </c>
    </row>
    <row r="262" spans="1:4" x14ac:dyDescent="0.2">
      <c r="A262" t="s">
        <v>2971</v>
      </c>
      <c r="B262" t="s">
        <v>2970</v>
      </c>
      <c r="C262">
        <v>25</v>
      </c>
      <c r="D262" t="s">
        <v>1511</v>
      </c>
    </row>
    <row r="263" spans="1:4" x14ac:dyDescent="0.2">
      <c r="A263" t="s">
        <v>2969</v>
      </c>
      <c r="B263" t="s">
        <v>2968</v>
      </c>
      <c r="C263">
        <v>17</v>
      </c>
      <c r="D263" t="s">
        <v>1649</v>
      </c>
    </row>
    <row r="264" spans="1:4" x14ac:dyDescent="0.2">
      <c r="A264" t="s">
        <v>2967</v>
      </c>
      <c r="B264" t="s">
        <v>2966</v>
      </c>
      <c r="C264">
        <v>1</v>
      </c>
      <c r="D264" t="s">
        <v>1517</v>
      </c>
    </row>
    <row r="265" spans="1:4" x14ac:dyDescent="0.2">
      <c r="A265" t="s">
        <v>2965</v>
      </c>
      <c r="B265" t="s">
        <v>2964</v>
      </c>
      <c r="C265">
        <v>3</v>
      </c>
      <c r="D265" t="s">
        <v>1540</v>
      </c>
    </row>
    <row r="266" spans="1:4" x14ac:dyDescent="0.2">
      <c r="A266" t="s">
        <v>2963</v>
      </c>
      <c r="B266" t="s">
        <v>2962</v>
      </c>
      <c r="C266">
        <v>1</v>
      </c>
      <c r="D266" t="s">
        <v>1517</v>
      </c>
    </row>
    <row r="267" spans="1:4" x14ac:dyDescent="0.2">
      <c r="A267" t="s">
        <v>2961</v>
      </c>
      <c r="B267" t="s">
        <v>2960</v>
      </c>
      <c r="C267">
        <v>1</v>
      </c>
      <c r="D267" t="s">
        <v>1517</v>
      </c>
    </row>
    <row r="268" spans="1:4" x14ac:dyDescent="0.2">
      <c r="A268" t="s">
        <v>2959</v>
      </c>
      <c r="B268" t="s">
        <v>2958</v>
      </c>
      <c r="C268">
        <v>1</v>
      </c>
      <c r="D268" t="s">
        <v>1517</v>
      </c>
    </row>
    <row r="269" spans="1:4" x14ac:dyDescent="0.2">
      <c r="A269" t="s">
        <v>2957</v>
      </c>
      <c r="B269" t="s">
        <v>2956</v>
      </c>
      <c r="C269">
        <v>1</v>
      </c>
      <c r="D269" t="s">
        <v>1517</v>
      </c>
    </row>
    <row r="270" spans="1:4" x14ac:dyDescent="0.2">
      <c r="A270" t="s">
        <v>2955</v>
      </c>
      <c r="B270" t="s">
        <v>2954</v>
      </c>
      <c r="C270">
        <v>1</v>
      </c>
      <c r="D270" t="s">
        <v>1517</v>
      </c>
    </row>
    <row r="271" spans="1:4" x14ac:dyDescent="0.2">
      <c r="A271" t="s">
        <v>2953</v>
      </c>
      <c r="B271" t="s">
        <v>2952</v>
      </c>
      <c r="C271">
        <v>14</v>
      </c>
      <c r="D271" t="s">
        <v>1555</v>
      </c>
    </row>
    <row r="272" spans="1:4" x14ac:dyDescent="0.2">
      <c r="A272" t="s">
        <v>2951</v>
      </c>
      <c r="B272" t="s">
        <v>2950</v>
      </c>
      <c r="C272">
        <v>11</v>
      </c>
      <c r="D272" t="s">
        <v>1893</v>
      </c>
    </row>
    <row r="273" spans="1:4" x14ac:dyDescent="0.2">
      <c r="A273" t="s">
        <v>2949</v>
      </c>
      <c r="B273" t="s">
        <v>2948</v>
      </c>
      <c r="C273">
        <v>21</v>
      </c>
      <c r="D273" t="s">
        <v>1579</v>
      </c>
    </row>
    <row r="274" spans="1:4" x14ac:dyDescent="0.2">
      <c r="A274" t="s">
        <v>2947</v>
      </c>
      <c r="B274" t="s">
        <v>2946</v>
      </c>
      <c r="C274">
        <v>21</v>
      </c>
      <c r="D274" t="s">
        <v>1579</v>
      </c>
    </row>
    <row r="275" spans="1:4" x14ac:dyDescent="0.2">
      <c r="A275" t="s">
        <v>2945</v>
      </c>
      <c r="B275" t="s">
        <v>2944</v>
      </c>
      <c r="C275">
        <v>23</v>
      </c>
      <c r="D275" t="s">
        <v>2910</v>
      </c>
    </row>
    <row r="276" spans="1:4" x14ac:dyDescent="0.2">
      <c r="A276" t="s">
        <v>2943</v>
      </c>
      <c r="B276" t="s">
        <v>2942</v>
      </c>
      <c r="C276">
        <v>21</v>
      </c>
      <c r="D276" t="s">
        <v>1579</v>
      </c>
    </row>
    <row r="277" spans="1:4" x14ac:dyDescent="0.2">
      <c r="A277" t="s">
        <v>2552</v>
      </c>
      <c r="B277" t="s">
        <v>2941</v>
      </c>
      <c r="C277">
        <v>1</v>
      </c>
      <c r="D277" t="s">
        <v>1517</v>
      </c>
    </row>
    <row r="278" spans="1:4" x14ac:dyDescent="0.2">
      <c r="A278" t="s">
        <v>2940</v>
      </c>
      <c r="B278" t="s">
        <v>2939</v>
      </c>
      <c r="C278">
        <v>25</v>
      </c>
      <c r="D278" t="s">
        <v>1511</v>
      </c>
    </row>
    <row r="279" spans="1:4" x14ac:dyDescent="0.2">
      <c r="A279" t="s">
        <v>2938</v>
      </c>
      <c r="B279" t="s">
        <v>2937</v>
      </c>
      <c r="C279">
        <v>23</v>
      </c>
      <c r="D279" t="s">
        <v>2910</v>
      </c>
    </row>
    <row r="280" spans="1:4" x14ac:dyDescent="0.2">
      <c r="A280" t="s">
        <v>2936</v>
      </c>
      <c r="B280" t="s">
        <v>2935</v>
      </c>
      <c r="C280">
        <v>19</v>
      </c>
      <c r="D280" t="s">
        <v>1535</v>
      </c>
    </row>
    <row r="281" spans="1:4" x14ac:dyDescent="0.2">
      <c r="A281" t="s">
        <v>2934</v>
      </c>
      <c r="B281" t="s">
        <v>2933</v>
      </c>
      <c r="C281">
        <v>2</v>
      </c>
      <c r="D281" t="s">
        <v>1529</v>
      </c>
    </row>
    <row r="282" spans="1:4" x14ac:dyDescent="0.2">
      <c r="A282" t="s">
        <v>2932</v>
      </c>
      <c r="B282" t="s">
        <v>2931</v>
      </c>
      <c r="C282">
        <v>2</v>
      </c>
      <c r="D282" t="s">
        <v>1529</v>
      </c>
    </row>
    <row r="283" spans="1:4" x14ac:dyDescent="0.2">
      <c r="A283" t="s">
        <v>2930</v>
      </c>
      <c r="B283" t="s">
        <v>2929</v>
      </c>
      <c r="C283">
        <v>15</v>
      </c>
      <c r="D283" t="s">
        <v>1618</v>
      </c>
    </row>
    <row r="284" spans="1:4" x14ac:dyDescent="0.2">
      <c r="A284" t="s">
        <v>1191</v>
      </c>
      <c r="B284" t="s">
        <v>2928</v>
      </c>
      <c r="C284">
        <v>1</v>
      </c>
      <c r="D284" t="s">
        <v>1517</v>
      </c>
    </row>
    <row r="285" spans="1:4" x14ac:dyDescent="0.2">
      <c r="A285" t="s">
        <v>2927</v>
      </c>
      <c r="B285" t="s">
        <v>2926</v>
      </c>
      <c r="C285">
        <v>14</v>
      </c>
      <c r="D285" t="s">
        <v>1555</v>
      </c>
    </row>
    <row r="286" spans="1:4" x14ac:dyDescent="0.2">
      <c r="A286" t="s">
        <v>2535</v>
      </c>
      <c r="B286" t="s">
        <v>2534</v>
      </c>
      <c r="C286">
        <v>1</v>
      </c>
      <c r="D286" t="s">
        <v>1517</v>
      </c>
    </row>
    <row r="287" spans="1:4" x14ac:dyDescent="0.2">
      <c r="A287" t="s">
        <v>2925</v>
      </c>
      <c r="B287" t="s">
        <v>2924</v>
      </c>
      <c r="C287">
        <v>1</v>
      </c>
      <c r="D287" t="s">
        <v>1517</v>
      </c>
    </row>
    <row r="288" spans="1:4" x14ac:dyDescent="0.2">
      <c r="A288" t="s">
        <v>2923</v>
      </c>
      <c r="B288" t="s">
        <v>2922</v>
      </c>
      <c r="C288">
        <v>1</v>
      </c>
      <c r="D288" t="s">
        <v>1517</v>
      </c>
    </row>
    <row r="289" spans="1:4" x14ac:dyDescent="0.2">
      <c r="A289" t="s">
        <v>1142</v>
      </c>
      <c r="B289" t="s">
        <v>2921</v>
      </c>
      <c r="C289">
        <v>21</v>
      </c>
      <c r="D289" t="s">
        <v>1579</v>
      </c>
    </row>
    <row r="290" spans="1:4" x14ac:dyDescent="0.2">
      <c r="A290" t="s">
        <v>2920</v>
      </c>
      <c r="B290" t="s">
        <v>2919</v>
      </c>
      <c r="C290">
        <v>3</v>
      </c>
      <c r="D290" t="s">
        <v>1540</v>
      </c>
    </row>
    <row r="291" spans="1:4" x14ac:dyDescent="0.2">
      <c r="A291" t="s">
        <v>2918</v>
      </c>
      <c r="B291" t="s">
        <v>2917</v>
      </c>
      <c r="C291">
        <v>3</v>
      </c>
      <c r="D291" t="s">
        <v>1540</v>
      </c>
    </row>
    <row r="292" spans="1:4" x14ac:dyDescent="0.2">
      <c r="A292" t="s">
        <v>2916</v>
      </c>
      <c r="B292" t="s">
        <v>2915</v>
      </c>
      <c r="C292">
        <v>25</v>
      </c>
      <c r="D292" t="s">
        <v>1511</v>
      </c>
    </row>
    <row r="293" spans="1:4" x14ac:dyDescent="0.2">
      <c r="A293" t="s">
        <v>2914</v>
      </c>
      <c r="B293" t="s">
        <v>2913</v>
      </c>
      <c r="C293">
        <v>1</v>
      </c>
      <c r="D293" t="s">
        <v>1517</v>
      </c>
    </row>
    <row r="294" spans="1:4" x14ac:dyDescent="0.2">
      <c r="A294" t="s">
        <v>2912</v>
      </c>
      <c r="B294" t="s">
        <v>2911</v>
      </c>
      <c r="C294">
        <v>23</v>
      </c>
      <c r="D294" t="s">
        <v>2910</v>
      </c>
    </row>
    <row r="295" spans="1:4" x14ac:dyDescent="0.2">
      <c r="A295" t="s">
        <v>2909</v>
      </c>
      <c r="B295" t="s">
        <v>2908</v>
      </c>
      <c r="C295">
        <v>1</v>
      </c>
      <c r="D295" t="s">
        <v>1517</v>
      </c>
    </row>
    <row r="296" spans="1:4" x14ac:dyDescent="0.2">
      <c r="A296" t="s">
        <v>987</v>
      </c>
      <c r="B296" t="s">
        <v>2907</v>
      </c>
      <c r="C296">
        <v>1</v>
      </c>
      <c r="D296" t="s">
        <v>1517</v>
      </c>
    </row>
    <row r="297" spans="1:4" x14ac:dyDescent="0.2">
      <c r="A297" t="s">
        <v>988</v>
      </c>
      <c r="B297" t="s">
        <v>2906</v>
      </c>
      <c r="C297">
        <v>1</v>
      </c>
      <c r="D297" t="s">
        <v>1517</v>
      </c>
    </row>
    <row r="298" spans="1:4" x14ac:dyDescent="0.2">
      <c r="A298" t="s">
        <v>986</v>
      </c>
      <c r="B298" t="s">
        <v>2905</v>
      </c>
      <c r="C298">
        <v>1</v>
      </c>
      <c r="D298" t="s">
        <v>1517</v>
      </c>
    </row>
    <row r="299" spans="1:4" x14ac:dyDescent="0.2">
      <c r="A299" t="s">
        <v>2904</v>
      </c>
      <c r="B299" t="s">
        <v>2903</v>
      </c>
      <c r="C299">
        <v>1</v>
      </c>
      <c r="D299" t="s">
        <v>1517</v>
      </c>
    </row>
    <row r="300" spans="1:4" x14ac:dyDescent="0.2">
      <c r="A300" t="s">
        <v>2902</v>
      </c>
      <c r="B300" t="s">
        <v>2901</v>
      </c>
      <c r="C300">
        <v>1</v>
      </c>
      <c r="D300" t="s">
        <v>1517</v>
      </c>
    </row>
    <row r="301" spans="1:4" x14ac:dyDescent="0.2">
      <c r="A301" t="s">
        <v>2900</v>
      </c>
      <c r="B301" t="s">
        <v>2899</v>
      </c>
      <c r="C301">
        <v>14</v>
      </c>
      <c r="D301" t="s">
        <v>1555</v>
      </c>
    </row>
    <row r="302" spans="1:4" x14ac:dyDescent="0.2">
      <c r="A302" t="s">
        <v>1268</v>
      </c>
      <c r="B302" t="s">
        <v>2898</v>
      </c>
      <c r="C302">
        <v>24</v>
      </c>
      <c r="D302" t="s">
        <v>1781</v>
      </c>
    </row>
    <row r="303" spans="1:4" x14ac:dyDescent="0.2">
      <c r="A303" t="s">
        <v>1449</v>
      </c>
      <c r="B303" t="s">
        <v>2897</v>
      </c>
      <c r="C303">
        <v>1</v>
      </c>
      <c r="D303" t="s">
        <v>1517</v>
      </c>
    </row>
    <row r="304" spans="1:4" x14ac:dyDescent="0.2">
      <c r="A304" t="s">
        <v>2896</v>
      </c>
      <c r="B304" t="s">
        <v>2895</v>
      </c>
      <c r="C304">
        <v>3</v>
      </c>
      <c r="D304" t="s">
        <v>1540</v>
      </c>
    </row>
    <row r="305" spans="1:4" x14ac:dyDescent="0.2">
      <c r="A305" t="s">
        <v>2894</v>
      </c>
      <c r="B305" t="s">
        <v>2893</v>
      </c>
      <c r="C305">
        <v>2</v>
      </c>
      <c r="D305" t="s">
        <v>1529</v>
      </c>
    </row>
    <row r="306" spans="1:4" x14ac:dyDescent="0.2">
      <c r="A306" t="s">
        <v>911</v>
      </c>
      <c r="B306" t="s">
        <v>2892</v>
      </c>
      <c r="C306">
        <v>1</v>
      </c>
      <c r="D306" t="s">
        <v>1517</v>
      </c>
    </row>
    <row r="307" spans="1:4" x14ac:dyDescent="0.2">
      <c r="A307" t="s">
        <v>912</v>
      </c>
      <c r="B307" t="s">
        <v>2891</v>
      </c>
      <c r="C307">
        <v>1</v>
      </c>
      <c r="D307" t="s">
        <v>1517</v>
      </c>
    </row>
    <row r="308" spans="1:4" x14ac:dyDescent="0.2">
      <c r="A308" t="s">
        <v>2890</v>
      </c>
      <c r="B308" t="s">
        <v>2889</v>
      </c>
      <c r="C308">
        <v>25</v>
      </c>
      <c r="D308" t="s">
        <v>1511</v>
      </c>
    </row>
    <row r="309" spans="1:4" x14ac:dyDescent="0.2">
      <c r="A309" t="s">
        <v>2888</v>
      </c>
      <c r="B309" t="s">
        <v>2887</v>
      </c>
      <c r="C309">
        <v>7</v>
      </c>
      <c r="D309" t="s">
        <v>1715</v>
      </c>
    </row>
    <row r="310" spans="1:4" x14ac:dyDescent="0.2">
      <c r="A310" t="s">
        <v>2886</v>
      </c>
      <c r="B310" t="s">
        <v>2885</v>
      </c>
      <c r="C310">
        <v>21</v>
      </c>
      <c r="D310" t="s">
        <v>1579</v>
      </c>
    </row>
    <row r="311" spans="1:4" x14ac:dyDescent="0.2">
      <c r="A311" t="s">
        <v>119</v>
      </c>
      <c r="B311" t="s">
        <v>2884</v>
      </c>
      <c r="C311">
        <v>1</v>
      </c>
      <c r="D311" t="s">
        <v>1517</v>
      </c>
    </row>
    <row r="312" spans="1:4" x14ac:dyDescent="0.2">
      <c r="A312" t="s">
        <v>2883</v>
      </c>
      <c r="B312" t="s">
        <v>2882</v>
      </c>
      <c r="C312">
        <v>1</v>
      </c>
      <c r="D312" t="s">
        <v>1517</v>
      </c>
    </row>
    <row r="313" spans="1:4" x14ac:dyDescent="0.2">
      <c r="A313" t="s">
        <v>2881</v>
      </c>
      <c r="B313" t="s">
        <v>2880</v>
      </c>
      <c r="C313">
        <v>25</v>
      </c>
      <c r="D313" t="s">
        <v>1511</v>
      </c>
    </row>
    <row r="314" spans="1:4" x14ac:dyDescent="0.2">
      <c r="A314" t="s">
        <v>2879</v>
      </c>
      <c r="B314" t="s">
        <v>2878</v>
      </c>
      <c r="C314">
        <v>21</v>
      </c>
      <c r="D314" t="s">
        <v>1579</v>
      </c>
    </row>
    <row r="315" spans="1:4" x14ac:dyDescent="0.2">
      <c r="A315" t="s">
        <v>2877</v>
      </c>
      <c r="B315" t="s">
        <v>2876</v>
      </c>
      <c r="C315">
        <v>1</v>
      </c>
      <c r="D315" t="s">
        <v>1517</v>
      </c>
    </row>
    <row r="316" spans="1:4" x14ac:dyDescent="0.2">
      <c r="A316" t="s">
        <v>2875</v>
      </c>
      <c r="B316" t="s">
        <v>2874</v>
      </c>
      <c r="C316">
        <v>1</v>
      </c>
      <c r="D316" t="s">
        <v>1517</v>
      </c>
    </row>
    <row r="317" spans="1:4" x14ac:dyDescent="0.2">
      <c r="A317" t="s">
        <v>2873</v>
      </c>
      <c r="B317" t="s">
        <v>2872</v>
      </c>
      <c r="C317">
        <v>12</v>
      </c>
      <c r="D317" t="s">
        <v>1609</v>
      </c>
    </row>
    <row r="318" spans="1:4" x14ac:dyDescent="0.2">
      <c r="A318" t="s">
        <v>2871</v>
      </c>
      <c r="B318" t="s">
        <v>2870</v>
      </c>
      <c r="C318">
        <v>2</v>
      </c>
      <c r="D318" t="s">
        <v>1529</v>
      </c>
    </row>
    <row r="319" spans="1:4" x14ac:dyDescent="0.2">
      <c r="A319" t="s">
        <v>2869</v>
      </c>
      <c r="B319" t="s">
        <v>2868</v>
      </c>
      <c r="C319">
        <v>1</v>
      </c>
      <c r="D319" t="s">
        <v>1517</v>
      </c>
    </row>
    <row r="320" spans="1:4" x14ac:dyDescent="0.2">
      <c r="A320" t="s">
        <v>2867</v>
      </c>
      <c r="B320" t="s">
        <v>2866</v>
      </c>
      <c r="C320">
        <v>2</v>
      </c>
      <c r="D320" t="s">
        <v>1529</v>
      </c>
    </row>
    <row r="321" spans="1:4" x14ac:dyDescent="0.2">
      <c r="A321" t="s">
        <v>1344</v>
      </c>
      <c r="B321" t="s">
        <v>2865</v>
      </c>
      <c r="C321">
        <v>3</v>
      </c>
      <c r="D321" t="s">
        <v>1540</v>
      </c>
    </row>
    <row r="322" spans="1:4" x14ac:dyDescent="0.2">
      <c r="A322" t="s">
        <v>2864</v>
      </c>
      <c r="B322" t="s">
        <v>2863</v>
      </c>
      <c r="C322">
        <v>1</v>
      </c>
      <c r="D322" t="s">
        <v>1517</v>
      </c>
    </row>
    <row r="323" spans="1:4" x14ac:dyDescent="0.2">
      <c r="A323" t="s">
        <v>2862</v>
      </c>
      <c r="B323" t="s">
        <v>2861</v>
      </c>
      <c r="C323">
        <v>25</v>
      </c>
      <c r="D323" t="s">
        <v>1511</v>
      </c>
    </row>
    <row r="324" spans="1:4" x14ac:dyDescent="0.2">
      <c r="A324" t="s">
        <v>2860</v>
      </c>
      <c r="B324" t="s">
        <v>2859</v>
      </c>
      <c r="C324">
        <v>25</v>
      </c>
      <c r="D324" t="s">
        <v>1511</v>
      </c>
    </row>
    <row r="325" spans="1:4" x14ac:dyDescent="0.2">
      <c r="A325" t="s">
        <v>2858</v>
      </c>
      <c r="B325" t="s">
        <v>2857</v>
      </c>
      <c r="C325">
        <v>1</v>
      </c>
      <c r="D325" t="s">
        <v>1517</v>
      </c>
    </row>
    <row r="326" spans="1:4" x14ac:dyDescent="0.2">
      <c r="A326" t="s">
        <v>2856</v>
      </c>
      <c r="B326" t="s">
        <v>2855</v>
      </c>
      <c r="C326">
        <v>1</v>
      </c>
      <c r="D326" t="s">
        <v>1517</v>
      </c>
    </row>
    <row r="327" spans="1:4" x14ac:dyDescent="0.2">
      <c r="A327" t="s">
        <v>2854</v>
      </c>
      <c r="B327" t="s">
        <v>2853</v>
      </c>
      <c r="C327">
        <v>1</v>
      </c>
      <c r="D327" t="s">
        <v>1517</v>
      </c>
    </row>
    <row r="328" spans="1:4" x14ac:dyDescent="0.2">
      <c r="A328" t="s">
        <v>2852</v>
      </c>
      <c r="B328" t="s">
        <v>2851</v>
      </c>
      <c r="C328">
        <v>25</v>
      </c>
      <c r="D328" t="s">
        <v>1511</v>
      </c>
    </row>
    <row r="329" spans="1:4" x14ac:dyDescent="0.2">
      <c r="A329" t="s">
        <v>2850</v>
      </c>
      <c r="B329" t="s">
        <v>2849</v>
      </c>
      <c r="C329">
        <v>25</v>
      </c>
      <c r="D329" t="s">
        <v>1511</v>
      </c>
    </row>
    <row r="330" spans="1:4" x14ac:dyDescent="0.2">
      <c r="A330" t="s">
        <v>2848</v>
      </c>
      <c r="B330" t="s">
        <v>2847</v>
      </c>
      <c r="C330">
        <v>1</v>
      </c>
      <c r="D330" t="s">
        <v>1517</v>
      </c>
    </row>
    <row r="331" spans="1:4" x14ac:dyDescent="0.2">
      <c r="A331" t="s">
        <v>2846</v>
      </c>
      <c r="B331" t="s">
        <v>2845</v>
      </c>
      <c r="C331">
        <v>1</v>
      </c>
      <c r="D331" t="s">
        <v>1517</v>
      </c>
    </row>
    <row r="332" spans="1:4" x14ac:dyDescent="0.2">
      <c r="A332" t="s">
        <v>2844</v>
      </c>
      <c r="B332" t="s">
        <v>2843</v>
      </c>
      <c r="C332">
        <v>2</v>
      </c>
      <c r="D332" t="s">
        <v>1529</v>
      </c>
    </row>
    <row r="333" spans="1:4" x14ac:dyDescent="0.2">
      <c r="A333" t="s">
        <v>2842</v>
      </c>
      <c r="B333" t="s">
        <v>2841</v>
      </c>
      <c r="C333">
        <v>25</v>
      </c>
      <c r="D333" t="s">
        <v>1511</v>
      </c>
    </row>
    <row r="334" spans="1:4" x14ac:dyDescent="0.2">
      <c r="A334" t="s">
        <v>2840</v>
      </c>
      <c r="B334" t="s">
        <v>2839</v>
      </c>
      <c r="C334">
        <v>25</v>
      </c>
      <c r="D334" t="s">
        <v>1511</v>
      </c>
    </row>
    <row r="335" spans="1:4" x14ac:dyDescent="0.2">
      <c r="A335" t="s">
        <v>2838</v>
      </c>
      <c r="B335" t="s">
        <v>2837</v>
      </c>
      <c r="C335">
        <v>1</v>
      </c>
      <c r="D335" t="s">
        <v>1517</v>
      </c>
    </row>
    <row r="336" spans="1:4" x14ac:dyDescent="0.2">
      <c r="A336" t="s">
        <v>2836</v>
      </c>
      <c r="B336" t="s">
        <v>2835</v>
      </c>
      <c r="C336">
        <v>1</v>
      </c>
      <c r="D336" t="s">
        <v>1517</v>
      </c>
    </row>
    <row r="337" spans="1:4" x14ac:dyDescent="0.2">
      <c r="A337" t="s">
        <v>2834</v>
      </c>
      <c r="B337" t="s">
        <v>2833</v>
      </c>
      <c r="C337">
        <v>1</v>
      </c>
      <c r="D337" t="s">
        <v>1517</v>
      </c>
    </row>
    <row r="338" spans="1:4" x14ac:dyDescent="0.2">
      <c r="A338" t="s">
        <v>2832</v>
      </c>
      <c r="B338" t="s">
        <v>2831</v>
      </c>
      <c r="C338">
        <v>1</v>
      </c>
      <c r="D338" t="s">
        <v>1517</v>
      </c>
    </row>
    <row r="339" spans="1:4" x14ac:dyDescent="0.2">
      <c r="A339" t="s">
        <v>133</v>
      </c>
      <c r="B339" t="s">
        <v>2830</v>
      </c>
      <c r="C339">
        <v>1</v>
      </c>
      <c r="D339" t="s">
        <v>1517</v>
      </c>
    </row>
    <row r="340" spans="1:4" x14ac:dyDescent="0.2">
      <c r="A340" t="s">
        <v>387</v>
      </c>
      <c r="B340" t="s">
        <v>2829</v>
      </c>
      <c r="C340">
        <v>12</v>
      </c>
      <c r="D340" t="s">
        <v>1609</v>
      </c>
    </row>
    <row r="341" spans="1:4" x14ac:dyDescent="0.2">
      <c r="A341" t="s">
        <v>2828</v>
      </c>
      <c r="B341" t="s">
        <v>2827</v>
      </c>
      <c r="C341">
        <v>25</v>
      </c>
      <c r="D341" t="s">
        <v>1511</v>
      </c>
    </row>
    <row r="342" spans="1:4" x14ac:dyDescent="0.2">
      <c r="A342" t="s">
        <v>1335</v>
      </c>
      <c r="B342" t="s">
        <v>2826</v>
      </c>
      <c r="C342">
        <v>14</v>
      </c>
      <c r="D342" t="s">
        <v>1555</v>
      </c>
    </row>
    <row r="343" spans="1:4" x14ac:dyDescent="0.2">
      <c r="A343" t="s">
        <v>2825</v>
      </c>
      <c r="B343" t="s">
        <v>2824</v>
      </c>
      <c r="C343">
        <v>15</v>
      </c>
      <c r="D343" t="s">
        <v>1618</v>
      </c>
    </row>
    <row r="344" spans="1:4" x14ac:dyDescent="0.2">
      <c r="A344" t="s">
        <v>2823</v>
      </c>
      <c r="B344" t="s">
        <v>2822</v>
      </c>
      <c r="C344">
        <v>1</v>
      </c>
      <c r="D344" t="s">
        <v>1517</v>
      </c>
    </row>
    <row r="345" spans="1:4" x14ac:dyDescent="0.2">
      <c r="A345" t="s">
        <v>283</v>
      </c>
      <c r="B345" t="s">
        <v>2821</v>
      </c>
      <c r="C345">
        <v>10</v>
      </c>
      <c r="D345" t="s">
        <v>1570</v>
      </c>
    </row>
    <row r="346" spans="1:4" x14ac:dyDescent="0.2">
      <c r="A346" t="s">
        <v>2820</v>
      </c>
      <c r="B346" t="s">
        <v>2819</v>
      </c>
      <c r="C346">
        <v>19</v>
      </c>
      <c r="D346" t="s">
        <v>1535</v>
      </c>
    </row>
    <row r="347" spans="1:4" x14ac:dyDescent="0.2">
      <c r="A347" t="s">
        <v>2818</v>
      </c>
      <c r="B347" t="s">
        <v>2817</v>
      </c>
      <c r="C347">
        <v>1</v>
      </c>
      <c r="D347" t="s">
        <v>1517</v>
      </c>
    </row>
    <row r="348" spans="1:4" x14ac:dyDescent="0.2">
      <c r="A348" t="s">
        <v>2816</v>
      </c>
      <c r="B348" t="s">
        <v>2815</v>
      </c>
      <c r="C348">
        <v>1</v>
      </c>
      <c r="D348" t="s">
        <v>1517</v>
      </c>
    </row>
    <row r="349" spans="1:4" x14ac:dyDescent="0.2">
      <c r="A349" t="s">
        <v>2814</v>
      </c>
      <c r="B349" t="s">
        <v>2813</v>
      </c>
      <c r="C349">
        <v>17</v>
      </c>
      <c r="D349" t="s">
        <v>1649</v>
      </c>
    </row>
    <row r="350" spans="1:4" x14ac:dyDescent="0.2">
      <c r="A350" t="s">
        <v>2812</v>
      </c>
      <c r="B350" t="s">
        <v>2811</v>
      </c>
      <c r="C350">
        <v>25</v>
      </c>
      <c r="D350" t="s">
        <v>1511</v>
      </c>
    </row>
    <row r="351" spans="1:4" x14ac:dyDescent="0.2">
      <c r="A351" t="s">
        <v>2810</v>
      </c>
      <c r="B351" t="s">
        <v>2809</v>
      </c>
      <c r="C351">
        <v>1</v>
      </c>
      <c r="D351" t="s">
        <v>1517</v>
      </c>
    </row>
    <row r="352" spans="1:4" x14ac:dyDescent="0.2">
      <c r="A352" t="s">
        <v>2808</v>
      </c>
      <c r="B352" t="s">
        <v>2807</v>
      </c>
      <c r="C352">
        <v>1</v>
      </c>
      <c r="D352" t="s">
        <v>1517</v>
      </c>
    </row>
    <row r="353" spans="1:4" x14ac:dyDescent="0.2">
      <c r="A353" t="s">
        <v>2806</v>
      </c>
      <c r="B353" t="s">
        <v>2805</v>
      </c>
      <c r="C353">
        <v>1</v>
      </c>
      <c r="D353" t="s">
        <v>1517</v>
      </c>
    </row>
    <row r="354" spans="1:4" x14ac:dyDescent="0.2">
      <c r="A354" t="s">
        <v>2804</v>
      </c>
      <c r="B354" t="s">
        <v>2803</v>
      </c>
      <c r="C354">
        <v>3</v>
      </c>
      <c r="D354" t="s">
        <v>1540</v>
      </c>
    </row>
    <row r="355" spans="1:4" x14ac:dyDescent="0.2">
      <c r="A355" t="s">
        <v>2802</v>
      </c>
      <c r="B355" t="s">
        <v>2801</v>
      </c>
      <c r="C355">
        <v>25</v>
      </c>
      <c r="D355" t="s">
        <v>1511</v>
      </c>
    </row>
    <row r="356" spans="1:4" x14ac:dyDescent="0.2">
      <c r="A356" t="s">
        <v>2802</v>
      </c>
      <c r="B356" t="s">
        <v>2801</v>
      </c>
      <c r="C356">
        <v>25</v>
      </c>
      <c r="D356" t="s">
        <v>1511</v>
      </c>
    </row>
    <row r="357" spans="1:4" x14ac:dyDescent="0.2">
      <c r="A357" t="s">
        <v>2800</v>
      </c>
      <c r="B357" t="s">
        <v>2799</v>
      </c>
      <c r="C357">
        <v>25</v>
      </c>
      <c r="D357" t="s">
        <v>1511</v>
      </c>
    </row>
    <row r="358" spans="1:4" x14ac:dyDescent="0.2">
      <c r="A358" t="s">
        <v>2798</v>
      </c>
      <c r="B358" t="s">
        <v>2797</v>
      </c>
      <c r="C358">
        <v>25</v>
      </c>
      <c r="D358" t="s">
        <v>1511</v>
      </c>
    </row>
    <row r="359" spans="1:4" x14ac:dyDescent="0.2">
      <c r="A359" t="s">
        <v>2796</v>
      </c>
      <c r="B359" t="s">
        <v>2795</v>
      </c>
      <c r="C359">
        <v>25</v>
      </c>
      <c r="D359" t="s">
        <v>1511</v>
      </c>
    </row>
    <row r="360" spans="1:4" x14ac:dyDescent="0.2">
      <c r="A360" t="s">
        <v>2793</v>
      </c>
      <c r="B360" t="s">
        <v>2794</v>
      </c>
      <c r="C360">
        <v>25</v>
      </c>
      <c r="D360" t="s">
        <v>1511</v>
      </c>
    </row>
    <row r="361" spans="1:4" x14ac:dyDescent="0.2">
      <c r="A361" t="s">
        <v>2793</v>
      </c>
      <c r="B361" t="s">
        <v>2792</v>
      </c>
      <c r="C361">
        <v>25</v>
      </c>
      <c r="D361" t="s">
        <v>1511</v>
      </c>
    </row>
    <row r="362" spans="1:4" x14ac:dyDescent="0.2">
      <c r="A362" t="s">
        <v>2791</v>
      </c>
      <c r="B362" t="s">
        <v>2790</v>
      </c>
      <c r="C362">
        <v>1</v>
      </c>
      <c r="D362" t="s">
        <v>1517</v>
      </c>
    </row>
    <row r="363" spans="1:4" x14ac:dyDescent="0.2">
      <c r="A363" t="s">
        <v>138</v>
      </c>
      <c r="B363" t="s">
        <v>2789</v>
      </c>
      <c r="C363">
        <v>1</v>
      </c>
      <c r="D363" t="s">
        <v>1517</v>
      </c>
    </row>
    <row r="364" spans="1:4" x14ac:dyDescent="0.2">
      <c r="A364" t="s">
        <v>915</v>
      </c>
      <c r="B364" t="s">
        <v>2788</v>
      </c>
      <c r="C364">
        <v>1</v>
      </c>
      <c r="D364" t="s">
        <v>1517</v>
      </c>
    </row>
    <row r="365" spans="1:4" x14ac:dyDescent="0.2">
      <c r="A365" t="s">
        <v>916</v>
      </c>
      <c r="B365" t="s">
        <v>2787</v>
      </c>
      <c r="C365">
        <v>1</v>
      </c>
      <c r="D365" t="s">
        <v>1517</v>
      </c>
    </row>
    <row r="366" spans="1:4" x14ac:dyDescent="0.2">
      <c r="A366" t="s">
        <v>2786</v>
      </c>
      <c r="B366" t="s">
        <v>2785</v>
      </c>
      <c r="C366">
        <v>4</v>
      </c>
      <c r="D366" t="s">
        <v>1932</v>
      </c>
    </row>
    <row r="367" spans="1:4" x14ac:dyDescent="0.2">
      <c r="A367" t="s">
        <v>2784</v>
      </c>
      <c r="B367" t="s">
        <v>2783</v>
      </c>
      <c r="C367">
        <v>25</v>
      </c>
      <c r="D367" t="s">
        <v>1511</v>
      </c>
    </row>
    <row r="368" spans="1:4" x14ac:dyDescent="0.2">
      <c r="A368" t="s">
        <v>2782</v>
      </c>
      <c r="B368" t="s">
        <v>2781</v>
      </c>
      <c r="C368">
        <v>25</v>
      </c>
      <c r="D368" t="s">
        <v>1511</v>
      </c>
    </row>
    <row r="369" spans="1:4" x14ac:dyDescent="0.2">
      <c r="A369" t="s">
        <v>2780</v>
      </c>
      <c r="B369" t="s">
        <v>2779</v>
      </c>
      <c r="C369">
        <v>25</v>
      </c>
      <c r="D369" t="s">
        <v>1511</v>
      </c>
    </row>
    <row r="370" spans="1:4" x14ac:dyDescent="0.2">
      <c r="A370" t="s">
        <v>2778</v>
      </c>
      <c r="B370" t="s">
        <v>2777</v>
      </c>
      <c r="C370">
        <v>25</v>
      </c>
      <c r="D370" t="s">
        <v>1511</v>
      </c>
    </row>
    <row r="371" spans="1:4" x14ac:dyDescent="0.2">
      <c r="A371" t="s">
        <v>2776</v>
      </c>
      <c r="B371" t="s">
        <v>2775</v>
      </c>
      <c r="C371">
        <v>25</v>
      </c>
      <c r="D371" t="s">
        <v>1511</v>
      </c>
    </row>
    <row r="372" spans="1:4" x14ac:dyDescent="0.2">
      <c r="A372" t="s">
        <v>2774</v>
      </c>
      <c r="B372" t="s">
        <v>2773</v>
      </c>
      <c r="C372">
        <v>25</v>
      </c>
      <c r="D372" t="s">
        <v>1511</v>
      </c>
    </row>
    <row r="373" spans="1:4" x14ac:dyDescent="0.2">
      <c r="A373" t="s">
        <v>2772</v>
      </c>
      <c r="B373" t="s">
        <v>2771</v>
      </c>
      <c r="C373">
        <v>25</v>
      </c>
      <c r="D373" t="s">
        <v>1511</v>
      </c>
    </row>
    <row r="374" spans="1:4" x14ac:dyDescent="0.2">
      <c r="A374" t="s">
        <v>2770</v>
      </c>
      <c r="B374" t="s">
        <v>2769</v>
      </c>
      <c r="C374">
        <v>25</v>
      </c>
      <c r="D374" t="s">
        <v>1511</v>
      </c>
    </row>
    <row r="375" spans="1:4" x14ac:dyDescent="0.2">
      <c r="A375" t="s">
        <v>2768</v>
      </c>
      <c r="B375" t="s">
        <v>2767</v>
      </c>
      <c r="C375">
        <v>25</v>
      </c>
      <c r="D375" t="s">
        <v>1511</v>
      </c>
    </row>
    <row r="376" spans="1:4" x14ac:dyDescent="0.2">
      <c r="A376" t="s">
        <v>2766</v>
      </c>
      <c r="B376" t="s">
        <v>2765</v>
      </c>
      <c r="C376">
        <v>25</v>
      </c>
      <c r="D376" t="s">
        <v>1511</v>
      </c>
    </row>
    <row r="377" spans="1:4" x14ac:dyDescent="0.2">
      <c r="A377" t="s">
        <v>2764</v>
      </c>
      <c r="B377" t="s">
        <v>2763</v>
      </c>
      <c r="C377">
        <v>25</v>
      </c>
      <c r="D377" t="s">
        <v>1511</v>
      </c>
    </row>
    <row r="378" spans="1:4" x14ac:dyDescent="0.2">
      <c r="A378" t="s">
        <v>2762</v>
      </c>
      <c r="B378" t="s">
        <v>2761</v>
      </c>
      <c r="C378">
        <v>1</v>
      </c>
      <c r="D378" t="s">
        <v>1517</v>
      </c>
    </row>
    <row r="379" spans="1:4" x14ac:dyDescent="0.2">
      <c r="A379" t="s">
        <v>2760</v>
      </c>
      <c r="B379" t="s">
        <v>2759</v>
      </c>
      <c r="C379">
        <v>1</v>
      </c>
      <c r="D379" t="s">
        <v>1517</v>
      </c>
    </row>
    <row r="380" spans="1:4" x14ac:dyDescent="0.2">
      <c r="A380" t="s">
        <v>2758</v>
      </c>
      <c r="B380" t="s">
        <v>2757</v>
      </c>
      <c r="C380">
        <v>1</v>
      </c>
      <c r="D380" t="s">
        <v>1517</v>
      </c>
    </row>
    <row r="381" spans="1:4" x14ac:dyDescent="0.2">
      <c r="A381" t="s">
        <v>3476</v>
      </c>
      <c r="B381" t="s">
        <v>2756</v>
      </c>
      <c r="C381">
        <v>1</v>
      </c>
      <c r="D381" t="s">
        <v>1517</v>
      </c>
    </row>
    <row r="382" spans="1:4" x14ac:dyDescent="0.2">
      <c r="A382" t="s">
        <v>2755</v>
      </c>
      <c r="B382" t="s">
        <v>2754</v>
      </c>
      <c r="C382">
        <v>25</v>
      </c>
      <c r="D382" t="s">
        <v>1511</v>
      </c>
    </row>
    <row r="383" spans="1:4" x14ac:dyDescent="0.2">
      <c r="A383" t="s">
        <v>2753</v>
      </c>
      <c r="B383" t="s">
        <v>2752</v>
      </c>
      <c r="C383">
        <v>1</v>
      </c>
      <c r="D383" t="s">
        <v>1517</v>
      </c>
    </row>
    <row r="384" spans="1:4" x14ac:dyDescent="0.2">
      <c r="A384" t="s">
        <v>2751</v>
      </c>
      <c r="B384" t="s">
        <v>2750</v>
      </c>
      <c r="C384">
        <v>1</v>
      </c>
      <c r="D384" t="s">
        <v>1517</v>
      </c>
    </row>
    <row r="385" spans="1:4" x14ac:dyDescent="0.2">
      <c r="A385" t="s">
        <v>2749</v>
      </c>
      <c r="B385" t="s">
        <v>2748</v>
      </c>
      <c r="C385">
        <v>1</v>
      </c>
      <c r="D385" t="s">
        <v>1517</v>
      </c>
    </row>
    <row r="386" spans="1:4" x14ac:dyDescent="0.2">
      <c r="A386" t="s">
        <v>2747</v>
      </c>
      <c r="B386" t="s">
        <v>2746</v>
      </c>
      <c r="C386">
        <v>1</v>
      </c>
      <c r="D386" t="s">
        <v>1517</v>
      </c>
    </row>
    <row r="387" spans="1:4" x14ac:dyDescent="0.2">
      <c r="A387" t="s">
        <v>2745</v>
      </c>
      <c r="B387" t="s">
        <v>2744</v>
      </c>
      <c r="C387">
        <v>5</v>
      </c>
      <c r="D387" t="s">
        <v>1929</v>
      </c>
    </row>
    <row r="388" spans="1:4" x14ac:dyDescent="0.2">
      <c r="A388" t="s">
        <v>992</v>
      </c>
      <c r="B388" t="s">
        <v>2743</v>
      </c>
      <c r="C388">
        <v>25</v>
      </c>
      <c r="D388" t="s">
        <v>1511</v>
      </c>
    </row>
    <row r="389" spans="1:4" x14ac:dyDescent="0.2">
      <c r="A389" t="s">
        <v>2742</v>
      </c>
      <c r="B389" t="s">
        <v>2741</v>
      </c>
      <c r="C389">
        <v>7</v>
      </c>
      <c r="D389" t="s">
        <v>1715</v>
      </c>
    </row>
    <row r="390" spans="1:4" x14ac:dyDescent="0.2">
      <c r="A390" t="s">
        <v>2740</v>
      </c>
      <c r="B390" t="s">
        <v>2739</v>
      </c>
      <c r="C390">
        <v>1</v>
      </c>
      <c r="D390" t="s">
        <v>1517</v>
      </c>
    </row>
    <row r="391" spans="1:4" x14ac:dyDescent="0.2">
      <c r="A391" t="s">
        <v>2738</v>
      </c>
      <c r="B391" t="s">
        <v>2737</v>
      </c>
      <c r="C391">
        <v>3</v>
      </c>
      <c r="D391" t="s">
        <v>1540</v>
      </c>
    </row>
    <row r="392" spans="1:4" x14ac:dyDescent="0.2">
      <c r="A392" t="s">
        <v>2736</v>
      </c>
      <c r="B392" t="s">
        <v>2735</v>
      </c>
      <c r="C392">
        <v>1</v>
      </c>
      <c r="D392" t="s">
        <v>1517</v>
      </c>
    </row>
    <row r="393" spans="1:4" x14ac:dyDescent="0.2">
      <c r="A393" t="s">
        <v>2734</v>
      </c>
      <c r="B393" t="s">
        <v>2733</v>
      </c>
      <c r="C393">
        <v>3</v>
      </c>
      <c r="D393" t="s">
        <v>1540</v>
      </c>
    </row>
    <row r="394" spans="1:4" x14ac:dyDescent="0.2">
      <c r="A394" t="s">
        <v>2732</v>
      </c>
      <c r="B394" t="s">
        <v>2731</v>
      </c>
      <c r="C394">
        <v>25</v>
      </c>
      <c r="D394" t="s">
        <v>1511</v>
      </c>
    </row>
    <row r="395" spans="1:4" x14ac:dyDescent="0.2">
      <c r="A395" t="s">
        <v>2730</v>
      </c>
      <c r="B395" t="s">
        <v>2729</v>
      </c>
      <c r="C395">
        <v>1</v>
      </c>
      <c r="D395" t="s">
        <v>1517</v>
      </c>
    </row>
    <row r="396" spans="1:4" x14ac:dyDescent="0.2">
      <c r="A396" t="s">
        <v>2728</v>
      </c>
      <c r="B396" t="s">
        <v>2727</v>
      </c>
      <c r="C396">
        <v>1</v>
      </c>
      <c r="D396" t="s">
        <v>1517</v>
      </c>
    </row>
    <row r="397" spans="1:4" x14ac:dyDescent="0.2">
      <c r="A397" t="s">
        <v>2726</v>
      </c>
      <c r="B397" t="s">
        <v>2725</v>
      </c>
      <c r="C397">
        <v>1</v>
      </c>
      <c r="D397" t="s">
        <v>1517</v>
      </c>
    </row>
    <row r="398" spans="1:4" x14ac:dyDescent="0.2">
      <c r="A398" t="s">
        <v>2724</v>
      </c>
      <c r="B398" t="s">
        <v>2723</v>
      </c>
      <c r="C398">
        <v>1</v>
      </c>
      <c r="D398" t="s">
        <v>1517</v>
      </c>
    </row>
    <row r="399" spans="1:4" x14ac:dyDescent="0.2">
      <c r="A399" t="s">
        <v>2722</v>
      </c>
      <c r="B399" t="s">
        <v>2721</v>
      </c>
      <c r="C399">
        <v>3</v>
      </c>
      <c r="D399" t="s">
        <v>1540</v>
      </c>
    </row>
    <row r="400" spans="1:4" x14ac:dyDescent="0.2">
      <c r="A400" t="s">
        <v>2720</v>
      </c>
      <c r="B400" t="s">
        <v>2719</v>
      </c>
      <c r="C400">
        <v>1</v>
      </c>
      <c r="D400" t="s">
        <v>1517</v>
      </c>
    </row>
    <row r="401" spans="1:4" x14ac:dyDescent="0.2">
      <c r="A401" t="s">
        <v>2718</v>
      </c>
      <c r="B401" t="s">
        <v>2717</v>
      </c>
      <c r="C401">
        <v>1</v>
      </c>
      <c r="D401" t="s">
        <v>1517</v>
      </c>
    </row>
    <row r="402" spans="1:4" x14ac:dyDescent="0.2">
      <c r="A402" t="s">
        <v>918</v>
      </c>
      <c r="B402" t="s">
        <v>2716</v>
      </c>
      <c r="C402">
        <v>1</v>
      </c>
      <c r="D402" t="s">
        <v>1517</v>
      </c>
    </row>
    <row r="403" spans="1:4" x14ac:dyDescent="0.2">
      <c r="A403" t="s">
        <v>2715</v>
      </c>
      <c r="B403" t="s">
        <v>2714</v>
      </c>
      <c r="C403">
        <v>19</v>
      </c>
      <c r="D403" t="s">
        <v>1535</v>
      </c>
    </row>
    <row r="404" spans="1:4" x14ac:dyDescent="0.2">
      <c r="A404" t="s">
        <v>2713</v>
      </c>
      <c r="B404" t="s">
        <v>2712</v>
      </c>
      <c r="C404">
        <v>1</v>
      </c>
      <c r="D404" t="s">
        <v>1517</v>
      </c>
    </row>
    <row r="405" spans="1:4" x14ac:dyDescent="0.2">
      <c r="A405" t="s">
        <v>2711</v>
      </c>
      <c r="B405" t="s">
        <v>2710</v>
      </c>
      <c r="C405">
        <v>1</v>
      </c>
      <c r="D405" t="s">
        <v>1517</v>
      </c>
    </row>
    <row r="406" spans="1:4" x14ac:dyDescent="0.2">
      <c r="A406" t="s">
        <v>2709</v>
      </c>
      <c r="B406" t="s">
        <v>2708</v>
      </c>
      <c r="C406">
        <v>1</v>
      </c>
      <c r="D406" t="s">
        <v>1517</v>
      </c>
    </row>
    <row r="407" spans="1:4" x14ac:dyDescent="0.2">
      <c r="A407" t="s">
        <v>2707</v>
      </c>
      <c r="B407" t="s">
        <v>2706</v>
      </c>
      <c r="C407">
        <v>1</v>
      </c>
      <c r="D407" t="s">
        <v>1517</v>
      </c>
    </row>
    <row r="408" spans="1:4" x14ac:dyDescent="0.2">
      <c r="A408" t="s">
        <v>2705</v>
      </c>
      <c r="B408" t="s">
        <v>2704</v>
      </c>
      <c r="C408">
        <v>25</v>
      </c>
      <c r="D408" t="s">
        <v>1511</v>
      </c>
    </row>
    <row r="409" spans="1:4" x14ac:dyDescent="0.2">
      <c r="A409" t="s">
        <v>2703</v>
      </c>
      <c r="B409" t="s">
        <v>2702</v>
      </c>
      <c r="C409">
        <v>25</v>
      </c>
      <c r="D409" t="s">
        <v>1511</v>
      </c>
    </row>
    <row r="410" spans="1:4" x14ac:dyDescent="0.2">
      <c r="A410" t="s">
        <v>2703</v>
      </c>
      <c r="B410" t="s">
        <v>2702</v>
      </c>
      <c r="C410">
        <v>25</v>
      </c>
      <c r="D410" t="s">
        <v>1511</v>
      </c>
    </row>
    <row r="411" spans="1:4" x14ac:dyDescent="0.2">
      <c r="A411" t="s">
        <v>2701</v>
      </c>
      <c r="B411" t="s">
        <v>2700</v>
      </c>
      <c r="C411">
        <v>25</v>
      </c>
      <c r="D411" t="s">
        <v>1511</v>
      </c>
    </row>
    <row r="412" spans="1:4" x14ac:dyDescent="0.2">
      <c r="A412" t="s">
        <v>945</v>
      </c>
      <c r="B412" t="s">
        <v>2699</v>
      </c>
      <c r="C412">
        <v>12</v>
      </c>
      <c r="D412" t="s">
        <v>1609</v>
      </c>
    </row>
    <row r="413" spans="1:4" x14ac:dyDescent="0.2">
      <c r="A413" t="s">
        <v>2698</v>
      </c>
      <c r="B413" t="s">
        <v>2697</v>
      </c>
      <c r="C413">
        <v>1</v>
      </c>
      <c r="D413" t="s">
        <v>1517</v>
      </c>
    </row>
    <row r="414" spans="1:4" x14ac:dyDescent="0.2">
      <c r="A414" t="s">
        <v>1345</v>
      </c>
      <c r="B414" t="s">
        <v>2696</v>
      </c>
      <c r="C414">
        <v>25</v>
      </c>
      <c r="D414" t="s">
        <v>1511</v>
      </c>
    </row>
    <row r="415" spans="1:4" x14ac:dyDescent="0.2">
      <c r="A415" t="s">
        <v>1484</v>
      </c>
      <c r="B415" t="s">
        <v>2695</v>
      </c>
      <c r="C415">
        <v>1</v>
      </c>
      <c r="D415" t="s">
        <v>1517</v>
      </c>
    </row>
    <row r="416" spans="1:4" x14ac:dyDescent="0.2">
      <c r="A416" t="s">
        <v>2694</v>
      </c>
      <c r="B416" t="s">
        <v>2693</v>
      </c>
      <c r="C416">
        <v>2</v>
      </c>
      <c r="D416" t="s">
        <v>1529</v>
      </c>
    </row>
    <row r="417" spans="1:4" x14ac:dyDescent="0.2">
      <c r="A417" t="s">
        <v>2692</v>
      </c>
      <c r="B417" t="s">
        <v>2691</v>
      </c>
      <c r="C417">
        <v>1</v>
      </c>
      <c r="D417" t="s">
        <v>1517</v>
      </c>
    </row>
    <row r="418" spans="1:4" x14ac:dyDescent="0.2">
      <c r="A418" t="s">
        <v>2690</v>
      </c>
      <c r="B418" t="s">
        <v>2689</v>
      </c>
      <c r="C418">
        <v>1</v>
      </c>
      <c r="D418" t="s">
        <v>1517</v>
      </c>
    </row>
    <row r="419" spans="1:4" x14ac:dyDescent="0.2">
      <c r="A419" t="s">
        <v>2688</v>
      </c>
      <c r="B419" t="s">
        <v>2687</v>
      </c>
      <c r="C419">
        <v>1</v>
      </c>
      <c r="D419" t="s">
        <v>1517</v>
      </c>
    </row>
    <row r="420" spans="1:4" x14ac:dyDescent="0.2">
      <c r="A420" t="s">
        <v>2686</v>
      </c>
      <c r="B420" t="s">
        <v>2685</v>
      </c>
      <c r="C420">
        <v>1</v>
      </c>
      <c r="D420" t="s">
        <v>1517</v>
      </c>
    </row>
    <row r="421" spans="1:4" x14ac:dyDescent="0.2">
      <c r="A421" t="s">
        <v>2684</v>
      </c>
      <c r="B421" t="s">
        <v>2683</v>
      </c>
      <c r="C421">
        <v>25</v>
      </c>
      <c r="D421" t="s">
        <v>1511</v>
      </c>
    </row>
    <row r="422" spans="1:4" x14ac:dyDescent="0.2">
      <c r="A422" t="s">
        <v>2682</v>
      </c>
      <c r="B422" t="s">
        <v>2681</v>
      </c>
      <c r="C422">
        <v>1</v>
      </c>
      <c r="D422" t="s">
        <v>1517</v>
      </c>
    </row>
    <row r="423" spans="1:4" x14ac:dyDescent="0.2">
      <c r="A423" t="s">
        <v>2680</v>
      </c>
      <c r="B423" t="s">
        <v>2679</v>
      </c>
      <c r="C423">
        <v>25</v>
      </c>
      <c r="D423" t="s">
        <v>1511</v>
      </c>
    </row>
    <row r="424" spans="1:4" x14ac:dyDescent="0.2">
      <c r="A424" t="s">
        <v>2678</v>
      </c>
      <c r="B424" t="s">
        <v>2677</v>
      </c>
      <c r="C424">
        <v>2</v>
      </c>
      <c r="D424" t="s">
        <v>1529</v>
      </c>
    </row>
    <row r="425" spans="1:4" x14ac:dyDescent="0.2">
      <c r="A425" t="s">
        <v>2676</v>
      </c>
      <c r="B425" t="s">
        <v>2675</v>
      </c>
      <c r="C425">
        <v>5</v>
      </c>
      <c r="D425" t="s">
        <v>1929</v>
      </c>
    </row>
    <row r="426" spans="1:4" x14ac:dyDescent="0.2">
      <c r="A426" t="s">
        <v>2674</v>
      </c>
      <c r="B426" t="s">
        <v>2673</v>
      </c>
      <c r="C426">
        <v>21</v>
      </c>
      <c r="D426" t="s">
        <v>1579</v>
      </c>
    </row>
    <row r="427" spans="1:4" x14ac:dyDescent="0.2">
      <c r="A427" t="s">
        <v>2672</v>
      </c>
      <c r="B427" t="s">
        <v>2671</v>
      </c>
      <c r="C427">
        <v>1</v>
      </c>
      <c r="D427" t="s">
        <v>1517</v>
      </c>
    </row>
    <row r="428" spans="1:4" x14ac:dyDescent="0.2">
      <c r="A428" t="s">
        <v>2670</v>
      </c>
      <c r="B428" t="s">
        <v>2669</v>
      </c>
      <c r="C428">
        <v>24</v>
      </c>
      <c r="D428" t="s">
        <v>1781</v>
      </c>
    </row>
    <row r="429" spans="1:4" x14ac:dyDescent="0.2">
      <c r="A429" t="s">
        <v>2668</v>
      </c>
      <c r="B429" t="s">
        <v>2667</v>
      </c>
      <c r="C429">
        <v>24</v>
      </c>
      <c r="D429" t="s">
        <v>1781</v>
      </c>
    </row>
    <row r="430" spans="1:4" x14ac:dyDescent="0.2">
      <c r="A430" t="s">
        <v>2666</v>
      </c>
      <c r="B430" t="s">
        <v>2665</v>
      </c>
      <c r="C430">
        <v>1</v>
      </c>
      <c r="D430" t="s">
        <v>1517</v>
      </c>
    </row>
    <row r="431" spans="1:4" x14ac:dyDescent="0.2">
      <c r="A431" t="s">
        <v>2664</v>
      </c>
      <c r="B431" t="s">
        <v>2663</v>
      </c>
      <c r="C431">
        <v>1</v>
      </c>
      <c r="D431" t="s">
        <v>1517</v>
      </c>
    </row>
    <row r="432" spans="1:4" x14ac:dyDescent="0.2">
      <c r="A432" t="s">
        <v>2662</v>
      </c>
      <c r="B432" t="s">
        <v>2661</v>
      </c>
      <c r="C432">
        <v>2</v>
      </c>
      <c r="D432" t="s">
        <v>1529</v>
      </c>
    </row>
    <row r="433" spans="1:4" x14ac:dyDescent="0.2">
      <c r="A433" t="s">
        <v>2660</v>
      </c>
      <c r="B433" t="s">
        <v>2659</v>
      </c>
      <c r="C433">
        <v>1</v>
      </c>
      <c r="D433" t="s">
        <v>1517</v>
      </c>
    </row>
    <row r="434" spans="1:4" x14ac:dyDescent="0.2">
      <c r="A434" t="s">
        <v>2658</v>
      </c>
      <c r="B434" t="s">
        <v>2657</v>
      </c>
      <c r="C434">
        <v>14</v>
      </c>
      <c r="D434" t="s">
        <v>1555</v>
      </c>
    </row>
    <row r="435" spans="1:4" x14ac:dyDescent="0.2">
      <c r="A435" t="s">
        <v>2656</v>
      </c>
      <c r="B435" t="s">
        <v>2655</v>
      </c>
      <c r="C435">
        <v>22</v>
      </c>
      <c r="D435" t="s">
        <v>1918</v>
      </c>
    </row>
    <row r="436" spans="1:4" x14ac:dyDescent="0.2">
      <c r="A436" t="s">
        <v>2654</v>
      </c>
      <c r="B436" t="s">
        <v>2653</v>
      </c>
      <c r="C436">
        <v>25</v>
      </c>
      <c r="D436" t="s">
        <v>1511</v>
      </c>
    </row>
    <row r="437" spans="1:4" x14ac:dyDescent="0.2">
      <c r="A437" t="s">
        <v>2652</v>
      </c>
      <c r="B437" t="s">
        <v>2651</v>
      </c>
      <c r="C437">
        <v>25</v>
      </c>
      <c r="D437" t="s">
        <v>1511</v>
      </c>
    </row>
    <row r="438" spans="1:4" x14ac:dyDescent="0.2">
      <c r="A438" t="s">
        <v>2650</v>
      </c>
      <c r="B438" t="s">
        <v>2649</v>
      </c>
      <c r="C438">
        <v>25</v>
      </c>
      <c r="D438" t="s">
        <v>1511</v>
      </c>
    </row>
    <row r="439" spans="1:4" x14ac:dyDescent="0.2">
      <c r="A439" t="s">
        <v>2648</v>
      </c>
      <c r="B439" t="s">
        <v>2647</v>
      </c>
      <c r="C439">
        <v>1</v>
      </c>
      <c r="D439" t="s">
        <v>1517</v>
      </c>
    </row>
    <row r="440" spans="1:4" x14ac:dyDescent="0.2">
      <c r="A440" t="s">
        <v>2646</v>
      </c>
      <c r="B440" t="s">
        <v>2645</v>
      </c>
      <c r="C440">
        <v>1</v>
      </c>
      <c r="D440" t="s">
        <v>1517</v>
      </c>
    </row>
    <row r="441" spans="1:4" x14ac:dyDescent="0.2">
      <c r="A441" t="s">
        <v>2644</v>
      </c>
      <c r="B441" t="s">
        <v>2643</v>
      </c>
      <c r="C441">
        <v>3</v>
      </c>
      <c r="D441" t="s">
        <v>1540</v>
      </c>
    </row>
    <row r="442" spans="1:4" x14ac:dyDescent="0.2">
      <c r="A442" t="s">
        <v>2642</v>
      </c>
      <c r="B442" t="s">
        <v>2641</v>
      </c>
      <c r="C442">
        <v>1</v>
      </c>
      <c r="D442" t="s">
        <v>1517</v>
      </c>
    </row>
    <row r="443" spans="1:4" x14ac:dyDescent="0.2">
      <c r="A443" t="s">
        <v>2640</v>
      </c>
      <c r="B443" t="s">
        <v>2639</v>
      </c>
      <c r="C443">
        <v>1</v>
      </c>
      <c r="D443" t="s">
        <v>1517</v>
      </c>
    </row>
    <row r="444" spans="1:4" x14ac:dyDescent="0.2">
      <c r="A444" t="s">
        <v>2638</v>
      </c>
      <c r="B444" t="s">
        <v>2637</v>
      </c>
      <c r="C444">
        <v>7</v>
      </c>
      <c r="D444" t="s">
        <v>1715</v>
      </c>
    </row>
    <row r="445" spans="1:4" x14ac:dyDescent="0.2">
      <c r="A445" t="s">
        <v>2636</v>
      </c>
      <c r="B445" t="s">
        <v>2635</v>
      </c>
      <c r="C445">
        <v>2</v>
      </c>
      <c r="D445" t="s">
        <v>1529</v>
      </c>
    </row>
    <row r="446" spans="1:4" x14ac:dyDescent="0.2">
      <c r="A446" t="s">
        <v>2634</v>
      </c>
      <c r="B446" t="s">
        <v>2633</v>
      </c>
      <c r="C446">
        <v>25</v>
      </c>
      <c r="D446" t="s">
        <v>1511</v>
      </c>
    </row>
    <row r="447" spans="1:4" x14ac:dyDescent="0.2">
      <c r="A447" t="s">
        <v>2632</v>
      </c>
      <c r="B447" t="s">
        <v>2631</v>
      </c>
      <c r="C447">
        <v>3</v>
      </c>
      <c r="D447" t="s">
        <v>1540</v>
      </c>
    </row>
    <row r="448" spans="1:4" x14ac:dyDescent="0.2">
      <c r="A448" t="s">
        <v>2630</v>
      </c>
      <c r="B448" t="s">
        <v>2629</v>
      </c>
      <c r="C448">
        <v>1</v>
      </c>
      <c r="D448" t="s">
        <v>1517</v>
      </c>
    </row>
    <row r="449" spans="1:4" x14ac:dyDescent="0.2">
      <c r="A449" t="s">
        <v>2628</v>
      </c>
      <c r="B449" t="s">
        <v>2627</v>
      </c>
      <c r="C449">
        <v>1</v>
      </c>
      <c r="D449" t="s">
        <v>1517</v>
      </c>
    </row>
    <row r="450" spans="1:4" x14ac:dyDescent="0.2">
      <c r="A450" t="s">
        <v>2626</v>
      </c>
      <c r="B450" t="s">
        <v>2625</v>
      </c>
      <c r="C450">
        <v>1</v>
      </c>
      <c r="D450" t="s">
        <v>1517</v>
      </c>
    </row>
    <row r="451" spans="1:4" x14ac:dyDescent="0.2">
      <c r="A451" t="s">
        <v>2624</v>
      </c>
      <c r="B451" t="s">
        <v>2623</v>
      </c>
      <c r="C451">
        <v>3</v>
      </c>
      <c r="D451" t="s">
        <v>1540</v>
      </c>
    </row>
    <row r="452" spans="1:4" x14ac:dyDescent="0.2">
      <c r="A452" t="s">
        <v>2622</v>
      </c>
      <c r="B452" t="s">
        <v>2621</v>
      </c>
      <c r="C452">
        <v>25</v>
      </c>
      <c r="D452" t="s">
        <v>1511</v>
      </c>
    </row>
    <row r="453" spans="1:4" x14ac:dyDescent="0.2">
      <c r="A453" t="s">
        <v>2620</v>
      </c>
      <c r="B453" t="s">
        <v>2619</v>
      </c>
      <c r="C453">
        <v>1</v>
      </c>
      <c r="D453" t="s">
        <v>1517</v>
      </c>
    </row>
    <row r="454" spans="1:4" x14ac:dyDescent="0.2">
      <c r="A454" t="s">
        <v>2618</v>
      </c>
      <c r="B454" t="s">
        <v>2617</v>
      </c>
      <c r="C454">
        <v>1</v>
      </c>
      <c r="D454" t="s">
        <v>1517</v>
      </c>
    </row>
    <row r="455" spans="1:4" x14ac:dyDescent="0.2">
      <c r="A455" t="s">
        <v>2616</v>
      </c>
      <c r="B455" t="s">
        <v>2615</v>
      </c>
      <c r="C455">
        <v>1</v>
      </c>
      <c r="D455" t="s">
        <v>1517</v>
      </c>
    </row>
    <row r="456" spans="1:4" x14ac:dyDescent="0.2">
      <c r="A456" t="s">
        <v>2614</v>
      </c>
      <c r="B456" t="s">
        <v>2613</v>
      </c>
      <c r="C456">
        <v>1</v>
      </c>
      <c r="D456" t="s">
        <v>1517</v>
      </c>
    </row>
    <row r="457" spans="1:4" x14ac:dyDescent="0.2">
      <c r="A457" t="s">
        <v>2612</v>
      </c>
      <c r="B457" t="s">
        <v>2611</v>
      </c>
      <c r="C457">
        <v>3</v>
      </c>
      <c r="D457" t="s">
        <v>1540</v>
      </c>
    </row>
    <row r="458" spans="1:4" x14ac:dyDescent="0.2">
      <c r="A458" t="s">
        <v>2610</v>
      </c>
      <c r="B458" t="s">
        <v>2609</v>
      </c>
      <c r="C458">
        <v>21</v>
      </c>
      <c r="D458" t="s">
        <v>1579</v>
      </c>
    </row>
    <row r="459" spans="1:4" x14ac:dyDescent="0.2">
      <c r="A459" t="s">
        <v>2608</v>
      </c>
      <c r="B459" t="s">
        <v>2607</v>
      </c>
      <c r="C459">
        <v>25</v>
      </c>
      <c r="D459" t="s">
        <v>1511</v>
      </c>
    </row>
    <row r="460" spans="1:4" x14ac:dyDescent="0.2">
      <c r="A460" t="s">
        <v>2608</v>
      </c>
      <c r="B460" t="s">
        <v>2607</v>
      </c>
      <c r="C460">
        <v>25</v>
      </c>
      <c r="D460" t="s">
        <v>1511</v>
      </c>
    </row>
    <row r="461" spans="1:4" x14ac:dyDescent="0.2">
      <c r="A461" t="s">
        <v>2606</v>
      </c>
      <c r="B461" t="s">
        <v>2605</v>
      </c>
      <c r="C461">
        <v>3</v>
      </c>
      <c r="D461" t="s">
        <v>1540</v>
      </c>
    </row>
    <row r="462" spans="1:4" x14ac:dyDescent="0.2">
      <c r="A462" t="s">
        <v>2604</v>
      </c>
      <c r="B462" t="s">
        <v>2603</v>
      </c>
      <c r="C462">
        <v>1</v>
      </c>
      <c r="D462" t="s">
        <v>1517</v>
      </c>
    </row>
    <row r="463" spans="1:4" x14ac:dyDescent="0.2">
      <c r="A463" t="s">
        <v>2602</v>
      </c>
      <c r="B463" t="s">
        <v>2601</v>
      </c>
      <c r="C463">
        <v>1</v>
      </c>
      <c r="D463" t="s">
        <v>1517</v>
      </c>
    </row>
    <row r="464" spans="1:4" x14ac:dyDescent="0.2">
      <c r="A464" t="s">
        <v>2600</v>
      </c>
      <c r="B464" t="s">
        <v>2599</v>
      </c>
      <c r="C464">
        <v>25</v>
      </c>
      <c r="D464" t="s">
        <v>1511</v>
      </c>
    </row>
    <row r="465" spans="1:4" x14ac:dyDescent="0.2">
      <c r="A465" t="s">
        <v>2598</v>
      </c>
      <c r="B465" t="s">
        <v>2597</v>
      </c>
      <c r="C465">
        <v>1</v>
      </c>
      <c r="D465" t="s">
        <v>1517</v>
      </c>
    </row>
    <row r="466" spans="1:4" x14ac:dyDescent="0.2">
      <c r="A466" t="s">
        <v>2596</v>
      </c>
      <c r="B466" t="s">
        <v>2595</v>
      </c>
      <c r="C466">
        <v>3</v>
      </c>
      <c r="D466" t="s">
        <v>1540</v>
      </c>
    </row>
    <row r="467" spans="1:4" x14ac:dyDescent="0.2">
      <c r="A467" t="s">
        <v>2594</v>
      </c>
      <c r="B467" t="s">
        <v>2593</v>
      </c>
      <c r="C467">
        <v>3</v>
      </c>
      <c r="D467" t="s">
        <v>1540</v>
      </c>
    </row>
    <row r="468" spans="1:4" x14ac:dyDescent="0.2">
      <c r="A468" t="s">
        <v>2592</v>
      </c>
      <c r="B468" t="s">
        <v>2591</v>
      </c>
      <c r="C468">
        <v>3</v>
      </c>
      <c r="D468" t="s">
        <v>1540</v>
      </c>
    </row>
    <row r="469" spans="1:4" x14ac:dyDescent="0.2">
      <c r="A469" t="s">
        <v>2590</v>
      </c>
      <c r="B469" t="s">
        <v>2589</v>
      </c>
      <c r="C469">
        <v>3</v>
      </c>
      <c r="D469" t="s">
        <v>1540</v>
      </c>
    </row>
    <row r="470" spans="1:4" x14ac:dyDescent="0.2">
      <c r="A470" t="s">
        <v>2588</v>
      </c>
      <c r="B470" t="s">
        <v>2587</v>
      </c>
      <c r="C470">
        <v>3</v>
      </c>
      <c r="D470" t="s">
        <v>1540</v>
      </c>
    </row>
    <row r="471" spans="1:4" x14ac:dyDescent="0.2">
      <c r="A471" t="s">
        <v>2586</v>
      </c>
      <c r="B471" t="s">
        <v>2585</v>
      </c>
      <c r="C471">
        <v>5</v>
      </c>
      <c r="D471" t="s">
        <v>1929</v>
      </c>
    </row>
    <row r="472" spans="1:4" x14ac:dyDescent="0.2">
      <c r="A472" t="s">
        <v>2584</v>
      </c>
      <c r="B472" t="s">
        <v>2583</v>
      </c>
      <c r="C472">
        <v>3</v>
      </c>
      <c r="D472" t="s">
        <v>1540</v>
      </c>
    </row>
    <row r="473" spans="1:4" x14ac:dyDescent="0.2">
      <c r="A473" t="s">
        <v>2582</v>
      </c>
      <c r="B473" t="s">
        <v>2581</v>
      </c>
      <c r="C473">
        <v>3</v>
      </c>
      <c r="D473" t="s">
        <v>1540</v>
      </c>
    </row>
    <row r="474" spans="1:4" x14ac:dyDescent="0.2">
      <c r="A474" t="s">
        <v>2580</v>
      </c>
      <c r="B474" t="s">
        <v>2579</v>
      </c>
      <c r="C474">
        <v>3</v>
      </c>
      <c r="D474" t="s">
        <v>1540</v>
      </c>
    </row>
    <row r="475" spans="1:4" x14ac:dyDescent="0.2">
      <c r="A475" t="s">
        <v>2578</v>
      </c>
      <c r="B475" t="s">
        <v>2577</v>
      </c>
      <c r="C475">
        <v>3</v>
      </c>
      <c r="D475" t="s">
        <v>1540</v>
      </c>
    </row>
    <row r="476" spans="1:4" x14ac:dyDescent="0.2">
      <c r="A476" t="s">
        <v>2576</v>
      </c>
      <c r="B476" t="s">
        <v>2575</v>
      </c>
      <c r="C476">
        <v>3</v>
      </c>
      <c r="D476" t="s">
        <v>1540</v>
      </c>
    </row>
    <row r="477" spans="1:4" x14ac:dyDescent="0.2">
      <c r="A477" t="s">
        <v>2574</v>
      </c>
      <c r="B477" t="s">
        <v>2573</v>
      </c>
      <c r="C477">
        <v>3</v>
      </c>
      <c r="D477" t="s">
        <v>1540</v>
      </c>
    </row>
    <row r="478" spans="1:4" x14ac:dyDescent="0.2">
      <c r="A478" t="s">
        <v>2572</v>
      </c>
      <c r="B478" t="s">
        <v>2571</v>
      </c>
      <c r="C478">
        <v>3</v>
      </c>
      <c r="D478" t="s">
        <v>1540</v>
      </c>
    </row>
    <row r="479" spans="1:4" x14ac:dyDescent="0.2">
      <c r="A479" t="s">
        <v>2570</v>
      </c>
      <c r="B479" t="s">
        <v>2569</v>
      </c>
      <c r="C479">
        <v>3</v>
      </c>
      <c r="D479" t="s">
        <v>1540</v>
      </c>
    </row>
    <row r="480" spans="1:4" x14ac:dyDescent="0.2">
      <c r="A480" t="s">
        <v>2568</v>
      </c>
      <c r="B480" t="s">
        <v>2567</v>
      </c>
      <c r="C480">
        <v>3</v>
      </c>
      <c r="D480" t="s">
        <v>1540</v>
      </c>
    </row>
    <row r="481" spans="1:4" x14ac:dyDescent="0.2">
      <c r="A481" t="s">
        <v>2566</v>
      </c>
      <c r="B481" t="s">
        <v>2565</v>
      </c>
      <c r="C481">
        <v>3</v>
      </c>
      <c r="D481" t="s">
        <v>1540</v>
      </c>
    </row>
    <row r="482" spans="1:4" x14ac:dyDescent="0.2">
      <c r="A482" t="s">
        <v>2564</v>
      </c>
      <c r="B482" t="s">
        <v>2563</v>
      </c>
      <c r="C482">
        <v>3</v>
      </c>
      <c r="D482" t="s">
        <v>1540</v>
      </c>
    </row>
    <row r="483" spans="1:4" x14ac:dyDescent="0.2">
      <c r="A483" t="s">
        <v>2562</v>
      </c>
      <c r="B483" t="s">
        <v>2561</v>
      </c>
      <c r="C483">
        <v>3</v>
      </c>
      <c r="D483" t="s">
        <v>1540</v>
      </c>
    </row>
    <row r="484" spans="1:4" x14ac:dyDescent="0.2">
      <c r="A484" t="s">
        <v>2560</v>
      </c>
      <c r="B484" t="s">
        <v>2559</v>
      </c>
      <c r="C484">
        <v>5</v>
      </c>
      <c r="D484" t="s">
        <v>1929</v>
      </c>
    </row>
    <row r="485" spans="1:4" x14ac:dyDescent="0.2">
      <c r="A485" t="s">
        <v>2558</v>
      </c>
      <c r="B485" t="s">
        <v>2557</v>
      </c>
      <c r="C485">
        <v>3</v>
      </c>
      <c r="D485" t="s">
        <v>1540</v>
      </c>
    </row>
    <row r="486" spans="1:4" x14ac:dyDescent="0.2">
      <c r="A486" t="s">
        <v>2556</v>
      </c>
      <c r="B486" t="s">
        <v>2555</v>
      </c>
      <c r="C486">
        <v>19</v>
      </c>
      <c r="D486" t="s">
        <v>1535</v>
      </c>
    </row>
    <row r="487" spans="1:4" x14ac:dyDescent="0.2">
      <c r="A487" t="s">
        <v>2554</v>
      </c>
      <c r="B487" t="s">
        <v>2553</v>
      </c>
      <c r="C487">
        <v>2</v>
      </c>
      <c r="D487" t="s">
        <v>1529</v>
      </c>
    </row>
    <row r="488" spans="1:4" x14ac:dyDescent="0.2">
      <c r="A488" t="s">
        <v>2552</v>
      </c>
      <c r="B488" t="s">
        <v>2551</v>
      </c>
      <c r="C488">
        <v>1</v>
      </c>
      <c r="D488" t="s">
        <v>1517</v>
      </c>
    </row>
    <row r="489" spans="1:4" x14ac:dyDescent="0.2">
      <c r="A489" t="s">
        <v>2550</v>
      </c>
      <c r="B489" t="s">
        <v>2549</v>
      </c>
      <c r="C489">
        <v>1</v>
      </c>
      <c r="D489" t="s">
        <v>1517</v>
      </c>
    </row>
    <row r="490" spans="1:4" x14ac:dyDescent="0.2">
      <c r="A490" t="s">
        <v>2548</v>
      </c>
      <c r="B490" t="s">
        <v>2547</v>
      </c>
      <c r="C490">
        <v>1</v>
      </c>
      <c r="D490" t="s">
        <v>1517</v>
      </c>
    </row>
    <row r="491" spans="1:4" x14ac:dyDescent="0.2">
      <c r="A491" t="s">
        <v>2546</v>
      </c>
      <c r="B491" t="s">
        <v>2545</v>
      </c>
      <c r="C491">
        <v>1</v>
      </c>
      <c r="D491" t="s">
        <v>1517</v>
      </c>
    </row>
    <row r="492" spans="1:4" x14ac:dyDescent="0.2">
      <c r="A492" t="s">
        <v>2544</v>
      </c>
      <c r="B492" t="s">
        <v>2543</v>
      </c>
      <c r="C492">
        <v>25</v>
      </c>
      <c r="D492" t="s">
        <v>1511</v>
      </c>
    </row>
    <row r="493" spans="1:4" x14ac:dyDescent="0.2">
      <c r="A493" t="s">
        <v>2542</v>
      </c>
      <c r="B493" t="s">
        <v>2541</v>
      </c>
      <c r="C493">
        <v>14</v>
      </c>
      <c r="D493" t="s">
        <v>1555</v>
      </c>
    </row>
    <row r="494" spans="1:4" x14ac:dyDescent="0.2">
      <c r="A494" t="s">
        <v>2540</v>
      </c>
      <c r="B494" t="s">
        <v>2539</v>
      </c>
      <c r="C494">
        <v>1</v>
      </c>
      <c r="D494" t="s">
        <v>1517</v>
      </c>
    </row>
    <row r="495" spans="1:4" x14ac:dyDescent="0.2">
      <c r="A495" t="s">
        <v>2538</v>
      </c>
      <c r="B495" t="s">
        <v>2537</v>
      </c>
      <c r="C495">
        <v>15</v>
      </c>
      <c r="D495" t="s">
        <v>1618</v>
      </c>
    </row>
    <row r="496" spans="1:4" x14ac:dyDescent="0.2">
      <c r="A496" t="s">
        <v>2536</v>
      </c>
      <c r="B496" t="s">
        <v>2536</v>
      </c>
      <c r="C496">
        <v>1</v>
      </c>
      <c r="D496" t="s">
        <v>1517</v>
      </c>
    </row>
    <row r="497" spans="1:4" x14ac:dyDescent="0.2">
      <c r="A497" t="s">
        <v>2535</v>
      </c>
      <c r="B497" t="s">
        <v>2534</v>
      </c>
      <c r="C497">
        <v>1</v>
      </c>
      <c r="D497" t="s">
        <v>1517</v>
      </c>
    </row>
    <row r="498" spans="1:4" x14ac:dyDescent="0.2">
      <c r="A498" t="s">
        <v>2533</v>
      </c>
      <c r="B498" t="s">
        <v>2532</v>
      </c>
      <c r="C498">
        <v>21</v>
      </c>
      <c r="D498" t="s">
        <v>1579</v>
      </c>
    </row>
    <row r="499" spans="1:4" x14ac:dyDescent="0.2">
      <c r="A499" t="s">
        <v>1081</v>
      </c>
      <c r="B499" t="s">
        <v>2531</v>
      </c>
      <c r="C499">
        <v>1</v>
      </c>
      <c r="D499" t="s">
        <v>1517</v>
      </c>
    </row>
    <row r="500" spans="1:4" x14ac:dyDescent="0.2">
      <c r="A500" t="s">
        <v>2530</v>
      </c>
      <c r="B500" t="s">
        <v>2529</v>
      </c>
      <c r="C500">
        <v>1</v>
      </c>
      <c r="D500" t="s">
        <v>1517</v>
      </c>
    </row>
    <row r="501" spans="1:4" x14ac:dyDescent="0.2">
      <c r="A501" t="s">
        <v>1348</v>
      </c>
      <c r="B501" t="s">
        <v>2528</v>
      </c>
      <c r="C501">
        <v>1</v>
      </c>
      <c r="D501" t="s">
        <v>1517</v>
      </c>
    </row>
    <row r="502" spans="1:4" x14ac:dyDescent="0.2">
      <c r="A502" t="s">
        <v>2527</v>
      </c>
      <c r="B502" t="s">
        <v>2526</v>
      </c>
      <c r="C502">
        <v>6</v>
      </c>
      <c r="D502" t="s">
        <v>1788</v>
      </c>
    </row>
    <row r="503" spans="1:4" x14ac:dyDescent="0.2">
      <c r="A503" t="s">
        <v>2525</v>
      </c>
      <c r="B503" t="s">
        <v>2524</v>
      </c>
      <c r="C503">
        <v>1</v>
      </c>
      <c r="D503" t="s">
        <v>1517</v>
      </c>
    </row>
    <row r="504" spans="1:4" x14ac:dyDescent="0.2">
      <c r="A504" t="s">
        <v>2523</v>
      </c>
      <c r="B504" t="s">
        <v>2522</v>
      </c>
      <c r="C504">
        <v>1</v>
      </c>
      <c r="D504" t="s">
        <v>1517</v>
      </c>
    </row>
    <row r="505" spans="1:4" x14ac:dyDescent="0.2">
      <c r="A505" t="s">
        <v>2521</v>
      </c>
      <c r="B505" t="s">
        <v>2520</v>
      </c>
      <c r="C505">
        <v>1</v>
      </c>
      <c r="D505" t="s">
        <v>1517</v>
      </c>
    </row>
    <row r="506" spans="1:4" x14ac:dyDescent="0.2">
      <c r="A506" t="s">
        <v>2519</v>
      </c>
      <c r="B506" t="s">
        <v>2518</v>
      </c>
      <c r="C506">
        <v>3</v>
      </c>
      <c r="D506" t="s">
        <v>1540</v>
      </c>
    </row>
    <row r="507" spans="1:4" x14ac:dyDescent="0.2">
      <c r="A507" t="s">
        <v>2517</v>
      </c>
      <c r="B507" t="s">
        <v>2516</v>
      </c>
      <c r="C507">
        <v>2</v>
      </c>
      <c r="D507" t="s">
        <v>1529</v>
      </c>
    </row>
    <row r="508" spans="1:4" x14ac:dyDescent="0.2">
      <c r="A508" t="s">
        <v>2515</v>
      </c>
      <c r="B508" t="s">
        <v>2514</v>
      </c>
      <c r="C508">
        <v>3</v>
      </c>
      <c r="D508" t="s">
        <v>1540</v>
      </c>
    </row>
    <row r="509" spans="1:4" x14ac:dyDescent="0.2">
      <c r="A509" t="s">
        <v>2513</v>
      </c>
      <c r="B509" t="s">
        <v>2512</v>
      </c>
      <c r="C509">
        <v>2</v>
      </c>
      <c r="D509" t="s">
        <v>1529</v>
      </c>
    </row>
    <row r="510" spans="1:4" x14ac:dyDescent="0.2">
      <c r="A510" t="s">
        <v>2511</v>
      </c>
      <c r="B510" t="s">
        <v>2510</v>
      </c>
      <c r="C510">
        <v>1</v>
      </c>
      <c r="D510" t="s">
        <v>1517</v>
      </c>
    </row>
    <row r="511" spans="1:4" x14ac:dyDescent="0.2">
      <c r="A511" t="s">
        <v>2509</v>
      </c>
      <c r="B511" t="s">
        <v>2508</v>
      </c>
      <c r="C511">
        <v>21</v>
      </c>
      <c r="D511" t="s">
        <v>1579</v>
      </c>
    </row>
    <row r="512" spans="1:4" x14ac:dyDescent="0.2">
      <c r="A512" t="s">
        <v>2507</v>
      </c>
      <c r="B512" t="s">
        <v>2506</v>
      </c>
      <c r="C512">
        <v>2</v>
      </c>
      <c r="D512" t="s">
        <v>1529</v>
      </c>
    </row>
    <row r="513" spans="1:4" x14ac:dyDescent="0.2">
      <c r="A513" t="s">
        <v>2505</v>
      </c>
      <c r="B513" t="s">
        <v>2504</v>
      </c>
      <c r="C513">
        <v>2</v>
      </c>
      <c r="D513" t="s">
        <v>1529</v>
      </c>
    </row>
    <row r="514" spans="1:4" x14ac:dyDescent="0.2">
      <c r="A514" t="s">
        <v>2503</v>
      </c>
      <c r="B514" t="s">
        <v>2502</v>
      </c>
      <c r="C514">
        <v>25</v>
      </c>
      <c r="D514" t="s">
        <v>1511</v>
      </c>
    </row>
    <row r="515" spans="1:4" x14ac:dyDescent="0.2">
      <c r="A515" t="s">
        <v>2501</v>
      </c>
      <c r="B515" t="s">
        <v>2500</v>
      </c>
      <c r="C515">
        <v>15</v>
      </c>
      <c r="D515" t="s">
        <v>1618</v>
      </c>
    </row>
    <row r="516" spans="1:4" x14ac:dyDescent="0.2">
      <c r="A516" t="s">
        <v>2499</v>
      </c>
      <c r="B516" t="s">
        <v>2498</v>
      </c>
      <c r="C516">
        <v>17</v>
      </c>
      <c r="D516" t="s">
        <v>1649</v>
      </c>
    </row>
    <row r="517" spans="1:4" x14ac:dyDescent="0.2">
      <c r="A517" t="s">
        <v>2497</v>
      </c>
      <c r="B517" t="s">
        <v>2496</v>
      </c>
      <c r="C517">
        <v>17</v>
      </c>
      <c r="D517" t="s">
        <v>1649</v>
      </c>
    </row>
    <row r="518" spans="1:4" x14ac:dyDescent="0.2">
      <c r="A518" t="s">
        <v>2495</v>
      </c>
      <c r="B518" t="s">
        <v>2494</v>
      </c>
      <c r="C518">
        <v>15</v>
      </c>
      <c r="D518" t="s">
        <v>1618</v>
      </c>
    </row>
    <row r="519" spans="1:4" x14ac:dyDescent="0.2">
      <c r="A519" t="s">
        <v>2493</v>
      </c>
      <c r="B519" t="s">
        <v>2492</v>
      </c>
      <c r="C519">
        <v>17</v>
      </c>
      <c r="D519" t="s">
        <v>1649</v>
      </c>
    </row>
    <row r="520" spans="1:4" x14ac:dyDescent="0.2">
      <c r="A520" t="s">
        <v>2491</v>
      </c>
      <c r="B520" t="s">
        <v>2490</v>
      </c>
      <c r="C520">
        <v>1</v>
      </c>
      <c r="D520" t="s">
        <v>1517</v>
      </c>
    </row>
    <row r="521" spans="1:4" x14ac:dyDescent="0.2">
      <c r="A521" t="s">
        <v>2489</v>
      </c>
      <c r="B521" t="s">
        <v>2488</v>
      </c>
      <c r="C521">
        <v>1</v>
      </c>
      <c r="D521" t="s">
        <v>1517</v>
      </c>
    </row>
    <row r="522" spans="1:4" x14ac:dyDescent="0.2">
      <c r="A522" t="s">
        <v>2487</v>
      </c>
      <c r="B522" t="s">
        <v>2486</v>
      </c>
      <c r="C522">
        <v>14</v>
      </c>
      <c r="D522" t="s">
        <v>1555</v>
      </c>
    </row>
    <row r="523" spans="1:4" x14ac:dyDescent="0.2">
      <c r="A523" t="s">
        <v>2485</v>
      </c>
      <c r="B523" t="s">
        <v>2484</v>
      </c>
      <c r="C523">
        <v>14</v>
      </c>
      <c r="D523" t="s">
        <v>1555</v>
      </c>
    </row>
    <row r="524" spans="1:4" x14ac:dyDescent="0.2">
      <c r="A524" t="s">
        <v>2483</v>
      </c>
      <c r="B524" t="s">
        <v>2482</v>
      </c>
      <c r="C524">
        <v>15</v>
      </c>
      <c r="D524" t="s">
        <v>1618</v>
      </c>
    </row>
    <row r="525" spans="1:4" x14ac:dyDescent="0.2">
      <c r="A525" t="s">
        <v>966</v>
      </c>
      <c r="B525" t="s">
        <v>2481</v>
      </c>
      <c r="C525">
        <v>1</v>
      </c>
      <c r="D525" t="s">
        <v>1517</v>
      </c>
    </row>
    <row r="526" spans="1:4" x14ac:dyDescent="0.2">
      <c r="A526" t="s">
        <v>2480</v>
      </c>
      <c r="B526" t="s">
        <v>2479</v>
      </c>
      <c r="C526">
        <v>25</v>
      </c>
      <c r="D526" t="s">
        <v>1511</v>
      </c>
    </row>
    <row r="527" spans="1:4" x14ac:dyDescent="0.2">
      <c r="A527" t="s">
        <v>2478</v>
      </c>
      <c r="B527" t="s">
        <v>2090</v>
      </c>
      <c r="C527">
        <v>25</v>
      </c>
      <c r="D527" t="s">
        <v>1511</v>
      </c>
    </row>
    <row r="528" spans="1:4" x14ac:dyDescent="0.2">
      <c r="A528" t="s">
        <v>2477</v>
      </c>
      <c r="B528" t="s">
        <v>2476</v>
      </c>
      <c r="C528">
        <v>3</v>
      </c>
      <c r="D528" t="s">
        <v>1540</v>
      </c>
    </row>
    <row r="529" spans="1:4" x14ac:dyDescent="0.2">
      <c r="A529" t="s">
        <v>2475</v>
      </c>
      <c r="B529" t="s">
        <v>2474</v>
      </c>
      <c r="C529">
        <v>1</v>
      </c>
      <c r="D529" t="s">
        <v>1517</v>
      </c>
    </row>
    <row r="530" spans="1:4" x14ac:dyDescent="0.2">
      <c r="A530" t="s">
        <v>2473</v>
      </c>
      <c r="B530" t="s">
        <v>2472</v>
      </c>
      <c r="C530">
        <v>1</v>
      </c>
      <c r="D530" t="s">
        <v>1517</v>
      </c>
    </row>
    <row r="531" spans="1:4" x14ac:dyDescent="0.2">
      <c r="A531" t="s">
        <v>2471</v>
      </c>
      <c r="B531" t="s">
        <v>2470</v>
      </c>
      <c r="C531">
        <v>1</v>
      </c>
      <c r="D531" t="s">
        <v>1517</v>
      </c>
    </row>
    <row r="532" spans="1:4" x14ac:dyDescent="0.2">
      <c r="A532" t="s">
        <v>2469</v>
      </c>
      <c r="B532" t="s">
        <v>2468</v>
      </c>
      <c r="C532">
        <v>1</v>
      </c>
      <c r="D532" t="s">
        <v>1517</v>
      </c>
    </row>
    <row r="533" spans="1:4" x14ac:dyDescent="0.2">
      <c r="A533" t="s">
        <v>2467</v>
      </c>
      <c r="B533" t="s">
        <v>2466</v>
      </c>
      <c r="C533">
        <v>1</v>
      </c>
      <c r="D533" t="s">
        <v>1517</v>
      </c>
    </row>
    <row r="534" spans="1:4" x14ac:dyDescent="0.2">
      <c r="A534" t="s">
        <v>2465</v>
      </c>
      <c r="B534" t="s">
        <v>2464</v>
      </c>
      <c r="C534">
        <v>3</v>
      </c>
      <c r="D534" t="s">
        <v>1540</v>
      </c>
    </row>
    <row r="535" spans="1:4" x14ac:dyDescent="0.2">
      <c r="A535" t="s">
        <v>2463</v>
      </c>
      <c r="B535" t="s">
        <v>2462</v>
      </c>
      <c r="C535">
        <v>1</v>
      </c>
      <c r="D535" t="s">
        <v>1517</v>
      </c>
    </row>
    <row r="536" spans="1:4" x14ac:dyDescent="0.2">
      <c r="A536" t="s">
        <v>2461</v>
      </c>
      <c r="B536" t="s">
        <v>2460</v>
      </c>
      <c r="C536">
        <v>1</v>
      </c>
      <c r="D536" t="s">
        <v>1517</v>
      </c>
    </row>
    <row r="537" spans="1:4" x14ac:dyDescent="0.2">
      <c r="A537" t="s">
        <v>2459</v>
      </c>
      <c r="B537" t="s">
        <v>2458</v>
      </c>
      <c r="C537">
        <v>1</v>
      </c>
      <c r="D537" t="s">
        <v>1517</v>
      </c>
    </row>
    <row r="538" spans="1:4" x14ac:dyDescent="0.2">
      <c r="A538" t="s">
        <v>2457</v>
      </c>
      <c r="B538" t="s">
        <v>2456</v>
      </c>
      <c r="C538">
        <v>1</v>
      </c>
      <c r="D538" t="s">
        <v>1517</v>
      </c>
    </row>
    <row r="539" spans="1:4" x14ac:dyDescent="0.2">
      <c r="A539" t="s">
        <v>2455</v>
      </c>
      <c r="B539" t="s">
        <v>2454</v>
      </c>
      <c r="C539">
        <v>1</v>
      </c>
      <c r="D539" t="s">
        <v>1517</v>
      </c>
    </row>
    <row r="540" spans="1:4" x14ac:dyDescent="0.2">
      <c r="A540" t="s">
        <v>2453</v>
      </c>
      <c r="B540" t="s">
        <v>2452</v>
      </c>
      <c r="C540">
        <v>25</v>
      </c>
      <c r="D540" t="s">
        <v>1511</v>
      </c>
    </row>
    <row r="541" spans="1:4" x14ac:dyDescent="0.2">
      <c r="A541" t="s">
        <v>2451</v>
      </c>
      <c r="B541" t="s">
        <v>2450</v>
      </c>
      <c r="C541">
        <v>25</v>
      </c>
      <c r="D541" t="s">
        <v>1511</v>
      </c>
    </row>
    <row r="542" spans="1:4" x14ac:dyDescent="0.2">
      <c r="A542" t="s">
        <v>2449</v>
      </c>
      <c r="B542" t="s">
        <v>2448</v>
      </c>
      <c r="C542">
        <v>1</v>
      </c>
      <c r="D542" t="s">
        <v>1517</v>
      </c>
    </row>
    <row r="543" spans="1:4" x14ac:dyDescent="0.2">
      <c r="A543" t="s">
        <v>2447</v>
      </c>
      <c r="B543" t="s">
        <v>2446</v>
      </c>
      <c r="C543">
        <v>1</v>
      </c>
      <c r="D543" t="s">
        <v>1517</v>
      </c>
    </row>
    <row r="544" spans="1:4" x14ac:dyDescent="0.2">
      <c r="A544" t="s">
        <v>2445</v>
      </c>
      <c r="B544" t="s">
        <v>2444</v>
      </c>
      <c r="C544">
        <v>1</v>
      </c>
      <c r="D544" t="s">
        <v>1517</v>
      </c>
    </row>
    <row r="545" spans="1:4" x14ac:dyDescent="0.2">
      <c r="A545" t="s">
        <v>1084</v>
      </c>
      <c r="B545" t="s">
        <v>2443</v>
      </c>
      <c r="C545">
        <v>1</v>
      </c>
      <c r="D545" t="s">
        <v>1517</v>
      </c>
    </row>
    <row r="546" spans="1:4" x14ac:dyDescent="0.2">
      <c r="A546" t="s">
        <v>2442</v>
      </c>
      <c r="B546" t="s">
        <v>2441</v>
      </c>
      <c r="C546">
        <v>14</v>
      </c>
      <c r="D546" t="s">
        <v>1555</v>
      </c>
    </row>
    <row r="547" spans="1:4" x14ac:dyDescent="0.2">
      <c r="A547" t="s">
        <v>2440</v>
      </c>
      <c r="B547" t="s">
        <v>2439</v>
      </c>
      <c r="C547">
        <v>1</v>
      </c>
      <c r="D547" t="s">
        <v>1517</v>
      </c>
    </row>
    <row r="548" spans="1:4" x14ac:dyDescent="0.2">
      <c r="A548" t="s">
        <v>2438</v>
      </c>
      <c r="B548" t="s">
        <v>2437</v>
      </c>
      <c r="C548">
        <v>1</v>
      </c>
      <c r="D548" t="s">
        <v>1517</v>
      </c>
    </row>
    <row r="549" spans="1:4" x14ac:dyDescent="0.2">
      <c r="A549" t="s">
        <v>2436</v>
      </c>
      <c r="B549" t="s">
        <v>2435</v>
      </c>
      <c r="C549">
        <v>1</v>
      </c>
      <c r="D549" t="s">
        <v>1517</v>
      </c>
    </row>
    <row r="550" spans="1:4" x14ac:dyDescent="0.2">
      <c r="A550" t="s">
        <v>2434</v>
      </c>
      <c r="B550" t="s">
        <v>2433</v>
      </c>
      <c r="C550">
        <v>1</v>
      </c>
      <c r="D550" t="s">
        <v>1517</v>
      </c>
    </row>
    <row r="551" spans="1:4" x14ac:dyDescent="0.2">
      <c r="A551" t="s">
        <v>2432</v>
      </c>
      <c r="B551" t="s">
        <v>2431</v>
      </c>
      <c r="C551">
        <v>1</v>
      </c>
      <c r="D551" t="s">
        <v>1517</v>
      </c>
    </row>
    <row r="552" spans="1:4" x14ac:dyDescent="0.2">
      <c r="A552" t="s">
        <v>2430</v>
      </c>
      <c r="B552" t="s">
        <v>2429</v>
      </c>
      <c r="C552">
        <v>1</v>
      </c>
      <c r="D552" t="s">
        <v>1517</v>
      </c>
    </row>
    <row r="553" spans="1:4" x14ac:dyDescent="0.2">
      <c r="A553" t="s">
        <v>2428</v>
      </c>
      <c r="B553" t="s">
        <v>2427</v>
      </c>
      <c r="C553">
        <v>2</v>
      </c>
      <c r="D553" t="s">
        <v>1529</v>
      </c>
    </row>
    <row r="554" spans="1:4" x14ac:dyDescent="0.2">
      <c r="A554" t="s">
        <v>2426</v>
      </c>
      <c r="B554" t="s">
        <v>2425</v>
      </c>
      <c r="C554">
        <v>25</v>
      </c>
      <c r="D554" t="s">
        <v>1511</v>
      </c>
    </row>
    <row r="555" spans="1:4" x14ac:dyDescent="0.2">
      <c r="A555" t="s">
        <v>2424</v>
      </c>
      <c r="B555" t="s">
        <v>2423</v>
      </c>
      <c r="C555">
        <v>1</v>
      </c>
      <c r="D555" t="s">
        <v>1517</v>
      </c>
    </row>
    <row r="556" spans="1:4" x14ac:dyDescent="0.2">
      <c r="A556" t="s">
        <v>2422</v>
      </c>
      <c r="B556" t="s">
        <v>2421</v>
      </c>
      <c r="C556">
        <v>1</v>
      </c>
      <c r="D556" t="s">
        <v>1517</v>
      </c>
    </row>
    <row r="557" spans="1:4" x14ac:dyDescent="0.2">
      <c r="A557" t="s">
        <v>2420</v>
      </c>
      <c r="B557" t="s">
        <v>2419</v>
      </c>
      <c r="C557">
        <v>1</v>
      </c>
      <c r="D557" t="s">
        <v>1517</v>
      </c>
    </row>
    <row r="558" spans="1:4" x14ac:dyDescent="0.2">
      <c r="A558" t="s">
        <v>1086</v>
      </c>
      <c r="B558" t="s">
        <v>2418</v>
      </c>
      <c r="C558">
        <v>1</v>
      </c>
      <c r="D558" t="s">
        <v>1517</v>
      </c>
    </row>
    <row r="559" spans="1:4" x14ac:dyDescent="0.2">
      <c r="A559" t="s">
        <v>1373</v>
      </c>
      <c r="B559" t="s">
        <v>2417</v>
      </c>
      <c r="C559">
        <v>25</v>
      </c>
      <c r="D559" t="s">
        <v>1511</v>
      </c>
    </row>
    <row r="560" spans="1:4" x14ac:dyDescent="0.2">
      <c r="A560" t="s">
        <v>2416</v>
      </c>
      <c r="B560" t="s">
        <v>2415</v>
      </c>
      <c r="C560">
        <v>1</v>
      </c>
      <c r="D560" t="s">
        <v>1517</v>
      </c>
    </row>
    <row r="561" spans="1:4" x14ac:dyDescent="0.2">
      <c r="A561" t="s">
        <v>2414</v>
      </c>
      <c r="B561" t="s">
        <v>2413</v>
      </c>
      <c r="C561">
        <v>1</v>
      </c>
      <c r="D561" t="s">
        <v>1517</v>
      </c>
    </row>
    <row r="562" spans="1:4" x14ac:dyDescent="0.2">
      <c r="A562" t="s">
        <v>2412</v>
      </c>
      <c r="B562" t="s">
        <v>2411</v>
      </c>
      <c r="C562">
        <v>1</v>
      </c>
      <c r="D562" t="s">
        <v>1517</v>
      </c>
    </row>
    <row r="563" spans="1:4" x14ac:dyDescent="0.2">
      <c r="A563" t="s">
        <v>2410</v>
      </c>
      <c r="B563" t="s">
        <v>2409</v>
      </c>
      <c r="C563">
        <v>1</v>
      </c>
      <c r="D563" t="s">
        <v>1517</v>
      </c>
    </row>
    <row r="564" spans="1:4" x14ac:dyDescent="0.2">
      <c r="A564" t="s">
        <v>2408</v>
      </c>
      <c r="B564" t="s">
        <v>2407</v>
      </c>
      <c r="C564">
        <v>21</v>
      </c>
      <c r="D564" t="s">
        <v>1579</v>
      </c>
    </row>
    <row r="565" spans="1:4" x14ac:dyDescent="0.2">
      <c r="A565" t="s">
        <v>2406</v>
      </c>
      <c r="B565" t="s">
        <v>2405</v>
      </c>
      <c r="C565">
        <v>1</v>
      </c>
      <c r="D565" t="s">
        <v>1517</v>
      </c>
    </row>
    <row r="566" spans="1:4" x14ac:dyDescent="0.2">
      <c r="A566" t="s">
        <v>2404</v>
      </c>
      <c r="B566" t="s">
        <v>2403</v>
      </c>
      <c r="C566">
        <v>25</v>
      </c>
      <c r="D566" t="s">
        <v>1511</v>
      </c>
    </row>
    <row r="567" spans="1:4" x14ac:dyDescent="0.2">
      <c r="A567" t="s">
        <v>2402</v>
      </c>
      <c r="B567" t="s">
        <v>2401</v>
      </c>
      <c r="C567">
        <v>25</v>
      </c>
      <c r="D567" t="s">
        <v>1511</v>
      </c>
    </row>
    <row r="568" spans="1:4" x14ac:dyDescent="0.2">
      <c r="A568" t="s">
        <v>2400</v>
      </c>
      <c r="B568" t="s">
        <v>2399</v>
      </c>
      <c r="C568">
        <v>25</v>
      </c>
      <c r="D568" t="s">
        <v>1511</v>
      </c>
    </row>
    <row r="569" spans="1:4" x14ac:dyDescent="0.2">
      <c r="A569" t="s">
        <v>163</v>
      </c>
      <c r="B569" t="s">
        <v>2398</v>
      </c>
      <c r="C569">
        <v>1</v>
      </c>
      <c r="D569" t="s">
        <v>1517</v>
      </c>
    </row>
    <row r="570" spans="1:4" x14ac:dyDescent="0.2">
      <c r="A570" t="s">
        <v>164</v>
      </c>
      <c r="B570" t="s">
        <v>2397</v>
      </c>
      <c r="C570">
        <v>1</v>
      </c>
      <c r="D570" t="s">
        <v>1517</v>
      </c>
    </row>
    <row r="571" spans="1:4" x14ac:dyDescent="0.2">
      <c r="A571" t="s">
        <v>2396</v>
      </c>
      <c r="B571" t="s">
        <v>2395</v>
      </c>
      <c r="C571">
        <v>7</v>
      </c>
      <c r="D571" t="s">
        <v>1715</v>
      </c>
    </row>
    <row r="572" spans="1:4" x14ac:dyDescent="0.2">
      <c r="A572" t="s">
        <v>2394</v>
      </c>
      <c r="B572" t="s">
        <v>2393</v>
      </c>
      <c r="C572">
        <v>1</v>
      </c>
      <c r="D572" t="s">
        <v>1517</v>
      </c>
    </row>
    <row r="573" spans="1:4" x14ac:dyDescent="0.2">
      <c r="A573" t="s">
        <v>2392</v>
      </c>
      <c r="B573" t="s">
        <v>2391</v>
      </c>
      <c r="C573">
        <v>2</v>
      </c>
      <c r="D573" t="s">
        <v>1529</v>
      </c>
    </row>
    <row r="574" spans="1:4" x14ac:dyDescent="0.2">
      <c r="A574" t="s">
        <v>2390</v>
      </c>
      <c r="B574" t="s">
        <v>2389</v>
      </c>
      <c r="C574">
        <v>1</v>
      </c>
      <c r="D574" t="s">
        <v>1517</v>
      </c>
    </row>
    <row r="575" spans="1:4" x14ac:dyDescent="0.2">
      <c r="A575" t="s">
        <v>2388</v>
      </c>
      <c r="B575" t="s">
        <v>2387</v>
      </c>
      <c r="C575">
        <v>1</v>
      </c>
      <c r="D575" t="s">
        <v>1517</v>
      </c>
    </row>
    <row r="576" spans="1:4" x14ac:dyDescent="0.2">
      <c r="A576" t="s">
        <v>2386</v>
      </c>
      <c r="B576" t="s">
        <v>2385</v>
      </c>
      <c r="C576">
        <v>3</v>
      </c>
      <c r="D576" t="s">
        <v>1540</v>
      </c>
    </row>
    <row r="577" spans="1:4" x14ac:dyDescent="0.2">
      <c r="A577" t="s">
        <v>340</v>
      </c>
      <c r="B577" t="s">
        <v>2384</v>
      </c>
      <c r="C577">
        <v>25</v>
      </c>
      <c r="D577" t="s">
        <v>1511</v>
      </c>
    </row>
    <row r="578" spans="1:4" x14ac:dyDescent="0.2">
      <c r="A578" t="s">
        <v>2383</v>
      </c>
      <c r="B578" t="s">
        <v>2382</v>
      </c>
      <c r="C578">
        <v>17</v>
      </c>
      <c r="D578" t="s">
        <v>1649</v>
      </c>
    </row>
    <row r="579" spans="1:4" x14ac:dyDescent="0.2">
      <c r="A579" t="s">
        <v>1100</v>
      </c>
      <c r="B579" t="s">
        <v>2381</v>
      </c>
      <c r="C579">
        <v>3</v>
      </c>
      <c r="D579" t="s">
        <v>1540</v>
      </c>
    </row>
    <row r="580" spans="1:4" x14ac:dyDescent="0.2">
      <c r="A580" t="s">
        <v>2380</v>
      </c>
      <c r="B580" t="s">
        <v>2379</v>
      </c>
      <c r="C580">
        <v>1</v>
      </c>
      <c r="D580" t="s">
        <v>1517</v>
      </c>
    </row>
    <row r="581" spans="1:4" x14ac:dyDescent="0.2">
      <c r="A581" t="s">
        <v>2378</v>
      </c>
      <c r="B581" t="s">
        <v>2377</v>
      </c>
      <c r="C581">
        <v>1</v>
      </c>
      <c r="D581" t="s">
        <v>1517</v>
      </c>
    </row>
    <row r="582" spans="1:4" x14ac:dyDescent="0.2">
      <c r="A582" t="s">
        <v>2376</v>
      </c>
      <c r="B582" t="s">
        <v>2375</v>
      </c>
      <c r="C582">
        <v>25</v>
      </c>
      <c r="D582" t="s">
        <v>1511</v>
      </c>
    </row>
    <row r="583" spans="1:4" x14ac:dyDescent="0.2">
      <c r="A583" t="s">
        <v>2374</v>
      </c>
      <c r="B583" t="s">
        <v>2373</v>
      </c>
      <c r="C583">
        <v>12</v>
      </c>
      <c r="D583" t="s">
        <v>1609</v>
      </c>
    </row>
    <row r="584" spans="1:4" x14ac:dyDescent="0.2">
      <c r="A584" t="s">
        <v>1194</v>
      </c>
      <c r="B584" t="s">
        <v>2372</v>
      </c>
      <c r="C584">
        <v>1</v>
      </c>
      <c r="D584" t="s">
        <v>1517</v>
      </c>
    </row>
    <row r="585" spans="1:4" x14ac:dyDescent="0.2">
      <c r="A585" t="s">
        <v>2371</v>
      </c>
      <c r="B585" t="s">
        <v>2370</v>
      </c>
      <c r="C585">
        <v>25</v>
      </c>
      <c r="D585" t="s">
        <v>1511</v>
      </c>
    </row>
    <row r="586" spans="1:4" x14ac:dyDescent="0.2">
      <c r="A586" t="s">
        <v>2369</v>
      </c>
      <c r="B586" t="s">
        <v>2368</v>
      </c>
      <c r="C586">
        <v>3</v>
      </c>
      <c r="D586" t="s">
        <v>1540</v>
      </c>
    </row>
    <row r="587" spans="1:4" x14ac:dyDescent="0.2">
      <c r="A587" t="s">
        <v>2367</v>
      </c>
      <c r="B587" t="s">
        <v>2366</v>
      </c>
      <c r="C587">
        <v>1</v>
      </c>
      <c r="D587" t="s">
        <v>1517</v>
      </c>
    </row>
    <row r="588" spans="1:4" x14ac:dyDescent="0.2">
      <c r="A588" t="s">
        <v>2365</v>
      </c>
      <c r="B588" t="s">
        <v>2364</v>
      </c>
      <c r="C588">
        <v>1</v>
      </c>
      <c r="D588" t="s">
        <v>1517</v>
      </c>
    </row>
    <row r="589" spans="1:4" x14ac:dyDescent="0.2">
      <c r="A589" t="s">
        <v>2363</v>
      </c>
      <c r="B589" t="s">
        <v>2362</v>
      </c>
      <c r="C589">
        <v>1</v>
      </c>
      <c r="D589" t="s">
        <v>1517</v>
      </c>
    </row>
    <row r="590" spans="1:4" x14ac:dyDescent="0.2">
      <c r="A590" t="s">
        <v>2361</v>
      </c>
      <c r="B590" t="s">
        <v>2360</v>
      </c>
      <c r="C590">
        <v>15</v>
      </c>
      <c r="D590" t="s">
        <v>1618</v>
      </c>
    </row>
    <row r="591" spans="1:4" x14ac:dyDescent="0.2">
      <c r="A591" t="s">
        <v>1329</v>
      </c>
      <c r="B591" t="s">
        <v>2359</v>
      </c>
      <c r="C591">
        <v>17</v>
      </c>
      <c r="D591" t="s">
        <v>1649</v>
      </c>
    </row>
    <row r="592" spans="1:4" x14ac:dyDescent="0.2">
      <c r="A592" t="s">
        <v>2358</v>
      </c>
      <c r="B592" t="s">
        <v>2357</v>
      </c>
      <c r="C592">
        <v>3</v>
      </c>
      <c r="D592" t="s">
        <v>1540</v>
      </c>
    </row>
    <row r="593" spans="1:4" x14ac:dyDescent="0.2">
      <c r="A593" t="s">
        <v>2356</v>
      </c>
      <c r="B593" t="s">
        <v>2355</v>
      </c>
      <c r="C593">
        <v>1</v>
      </c>
      <c r="D593" t="s">
        <v>1517</v>
      </c>
    </row>
    <row r="594" spans="1:4" x14ac:dyDescent="0.2">
      <c r="A594" t="s">
        <v>2354</v>
      </c>
      <c r="B594" t="s">
        <v>2353</v>
      </c>
      <c r="C594">
        <v>2</v>
      </c>
      <c r="D594" t="s">
        <v>1529</v>
      </c>
    </row>
    <row r="595" spans="1:4" x14ac:dyDescent="0.2">
      <c r="A595" t="s">
        <v>2352</v>
      </c>
      <c r="B595" t="s">
        <v>2351</v>
      </c>
      <c r="C595">
        <v>21</v>
      </c>
      <c r="D595" t="s">
        <v>1579</v>
      </c>
    </row>
    <row r="596" spans="1:4" x14ac:dyDescent="0.2">
      <c r="A596" t="s">
        <v>2350</v>
      </c>
      <c r="B596" t="s">
        <v>2349</v>
      </c>
      <c r="C596">
        <v>3</v>
      </c>
      <c r="D596" t="s">
        <v>1540</v>
      </c>
    </row>
    <row r="597" spans="1:4" x14ac:dyDescent="0.2">
      <c r="A597" t="s">
        <v>2348</v>
      </c>
      <c r="B597" t="s">
        <v>2347</v>
      </c>
      <c r="C597">
        <v>19</v>
      </c>
      <c r="D597" t="s">
        <v>1535</v>
      </c>
    </row>
    <row r="598" spans="1:4" x14ac:dyDescent="0.2">
      <c r="A598" t="s">
        <v>2346</v>
      </c>
      <c r="B598" t="s">
        <v>2345</v>
      </c>
      <c r="C598">
        <v>19</v>
      </c>
      <c r="D598" t="s">
        <v>1535</v>
      </c>
    </row>
    <row r="599" spans="1:4" x14ac:dyDescent="0.2">
      <c r="A599" t="s">
        <v>2344</v>
      </c>
      <c r="B599" t="s">
        <v>2343</v>
      </c>
      <c r="C599">
        <v>25</v>
      </c>
      <c r="D599" t="s">
        <v>1511</v>
      </c>
    </row>
    <row r="600" spans="1:4" x14ac:dyDescent="0.2">
      <c r="A600" t="s">
        <v>2342</v>
      </c>
      <c r="B600" t="s">
        <v>2341</v>
      </c>
      <c r="C600">
        <v>1</v>
      </c>
      <c r="D600" t="s">
        <v>1517</v>
      </c>
    </row>
    <row r="601" spans="1:4" x14ac:dyDescent="0.2">
      <c r="A601" t="s">
        <v>2340</v>
      </c>
      <c r="B601" t="s">
        <v>2339</v>
      </c>
      <c r="C601">
        <v>1</v>
      </c>
      <c r="D601" t="s">
        <v>1517</v>
      </c>
    </row>
    <row r="602" spans="1:4" x14ac:dyDescent="0.2">
      <c r="A602" t="s">
        <v>2338</v>
      </c>
      <c r="B602" t="s">
        <v>2337</v>
      </c>
      <c r="C602">
        <v>15</v>
      </c>
      <c r="D602" t="s">
        <v>1618</v>
      </c>
    </row>
    <row r="603" spans="1:4" x14ac:dyDescent="0.2">
      <c r="A603" t="s">
        <v>1204</v>
      </c>
      <c r="B603" t="s">
        <v>2336</v>
      </c>
      <c r="C603">
        <v>1</v>
      </c>
      <c r="D603" t="s">
        <v>1517</v>
      </c>
    </row>
    <row r="604" spans="1:4" x14ac:dyDescent="0.2">
      <c r="A604" t="s">
        <v>2335</v>
      </c>
      <c r="B604" t="s">
        <v>2334</v>
      </c>
      <c r="C604">
        <v>1</v>
      </c>
      <c r="D604" t="s">
        <v>1517</v>
      </c>
    </row>
    <row r="605" spans="1:4" x14ac:dyDescent="0.2">
      <c r="A605" t="s">
        <v>2333</v>
      </c>
      <c r="B605" t="s">
        <v>2332</v>
      </c>
      <c r="C605">
        <v>2</v>
      </c>
      <c r="D605" t="s">
        <v>1529</v>
      </c>
    </row>
    <row r="606" spans="1:4" x14ac:dyDescent="0.2">
      <c r="A606" t="s">
        <v>981</v>
      </c>
      <c r="B606" t="s">
        <v>2331</v>
      </c>
      <c r="C606">
        <v>1</v>
      </c>
      <c r="D606" t="s">
        <v>1517</v>
      </c>
    </row>
    <row r="607" spans="1:4" x14ac:dyDescent="0.2">
      <c r="A607" t="s">
        <v>2330</v>
      </c>
      <c r="B607" t="s">
        <v>2329</v>
      </c>
      <c r="C607">
        <v>25</v>
      </c>
      <c r="D607" t="s">
        <v>1511</v>
      </c>
    </row>
    <row r="608" spans="1:4" x14ac:dyDescent="0.2">
      <c r="A608" t="s">
        <v>2328</v>
      </c>
      <c r="B608" t="s">
        <v>2327</v>
      </c>
      <c r="C608">
        <v>25</v>
      </c>
      <c r="D608" t="s">
        <v>1511</v>
      </c>
    </row>
    <row r="609" spans="1:4" x14ac:dyDescent="0.2">
      <c r="A609" t="s">
        <v>2326</v>
      </c>
      <c r="B609" t="s">
        <v>2325</v>
      </c>
      <c r="C609">
        <v>14</v>
      </c>
      <c r="D609" t="s">
        <v>1555</v>
      </c>
    </row>
    <row r="610" spans="1:4" x14ac:dyDescent="0.2">
      <c r="A610" t="s">
        <v>2324</v>
      </c>
      <c r="B610" t="s">
        <v>2323</v>
      </c>
      <c r="C610">
        <v>2</v>
      </c>
      <c r="D610" t="s">
        <v>1529</v>
      </c>
    </row>
    <row r="611" spans="1:4" x14ac:dyDescent="0.2">
      <c r="A611" t="s">
        <v>2322</v>
      </c>
      <c r="B611" t="s">
        <v>2321</v>
      </c>
      <c r="C611">
        <v>25</v>
      </c>
      <c r="D611" t="s">
        <v>1511</v>
      </c>
    </row>
    <row r="612" spans="1:4" x14ac:dyDescent="0.2">
      <c r="A612" t="s">
        <v>2320</v>
      </c>
      <c r="B612" t="s">
        <v>2319</v>
      </c>
      <c r="C612">
        <v>25</v>
      </c>
      <c r="D612" t="s">
        <v>1511</v>
      </c>
    </row>
    <row r="613" spans="1:4" x14ac:dyDescent="0.2">
      <c r="A613" t="s">
        <v>2318</v>
      </c>
      <c r="B613" t="s">
        <v>2317</v>
      </c>
      <c r="C613">
        <v>15</v>
      </c>
      <c r="D613" t="s">
        <v>1618</v>
      </c>
    </row>
    <row r="614" spans="1:4" x14ac:dyDescent="0.2">
      <c r="A614" t="s">
        <v>2316</v>
      </c>
      <c r="B614" t="s">
        <v>2315</v>
      </c>
      <c r="C614">
        <v>1</v>
      </c>
      <c r="D614" t="s">
        <v>1517</v>
      </c>
    </row>
    <row r="615" spans="1:4" x14ac:dyDescent="0.2">
      <c r="A615" t="s">
        <v>1346</v>
      </c>
      <c r="B615" t="s">
        <v>2314</v>
      </c>
      <c r="C615">
        <v>1</v>
      </c>
      <c r="D615" t="s">
        <v>1517</v>
      </c>
    </row>
    <row r="616" spans="1:4" x14ac:dyDescent="0.2">
      <c r="A616" t="s">
        <v>2313</v>
      </c>
      <c r="B616" t="s">
        <v>2312</v>
      </c>
      <c r="C616">
        <v>1</v>
      </c>
      <c r="D616" t="s">
        <v>1517</v>
      </c>
    </row>
    <row r="617" spans="1:4" x14ac:dyDescent="0.2">
      <c r="A617" t="s">
        <v>2311</v>
      </c>
      <c r="B617" t="s">
        <v>2310</v>
      </c>
      <c r="C617">
        <v>1</v>
      </c>
      <c r="D617" t="s">
        <v>1517</v>
      </c>
    </row>
    <row r="618" spans="1:4" x14ac:dyDescent="0.2">
      <c r="A618" t="s">
        <v>2309</v>
      </c>
      <c r="B618" t="s">
        <v>2308</v>
      </c>
      <c r="C618">
        <v>25</v>
      </c>
      <c r="D618" t="s">
        <v>1511</v>
      </c>
    </row>
    <row r="619" spans="1:4" x14ac:dyDescent="0.2">
      <c r="A619" t="s">
        <v>2307</v>
      </c>
      <c r="B619" t="s">
        <v>2306</v>
      </c>
      <c r="C619">
        <v>25</v>
      </c>
      <c r="D619" t="s">
        <v>1511</v>
      </c>
    </row>
    <row r="620" spans="1:4" x14ac:dyDescent="0.2">
      <c r="A620" t="s">
        <v>2305</v>
      </c>
      <c r="B620" t="s">
        <v>2304</v>
      </c>
      <c r="C620">
        <v>25</v>
      </c>
      <c r="D620" t="s">
        <v>1511</v>
      </c>
    </row>
    <row r="621" spans="1:4" x14ac:dyDescent="0.2">
      <c r="A621" t="s">
        <v>2303</v>
      </c>
      <c r="B621" t="s">
        <v>2302</v>
      </c>
      <c r="C621">
        <v>21</v>
      </c>
      <c r="D621" t="s">
        <v>1579</v>
      </c>
    </row>
    <row r="622" spans="1:4" x14ac:dyDescent="0.2">
      <c r="A622" t="s">
        <v>2301</v>
      </c>
      <c r="B622" t="s">
        <v>2300</v>
      </c>
      <c r="C622">
        <v>1</v>
      </c>
      <c r="D622" t="s">
        <v>1517</v>
      </c>
    </row>
    <row r="623" spans="1:4" x14ac:dyDescent="0.2">
      <c r="A623" t="s">
        <v>2299</v>
      </c>
      <c r="B623" t="s">
        <v>2298</v>
      </c>
      <c r="C623">
        <v>1</v>
      </c>
      <c r="D623" t="s">
        <v>1517</v>
      </c>
    </row>
    <row r="624" spans="1:4" x14ac:dyDescent="0.2">
      <c r="A624" t="s">
        <v>2297</v>
      </c>
      <c r="B624" t="s">
        <v>2296</v>
      </c>
      <c r="C624">
        <v>1</v>
      </c>
      <c r="D624" t="s">
        <v>1517</v>
      </c>
    </row>
    <row r="625" spans="1:4" x14ac:dyDescent="0.2">
      <c r="A625" t="s">
        <v>2295</v>
      </c>
      <c r="B625" t="s">
        <v>2294</v>
      </c>
      <c r="C625">
        <v>24</v>
      </c>
      <c r="D625" t="s">
        <v>1781</v>
      </c>
    </row>
    <row r="626" spans="1:4" x14ac:dyDescent="0.2">
      <c r="A626" t="s">
        <v>2293</v>
      </c>
      <c r="B626" t="s">
        <v>2292</v>
      </c>
      <c r="C626">
        <v>24</v>
      </c>
      <c r="D626" t="s">
        <v>1781</v>
      </c>
    </row>
    <row r="627" spans="1:4" x14ac:dyDescent="0.2">
      <c r="A627" t="s">
        <v>2291</v>
      </c>
      <c r="B627" t="s">
        <v>2290</v>
      </c>
      <c r="C627">
        <v>24</v>
      </c>
      <c r="D627" t="s">
        <v>1781</v>
      </c>
    </row>
    <row r="628" spans="1:4" x14ac:dyDescent="0.2">
      <c r="A628" t="s">
        <v>175</v>
      </c>
      <c r="B628" t="s">
        <v>2289</v>
      </c>
      <c r="C628">
        <v>1</v>
      </c>
      <c r="D628" t="s">
        <v>1517</v>
      </c>
    </row>
    <row r="629" spans="1:4" x14ac:dyDescent="0.2">
      <c r="A629" t="s">
        <v>2288</v>
      </c>
      <c r="B629" t="s">
        <v>2287</v>
      </c>
      <c r="C629">
        <v>1</v>
      </c>
      <c r="D629" t="s">
        <v>1517</v>
      </c>
    </row>
    <row r="630" spans="1:4" x14ac:dyDescent="0.2">
      <c r="A630" t="s">
        <v>2286</v>
      </c>
      <c r="B630" t="s">
        <v>2285</v>
      </c>
      <c r="C630">
        <v>1</v>
      </c>
      <c r="D630" t="s">
        <v>1517</v>
      </c>
    </row>
    <row r="631" spans="1:4" x14ac:dyDescent="0.2">
      <c r="A631" t="s">
        <v>2284</v>
      </c>
      <c r="B631" t="s">
        <v>2283</v>
      </c>
      <c r="C631">
        <v>25</v>
      </c>
      <c r="D631" t="s">
        <v>1511</v>
      </c>
    </row>
    <row r="632" spans="1:4" x14ac:dyDescent="0.2">
      <c r="A632" t="s">
        <v>2282</v>
      </c>
      <c r="B632" t="s">
        <v>2281</v>
      </c>
      <c r="C632">
        <v>1</v>
      </c>
      <c r="D632" t="s">
        <v>1517</v>
      </c>
    </row>
    <row r="633" spans="1:4" x14ac:dyDescent="0.2">
      <c r="A633" t="s">
        <v>2280</v>
      </c>
      <c r="B633" t="s">
        <v>2279</v>
      </c>
      <c r="C633">
        <v>1</v>
      </c>
      <c r="D633" t="s">
        <v>1517</v>
      </c>
    </row>
    <row r="634" spans="1:4" x14ac:dyDescent="0.2">
      <c r="A634" t="s">
        <v>2278</v>
      </c>
      <c r="B634" t="s">
        <v>2277</v>
      </c>
      <c r="C634">
        <v>1</v>
      </c>
      <c r="D634" t="s">
        <v>1517</v>
      </c>
    </row>
    <row r="635" spans="1:4" x14ac:dyDescent="0.2">
      <c r="A635" t="s">
        <v>2276</v>
      </c>
      <c r="B635" t="s">
        <v>2275</v>
      </c>
      <c r="C635">
        <v>1</v>
      </c>
      <c r="D635" t="s">
        <v>1517</v>
      </c>
    </row>
    <row r="636" spans="1:4" x14ac:dyDescent="0.2">
      <c r="A636" t="s">
        <v>2274</v>
      </c>
      <c r="B636" t="s">
        <v>2273</v>
      </c>
      <c r="C636">
        <v>3</v>
      </c>
      <c r="D636" t="s">
        <v>1540</v>
      </c>
    </row>
    <row r="637" spans="1:4" x14ac:dyDescent="0.2">
      <c r="A637" t="s">
        <v>949</v>
      </c>
      <c r="B637" t="s">
        <v>2272</v>
      </c>
      <c r="C637">
        <v>6</v>
      </c>
      <c r="D637" t="s">
        <v>1788</v>
      </c>
    </row>
    <row r="638" spans="1:4" x14ac:dyDescent="0.2">
      <c r="A638" t="s">
        <v>2271</v>
      </c>
      <c r="B638" t="s">
        <v>2270</v>
      </c>
      <c r="C638">
        <v>1</v>
      </c>
      <c r="D638" t="s">
        <v>1517</v>
      </c>
    </row>
    <row r="639" spans="1:4" x14ac:dyDescent="0.2">
      <c r="A639" t="s">
        <v>1364</v>
      </c>
      <c r="B639" t="s">
        <v>2269</v>
      </c>
      <c r="C639">
        <v>25</v>
      </c>
      <c r="D639" t="s">
        <v>1511</v>
      </c>
    </row>
    <row r="640" spans="1:4" x14ac:dyDescent="0.2">
      <c r="A640" t="s">
        <v>2268</v>
      </c>
      <c r="B640" t="s">
        <v>2267</v>
      </c>
      <c r="C640">
        <v>1</v>
      </c>
      <c r="D640" t="s">
        <v>1517</v>
      </c>
    </row>
    <row r="641" spans="1:4" x14ac:dyDescent="0.2">
      <c r="A641" t="s">
        <v>2266</v>
      </c>
      <c r="B641" t="s">
        <v>2265</v>
      </c>
      <c r="C641">
        <v>1</v>
      </c>
      <c r="D641" t="s">
        <v>1517</v>
      </c>
    </row>
    <row r="642" spans="1:4" x14ac:dyDescent="0.2">
      <c r="A642" t="s">
        <v>2264</v>
      </c>
      <c r="B642" t="s">
        <v>2263</v>
      </c>
      <c r="C642">
        <v>1</v>
      </c>
      <c r="D642" t="s">
        <v>1517</v>
      </c>
    </row>
    <row r="643" spans="1:4" x14ac:dyDescent="0.2">
      <c r="A643" t="s">
        <v>2262</v>
      </c>
      <c r="B643" t="s">
        <v>2261</v>
      </c>
      <c r="C643">
        <v>1</v>
      </c>
      <c r="D643" t="s">
        <v>1517</v>
      </c>
    </row>
    <row r="644" spans="1:4" x14ac:dyDescent="0.2">
      <c r="A644" t="s">
        <v>2260</v>
      </c>
      <c r="B644" t="s">
        <v>2259</v>
      </c>
      <c r="C644">
        <v>1</v>
      </c>
      <c r="D644" t="s">
        <v>1517</v>
      </c>
    </row>
    <row r="645" spans="1:4" x14ac:dyDescent="0.2">
      <c r="A645" t="s">
        <v>2258</v>
      </c>
      <c r="B645" t="s">
        <v>2257</v>
      </c>
      <c r="C645">
        <v>1</v>
      </c>
      <c r="D645" t="s">
        <v>1517</v>
      </c>
    </row>
    <row r="646" spans="1:4" x14ac:dyDescent="0.2">
      <c r="A646" t="s">
        <v>2256</v>
      </c>
      <c r="B646" t="s">
        <v>2255</v>
      </c>
      <c r="C646">
        <v>3</v>
      </c>
      <c r="D646" t="s">
        <v>1540</v>
      </c>
    </row>
    <row r="647" spans="1:4" x14ac:dyDescent="0.2">
      <c r="A647" t="s">
        <v>2254</v>
      </c>
      <c r="B647" t="s">
        <v>2253</v>
      </c>
      <c r="C647">
        <v>3</v>
      </c>
      <c r="D647" t="s">
        <v>1540</v>
      </c>
    </row>
    <row r="648" spans="1:4" x14ac:dyDescent="0.2">
      <c r="A648" t="s">
        <v>2252</v>
      </c>
      <c r="B648" t="s">
        <v>2251</v>
      </c>
      <c r="C648">
        <v>25</v>
      </c>
      <c r="D648" t="s">
        <v>1511</v>
      </c>
    </row>
    <row r="649" spans="1:4" x14ac:dyDescent="0.2">
      <c r="A649" t="s">
        <v>2250</v>
      </c>
      <c r="B649" t="s">
        <v>2249</v>
      </c>
      <c r="C649">
        <v>25</v>
      </c>
      <c r="D649" t="s">
        <v>1511</v>
      </c>
    </row>
    <row r="650" spans="1:4" x14ac:dyDescent="0.2">
      <c r="A650" t="s">
        <v>2248</v>
      </c>
      <c r="B650" t="s">
        <v>2247</v>
      </c>
      <c r="C650">
        <v>25</v>
      </c>
      <c r="D650" t="s">
        <v>1511</v>
      </c>
    </row>
    <row r="651" spans="1:4" x14ac:dyDescent="0.2">
      <c r="A651" t="s">
        <v>2246</v>
      </c>
      <c r="B651" t="s">
        <v>2245</v>
      </c>
      <c r="C651">
        <v>3</v>
      </c>
      <c r="D651" t="s">
        <v>1540</v>
      </c>
    </row>
    <row r="652" spans="1:4" x14ac:dyDescent="0.2">
      <c r="A652" t="s">
        <v>2244</v>
      </c>
      <c r="B652" t="s">
        <v>2243</v>
      </c>
      <c r="C652">
        <v>1</v>
      </c>
      <c r="D652" t="s">
        <v>1517</v>
      </c>
    </row>
    <row r="653" spans="1:4" x14ac:dyDescent="0.2">
      <c r="A653" t="s">
        <v>2242</v>
      </c>
      <c r="B653" t="s">
        <v>2241</v>
      </c>
      <c r="C653">
        <v>25</v>
      </c>
      <c r="D653" t="s">
        <v>1511</v>
      </c>
    </row>
    <row r="654" spans="1:4" x14ac:dyDescent="0.2">
      <c r="A654" t="s">
        <v>2240</v>
      </c>
      <c r="B654" t="s">
        <v>2239</v>
      </c>
      <c r="C654">
        <v>21</v>
      </c>
      <c r="D654" t="s">
        <v>1579</v>
      </c>
    </row>
    <row r="655" spans="1:4" x14ac:dyDescent="0.2">
      <c r="A655" t="s">
        <v>2238</v>
      </c>
      <c r="B655" t="s">
        <v>2237</v>
      </c>
      <c r="C655">
        <v>1</v>
      </c>
      <c r="D655" t="s">
        <v>1517</v>
      </c>
    </row>
    <row r="656" spans="1:4" x14ac:dyDescent="0.2">
      <c r="A656" t="s">
        <v>1238</v>
      </c>
      <c r="B656" t="s">
        <v>2236</v>
      </c>
      <c r="C656">
        <v>3</v>
      </c>
      <c r="D656" t="s">
        <v>1540</v>
      </c>
    </row>
    <row r="657" spans="1:4" x14ac:dyDescent="0.2">
      <c r="A657" t="s">
        <v>1237</v>
      </c>
      <c r="B657" t="s">
        <v>2235</v>
      </c>
      <c r="C657">
        <v>1</v>
      </c>
      <c r="D657" t="s">
        <v>1517</v>
      </c>
    </row>
    <row r="658" spans="1:4" x14ac:dyDescent="0.2">
      <c r="A658" t="s">
        <v>2234</v>
      </c>
      <c r="B658" t="s">
        <v>2233</v>
      </c>
      <c r="C658">
        <v>1</v>
      </c>
      <c r="D658" t="s">
        <v>1517</v>
      </c>
    </row>
    <row r="659" spans="1:4" x14ac:dyDescent="0.2">
      <c r="A659" t="s">
        <v>2232</v>
      </c>
      <c r="B659" t="s">
        <v>2231</v>
      </c>
      <c r="C659">
        <v>1</v>
      </c>
      <c r="D659" t="s">
        <v>1517</v>
      </c>
    </row>
    <row r="660" spans="1:4" x14ac:dyDescent="0.2">
      <c r="A660" t="s">
        <v>2230</v>
      </c>
      <c r="B660" t="s">
        <v>2229</v>
      </c>
      <c r="C660">
        <v>25</v>
      </c>
      <c r="D660" t="s">
        <v>1511</v>
      </c>
    </row>
    <row r="661" spans="1:4" x14ac:dyDescent="0.2">
      <c r="A661" t="s">
        <v>2228</v>
      </c>
      <c r="B661" t="s">
        <v>2227</v>
      </c>
      <c r="C661">
        <v>1</v>
      </c>
      <c r="D661" t="s">
        <v>1517</v>
      </c>
    </row>
    <row r="662" spans="1:4" x14ac:dyDescent="0.2">
      <c r="A662" t="s">
        <v>2226</v>
      </c>
      <c r="B662" t="s">
        <v>2225</v>
      </c>
      <c r="C662">
        <v>7</v>
      </c>
      <c r="D662" t="s">
        <v>1715</v>
      </c>
    </row>
    <row r="663" spans="1:4" x14ac:dyDescent="0.2">
      <c r="A663" t="s">
        <v>2224</v>
      </c>
      <c r="B663" t="s">
        <v>2223</v>
      </c>
      <c r="C663">
        <v>1</v>
      </c>
      <c r="D663" t="s">
        <v>1517</v>
      </c>
    </row>
    <row r="664" spans="1:4" x14ac:dyDescent="0.2">
      <c r="A664" t="s">
        <v>1007</v>
      </c>
      <c r="B664" t="s">
        <v>2222</v>
      </c>
      <c r="C664">
        <v>1</v>
      </c>
      <c r="D664" t="s">
        <v>1517</v>
      </c>
    </row>
    <row r="665" spans="1:4" x14ac:dyDescent="0.2">
      <c r="A665" t="s">
        <v>2221</v>
      </c>
      <c r="B665" t="s">
        <v>2220</v>
      </c>
      <c r="C665">
        <v>19</v>
      </c>
      <c r="D665" t="s">
        <v>1535</v>
      </c>
    </row>
    <row r="666" spans="1:4" x14ac:dyDescent="0.2">
      <c r="A666" t="s">
        <v>2219</v>
      </c>
      <c r="B666" t="s">
        <v>2218</v>
      </c>
      <c r="C666">
        <v>19</v>
      </c>
      <c r="D666" t="s">
        <v>1535</v>
      </c>
    </row>
    <row r="667" spans="1:4" x14ac:dyDescent="0.2">
      <c r="A667" t="s">
        <v>2217</v>
      </c>
      <c r="B667" t="s">
        <v>2216</v>
      </c>
      <c r="C667">
        <v>1</v>
      </c>
      <c r="D667" t="s">
        <v>1517</v>
      </c>
    </row>
    <row r="668" spans="1:4" x14ac:dyDescent="0.2">
      <c r="A668" t="s">
        <v>2215</v>
      </c>
      <c r="B668" t="s">
        <v>2214</v>
      </c>
      <c r="C668">
        <v>1</v>
      </c>
      <c r="D668" t="s">
        <v>1517</v>
      </c>
    </row>
    <row r="669" spans="1:4" x14ac:dyDescent="0.2">
      <c r="A669" t="s">
        <v>2213</v>
      </c>
      <c r="B669" t="s">
        <v>2212</v>
      </c>
      <c r="C669">
        <v>1</v>
      </c>
      <c r="D669" t="s">
        <v>1517</v>
      </c>
    </row>
    <row r="670" spans="1:4" x14ac:dyDescent="0.2">
      <c r="A670" t="s">
        <v>2211</v>
      </c>
      <c r="B670" t="s">
        <v>2210</v>
      </c>
      <c r="C670">
        <v>1</v>
      </c>
      <c r="D670" t="s">
        <v>1517</v>
      </c>
    </row>
    <row r="671" spans="1:4" x14ac:dyDescent="0.2">
      <c r="A671" t="s">
        <v>2209</v>
      </c>
      <c r="B671" t="s">
        <v>2208</v>
      </c>
      <c r="C671">
        <v>25</v>
      </c>
      <c r="D671" t="s">
        <v>1511</v>
      </c>
    </row>
    <row r="672" spans="1:4" x14ac:dyDescent="0.2">
      <c r="A672" t="s">
        <v>2207</v>
      </c>
      <c r="B672" t="s">
        <v>2206</v>
      </c>
      <c r="C672">
        <v>10</v>
      </c>
      <c r="D672" t="s">
        <v>1570</v>
      </c>
    </row>
    <row r="673" spans="1:4" x14ac:dyDescent="0.2">
      <c r="A673" t="s">
        <v>2205</v>
      </c>
      <c r="B673" t="s">
        <v>2204</v>
      </c>
      <c r="C673">
        <v>2</v>
      </c>
      <c r="D673" t="s">
        <v>1529</v>
      </c>
    </row>
    <row r="674" spans="1:4" x14ac:dyDescent="0.2">
      <c r="A674" t="s">
        <v>2203</v>
      </c>
      <c r="B674" t="s">
        <v>2202</v>
      </c>
      <c r="C674">
        <v>14</v>
      </c>
      <c r="D674" t="s">
        <v>1555</v>
      </c>
    </row>
    <row r="675" spans="1:4" x14ac:dyDescent="0.2">
      <c r="A675" t="s">
        <v>2201</v>
      </c>
      <c r="B675" t="s">
        <v>2200</v>
      </c>
      <c r="C675">
        <v>1</v>
      </c>
      <c r="D675" t="s">
        <v>1517</v>
      </c>
    </row>
    <row r="676" spans="1:4" x14ac:dyDescent="0.2">
      <c r="A676" t="s">
        <v>2199</v>
      </c>
      <c r="B676" t="s">
        <v>2198</v>
      </c>
      <c r="C676">
        <v>1</v>
      </c>
      <c r="D676" t="s">
        <v>1517</v>
      </c>
    </row>
    <row r="677" spans="1:4" x14ac:dyDescent="0.2">
      <c r="A677" t="s">
        <v>2197</v>
      </c>
      <c r="B677" t="s">
        <v>2196</v>
      </c>
      <c r="C677">
        <v>1</v>
      </c>
      <c r="D677" t="s">
        <v>1517</v>
      </c>
    </row>
    <row r="678" spans="1:4" x14ac:dyDescent="0.2">
      <c r="A678" t="s">
        <v>2195</v>
      </c>
      <c r="B678" t="s">
        <v>2194</v>
      </c>
      <c r="C678">
        <v>1</v>
      </c>
      <c r="D678" t="s">
        <v>1517</v>
      </c>
    </row>
    <row r="679" spans="1:4" x14ac:dyDescent="0.2">
      <c r="A679" t="s">
        <v>2193</v>
      </c>
      <c r="B679" t="s">
        <v>2192</v>
      </c>
      <c r="C679">
        <v>3</v>
      </c>
      <c r="D679" t="s">
        <v>1540</v>
      </c>
    </row>
    <row r="680" spans="1:4" x14ac:dyDescent="0.2">
      <c r="A680" t="s">
        <v>2191</v>
      </c>
      <c r="B680" t="s">
        <v>2190</v>
      </c>
      <c r="C680">
        <v>1</v>
      </c>
      <c r="D680" t="s">
        <v>1517</v>
      </c>
    </row>
    <row r="681" spans="1:4" x14ac:dyDescent="0.2">
      <c r="A681" t="s">
        <v>1440</v>
      </c>
      <c r="B681" t="s">
        <v>2189</v>
      </c>
      <c r="C681">
        <v>1</v>
      </c>
      <c r="D681" t="s">
        <v>1517</v>
      </c>
    </row>
    <row r="682" spans="1:4" x14ac:dyDescent="0.2">
      <c r="A682" t="s">
        <v>2188</v>
      </c>
      <c r="B682" t="s">
        <v>2187</v>
      </c>
      <c r="C682">
        <v>3</v>
      </c>
      <c r="D682" t="s">
        <v>1540</v>
      </c>
    </row>
    <row r="683" spans="1:4" x14ac:dyDescent="0.2">
      <c r="A683" t="s">
        <v>2186</v>
      </c>
      <c r="B683" t="s">
        <v>2185</v>
      </c>
      <c r="C683">
        <v>25</v>
      </c>
      <c r="D683" t="s">
        <v>1511</v>
      </c>
    </row>
    <row r="684" spans="1:4" x14ac:dyDescent="0.2">
      <c r="A684" t="s">
        <v>2184</v>
      </c>
      <c r="B684" t="s">
        <v>2183</v>
      </c>
      <c r="C684">
        <v>1</v>
      </c>
      <c r="D684" t="s">
        <v>1517</v>
      </c>
    </row>
    <row r="685" spans="1:4" x14ac:dyDescent="0.2">
      <c r="A685" t="s">
        <v>2182</v>
      </c>
      <c r="B685" t="s">
        <v>2181</v>
      </c>
      <c r="C685">
        <v>1</v>
      </c>
      <c r="D685" t="s">
        <v>1517</v>
      </c>
    </row>
    <row r="686" spans="1:4" x14ac:dyDescent="0.2">
      <c r="A686" t="s">
        <v>2180</v>
      </c>
      <c r="B686" t="s">
        <v>2179</v>
      </c>
      <c r="C686">
        <v>25</v>
      </c>
      <c r="D686" t="s">
        <v>1511</v>
      </c>
    </row>
    <row r="687" spans="1:4" x14ac:dyDescent="0.2">
      <c r="A687" t="s">
        <v>2178</v>
      </c>
      <c r="B687" t="s">
        <v>2177</v>
      </c>
      <c r="C687">
        <v>2</v>
      </c>
      <c r="D687" t="s">
        <v>1529</v>
      </c>
    </row>
    <row r="688" spans="1:4" x14ac:dyDescent="0.2">
      <c r="A688" t="s">
        <v>2176</v>
      </c>
      <c r="B688" t="s">
        <v>2175</v>
      </c>
      <c r="C688">
        <v>1</v>
      </c>
      <c r="D688" t="s">
        <v>1517</v>
      </c>
    </row>
    <row r="689" spans="1:4" x14ac:dyDescent="0.2">
      <c r="A689" t="s">
        <v>2174</v>
      </c>
      <c r="B689" t="s">
        <v>2173</v>
      </c>
      <c r="C689">
        <v>25</v>
      </c>
      <c r="D689" t="s">
        <v>1511</v>
      </c>
    </row>
    <row r="690" spans="1:4" x14ac:dyDescent="0.2">
      <c r="A690" t="s">
        <v>2172</v>
      </c>
      <c r="B690" t="s">
        <v>2171</v>
      </c>
      <c r="C690">
        <v>25</v>
      </c>
      <c r="D690" t="s">
        <v>1511</v>
      </c>
    </row>
    <row r="691" spans="1:4" x14ac:dyDescent="0.2">
      <c r="A691" t="s">
        <v>2170</v>
      </c>
      <c r="B691" t="s">
        <v>2169</v>
      </c>
      <c r="C691">
        <v>25</v>
      </c>
      <c r="D691" t="s">
        <v>1511</v>
      </c>
    </row>
    <row r="692" spans="1:4" x14ac:dyDescent="0.2">
      <c r="A692" t="s">
        <v>2168</v>
      </c>
      <c r="B692" t="s">
        <v>2167</v>
      </c>
      <c r="C692">
        <v>25</v>
      </c>
      <c r="D692" t="s">
        <v>1511</v>
      </c>
    </row>
    <row r="693" spans="1:4" x14ac:dyDescent="0.2">
      <c r="A693" t="s">
        <v>2166</v>
      </c>
      <c r="B693" t="s">
        <v>2165</v>
      </c>
      <c r="C693">
        <v>1</v>
      </c>
      <c r="D693" t="s">
        <v>1517</v>
      </c>
    </row>
    <row r="694" spans="1:4" x14ac:dyDescent="0.2">
      <c r="A694" t="s">
        <v>2164</v>
      </c>
      <c r="B694" t="s">
        <v>2163</v>
      </c>
      <c r="C694">
        <v>1</v>
      </c>
      <c r="D694" t="s">
        <v>1517</v>
      </c>
    </row>
    <row r="695" spans="1:4" x14ac:dyDescent="0.2">
      <c r="A695" t="s">
        <v>2162</v>
      </c>
      <c r="B695" t="s">
        <v>2161</v>
      </c>
      <c r="C695">
        <v>3</v>
      </c>
      <c r="D695" t="s">
        <v>1540</v>
      </c>
    </row>
    <row r="696" spans="1:4" x14ac:dyDescent="0.2">
      <c r="A696" t="s">
        <v>2160</v>
      </c>
      <c r="B696" t="s">
        <v>2159</v>
      </c>
      <c r="C696">
        <v>2</v>
      </c>
      <c r="D696" t="s">
        <v>1529</v>
      </c>
    </row>
    <row r="697" spans="1:4" x14ac:dyDescent="0.2">
      <c r="A697" t="s">
        <v>2158</v>
      </c>
      <c r="B697" t="s">
        <v>2157</v>
      </c>
      <c r="C697">
        <v>14</v>
      </c>
      <c r="D697" t="s">
        <v>1555</v>
      </c>
    </row>
    <row r="698" spans="1:4" x14ac:dyDescent="0.2">
      <c r="A698" t="s">
        <v>2156</v>
      </c>
      <c r="B698" t="s">
        <v>2155</v>
      </c>
      <c r="C698">
        <v>1</v>
      </c>
      <c r="D698" t="s">
        <v>1517</v>
      </c>
    </row>
    <row r="699" spans="1:4" x14ac:dyDescent="0.2">
      <c r="A699" t="s">
        <v>2154</v>
      </c>
      <c r="B699" t="s">
        <v>2153</v>
      </c>
      <c r="C699">
        <v>1</v>
      </c>
      <c r="D699" t="s">
        <v>1517</v>
      </c>
    </row>
    <row r="700" spans="1:4" x14ac:dyDescent="0.2">
      <c r="A700" t="s">
        <v>2152</v>
      </c>
      <c r="B700" t="s">
        <v>2151</v>
      </c>
      <c r="C700">
        <v>1</v>
      </c>
      <c r="D700" t="s">
        <v>1517</v>
      </c>
    </row>
    <row r="701" spans="1:4" x14ac:dyDescent="0.2">
      <c r="A701" t="s">
        <v>2150</v>
      </c>
      <c r="B701" t="s">
        <v>2149</v>
      </c>
      <c r="C701">
        <v>4</v>
      </c>
      <c r="D701" t="s">
        <v>1932</v>
      </c>
    </row>
    <row r="702" spans="1:4" x14ac:dyDescent="0.2">
      <c r="A702" t="s">
        <v>2148</v>
      </c>
      <c r="B702" t="s">
        <v>2147</v>
      </c>
      <c r="C702">
        <v>21</v>
      </c>
      <c r="D702" t="s">
        <v>1579</v>
      </c>
    </row>
    <row r="703" spans="1:4" x14ac:dyDescent="0.2">
      <c r="A703" t="s">
        <v>2146</v>
      </c>
      <c r="B703" t="s">
        <v>2145</v>
      </c>
      <c r="C703">
        <v>1</v>
      </c>
      <c r="D703" t="s">
        <v>1517</v>
      </c>
    </row>
    <row r="704" spans="1:4" x14ac:dyDescent="0.2">
      <c r="A704" t="s">
        <v>2144</v>
      </c>
      <c r="B704" t="s">
        <v>2143</v>
      </c>
      <c r="C704">
        <v>3</v>
      </c>
      <c r="D704" t="s">
        <v>1540</v>
      </c>
    </row>
    <row r="705" spans="1:4" x14ac:dyDescent="0.2">
      <c r="A705" t="s">
        <v>2142</v>
      </c>
      <c r="B705" t="s">
        <v>2141</v>
      </c>
      <c r="C705">
        <v>25</v>
      </c>
      <c r="D705" t="s">
        <v>1511</v>
      </c>
    </row>
    <row r="706" spans="1:4" x14ac:dyDescent="0.2">
      <c r="A706" t="s">
        <v>2140</v>
      </c>
      <c r="B706" t="s">
        <v>2139</v>
      </c>
      <c r="C706">
        <v>25</v>
      </c>
      <c r="D706" t="s">
        <v>1511</v>
      </c>
    </row>
    <row r="707" spans="1:4" x14ac:dyDescent="0.2">
      <c r="A707" t="s">
        <v>2138</v>
      </c>
      <c r="B707" t="s">
        <v>2137</v>
      </c>
      <c r="C707">
        <v>1</v>
      </c>
      <c r="D707" t="s">
        <v>1517</v>
      </c>
    </row>
    <row r="708" spans="1:4" x14ac:dyDescent="0.2">
      <c r="A708" t="s">
        <v>2136</v>
      </c>
      <c r="B708" t="s">
        <v>2135</v>
      </c>
      <c r="C708">
        <v>6</v>
      </c>
      <c r="D708" t="s">
        <v>1788</v>
      </c>
    </row>
    <row r="709" spans="1:4" x14ac:dyDescent="0.2">
      <c r="A709" t="s">
        <v>2134</v>
      </c>
      <c r="B709" t="s">
        <v>2133</v>
      </c>
      <c r="C709">
        <v>1</v>
      </c>
      <c r="D709" t="s">
        <v>1517</v>
      </c>
    </row>
    <row r="710" spans="1:4" x14ac:dyDescent="0.2">
      <c r="A710" t="s">
        <v>2132</v>
      </c>
      <c r="B710" t="s">
        <v>2131</v>
      </c>
      <c r="C710">
        <v>18</v>
      </c>
      <c r="D710" t="s">
        <v>1962</v>
      </c>
    </row>
    <row r="711" spans="1:4" x14ac:dyDescent="0.2">
      <c r="A711" t="s">
        <v>2130</v>
      </c>
      <c r="B711" t="s">
        <v>2129</v>
      </c>
      <c r="C711">
        <v>25</v>
      </c>
      <c r="D711" t="s">
        <v>1511</v>
      </c>
    </row>
    <row r="712" spans="1:4" x14ac:dyDescent="0.2">
      <c r="A712" t="s">
        <v>2128</v>
      </c>
      <c r="B712" t="s">
        <v>2127</v>
      </c>
      <c r="C712">
        <v>3</v>
      </c>
      <c r="D712" t="s">
        <v>1540</v>
      </c>
    </row>
    <row r="713" spans="1:4" x14ac:dyDescent="0.2">
      <c r="A713" t="s">
        <v>2126</v>
      </c>
      <c r="B713" t="s">
        <v>2125</v>
      </c>
      <c r="C713">
        <v>1</v>
      </c>
      <c r="D713" t="s">
        <v>1517</v>
      </c>
    </row>
    <row r="714" spans="1:4" x14ac:dyDescent="0.2">
      <c r="A714" t="s">
        <v>2124</v>
      </c>
      <c r="B714" t="s">
        <v>2123</v>
      </c>
      <c r="C714">
        <v>25</v>
      </c>
      <c r="D714" t="s">
        <v>1511</v>
      </c>
    </row>
    <row r="715" spans="1:4" x14ac:dyDescent="0.2">
      <c r="A715" t="s">
        <v>2122</v>
      </c>
      <c r="B715" t="s">
        <v>2121</v>
      </c>
      <c r="C715">
        <v>14</v>
      </c>
      <c r="D715" t="s">
        <v>1555</v>
      </c>
    </row>
    <row r="716" spans="1:4" x14ac:dyDescent="0.2">
      <c r="A716" t="s">
        <v>1412</v>
      </c>
      <c r="B716" t="s">
        <v>2120</v>
      </c>
      <c r="C716">
        <v>1</v>
      </c>
      <c r="D716" t="s">
        <v>1517</v>
      </c>
    </row>
    <row r="717" spans="1:4" x14ac:dyDescent="0.2">
      <c r="A717" t="s">
        <v>2119</v>
      </c>
      <c r="B717" t="s">
        <v>2118</v>
      </c>
      <c r="C717">
        <v>1</v>
      </c>
      <c r="D717" t="s">
        <v>1517</v>
      </c>
    </row>
    <row r="718" spans="1:4" x14ac:dyDescent="0.2">
      <c r="A718" t="s">
        <v>2117</v>
      </c>
      <c r="B718" t="s">
        <v>2116</v>
      </c>
      <c r="C718">
        <v>1</v>
      </c>
      <c r="D718" t="s">
        <v>1517</v>
      </c>
    </row>
    <row r="719" spans="1:4" x14ac:dyDescent="0.2">
      <c r="A719" t="s">
        <v>190</v>
      </c>
      <c r="B719" t="s">
        <v>2115</v>
      </c>
      <c r="C719">
        <v>1</v>
      </c>
      <c r="D719" t="s">
        <v>1517</v>
      </c>
    </row>
    <row r="720" spans="1:4" x14ac:dyDescent="0.2">
      <c r="A720" t="s">
        <v>1355</v>
      </c>
      <c r="B720" t="s">
        <v>2114</v>
      </c>
      <c r="C720">
        <v>3</v>
      </c>
      <c r="D720" t="s">
        <v>1540</v>
      </c>
    </row>
    <row r="721" spans="1:4" x14ac:dyDescent="0.2">
      <c r="A721" t="s">
        <v>2113</v>
      </c>
      <c r="B721" t="s">
        <v>2112</v>
      </c>
      <c r="C721">
        <v>1</v>
      </c>
      <c r="D721" t="s">
        <v>1517</v>
      </c>
    </row>
    <row r="722" spans="1:4" x14ac:dyDescent="0.2">
      <c r="A722" t="s">
        <v>2111</v>
      </c>
      <c r="B722" t="s">
        <v>2110</v>
      </c>
      <c r="C722">
        <v>1</v>
      </c>
      <c r="D722" t="s">
        <v>1517</v>
      </c>
    </row>
    <row r="723" spans="1:4" x14ac:dyDescent="0.2">
      <c r="A723" t="s">
        <v>1417</v>
      </c>
      <c r="B723" t="s">
        <v>2109</v>
      </c>
      <c r="C723">
        <v>1</v>
      </c>
      <c r="D723" t="s">
        <v>1517</v>
      </c>
    </row>
    <row r="724" spans="1:4" x14ac:dyDescent="0.2">
      <c r="A724" t="s">
        <v>2108</v>
      </c>
      <c r="B724" t="s">
        <v>2107</v>
      </c>
      <c r="C724">
        <v>1</v>
      </c>
      <c r="D724" t="s">
        <v>1517</v>
      </c>
    </row>
    <row r="725" spans="1:4" x14ac:dyDescent="0.2">
      <c r="A725" t="s">
        <v>2106</v>
      </c>
      <c r="B725" t="s">
        <v>2105</v>
      </c>
      <c r="C725">
        <v>25</v>
      </c>
      <c r="D725" t="s">
        <v>1511</v>
      </c>
    </row>
    <row r="726" spans="1:4" x14ac:dyDescent="0.2">
      <c r="A726" t="s">
        <v>2104</v>
      </c>
      <c r="B726" t="s">
        <v>2103</v>
      </c>
      <c r="C726">
        <v>25</v>
      </c>
      <c r="D726" t="s">
        <v>1511</v>
      </c>
    </row>
    <row r="727" spans="1:4" x14ac:dyDescent="0.2">
      <c r="A727" t="s">
        <v>192</v>
      </c>
      <c r="B727" t="s">
        <v>2102</v>
      </c>
      <c r="C727">
        <v>1</v>
      </c>
      <c r="D727" t="s">
        <v>1517</v>
      </c>
    </row>
    <row r="728" spans="1:4" x14ac:dyDescent="0.2">
      <c r="A728" t="s">
        <v>350</v>
      </c>
      <c r="B728" t="s">
        <v>2101</v>
      </c>
      <c r="C728">
        <v>25</v>
      </c>
      <c r="D728" t="s">
        <v>1511</v>
      </c>
    </row>
    <row r="729" spans="1:4" x14ac:dyDescent="0.2">
      <c r="A729" t="s">
        <v>2100</v>
      </c>
      <c r="B729" t="s">
        <v>2099</v>
      </c>
      <c r="C729">
        <v>3</v>
      </c>
      <c r="D729" t="s">
        <v>1540</v>
      </c>
    </row>
    <row r="730" spans="1:4" x14ac:dyDescent="0.2">
      <c r="A730" t="s">
        <v>2093</v>
      </c>
      <c r="B730" t="s">
        <v>2098</v>
      </c>
      <c r="C730">
        <v>25</v>
      </c>
      <c r="D730" t="s">
        <v>1511</v>
      </c>
    </row>
    <row r="731" spans="1:4" x14ac:dyDescent="0.2">
      <c r="A731" t="s">
        <v>2097</v>
      </c>
      <c r="B731" t="s">
        <v>2096</v>
      </c>
      <c r="C731">
        <v>25</v>
      </c>
      <c r="D731" t="s">
        <v>1511</v>
      </c>
    </row>
    <row r="732" spans="1:4" x14ac:dyDescent="0.2">
      <c r="A732" t="s">
        <v>2095</v>
      </c>
      <c r="B732" t="s">
        <v>2094</v>
      </c>
      <c r="C732">
        <v>25</v>
      </c>
      <c r="D732" t="s">
        <v>1511</v>
      </c>
    </row>
    <row r="733" spans="1:4" x14ac:dyDescent="0.2">
      <c r="A733" t="s">
        <v>2093</v>
      </c>
      <c r="B733" t="s">
        <v>2092</v>
      </c>
      <c r="C733">
        <v>25</v>
      </c>
      <c r="D733" t="s">
        <v>1511</v>
      </c>
    </row>
    <row r="734" spans="1:4" x14ac:dyDescent="0.2">
      <c r="A734" t="s">
        <v>2091</v>
      </c>
      <c r="B734" t="s">
        <v>2090</v>
      </c>
      <c r="C734">
        <v>25</v>
      </c>
      <c r="D734" t="s">
        <v>1511</v>
      </c>
    </row>
    <row r="735" spans="1:4" x14ac:dyDescent="0.2">
      <c r="A735" t="s">
        <v>2089</v>
      </c>
      <c r="B735" t="s">
        <v>2088</v>
      </c>
      <c r="C735">
        <v>2</v>
      </c>
      <c r="D735" t="s">
        <v>1529</v>
      </c>
    </row>
    <row r="736" spans="1:4" x14ac:dyDescent="0.2">
      <c r="A736" t="s">
        <v>2087</v>
      </c>
      <c r="B736" t="s">
        <v>2086</v>
      </c>
      <c r="C736">
        <v>11</v>
      </c>
      <c r="D736" t="s">
        <v>1893</v>
      </c>
    </row>
    <row r="737" spans="1:4" x14ac:dyDescent="0.2">
      <c r="A737" t="s">
        <v>2085</v>
      </c>
      <c r="B737" t="s">
        <v>2084</v>
      </c>
      <c r="C737">
        <v>1</v>
      </c>
      <c r="D737" t="s">
        <v>1517</v>
      </c>
    </row>
    <row r="738" spans="1:4" x14ac:dyDescent="0.2">
      <c r="A738" t="s">
        <v>2083</v>
      </c>
      <c r="B738" t="s">
        <v>2082</v>
      </c>
      <c r="C738">
        <v>2</v>
      </c>
      <c r="D738" t="s">
        <v>1529</v>
      </c>
    </row>
    <row r="739" spans="1:4" x14ac:dyDescent="0.2">
      <c r="A739" t="s">
        <v>2081</v>
      </c>
      <c r="B739" t="s">
        <v>2080</v>
      </c>
      <c r="C739">
        <v>24</v>
      </c>
      <c r="D739" t="s">
        <v>1781</v>
      </c>
    </row>
    <row r="740" spans="1:4" x14ac:dyDescent="0.2">
      <c r="A740" t="s">
        <v>2079</v>
      </c>
      <c r="B740" t="s">
        <v>2078</v>
      </c>
      <c r="C740">
        <v>24</v>
      </c>
      <c r="D740" t="s">
        <v>1781</v>
      </c>
    </row>
    <row r="741" spans="1:4" x14ac:dyDescent="0.2">
      <c r="A741" t="s">
        <v>2077</v>
      </c>
      <c r="B741" t="s">
        <v>2076</v>
      </c>
      <c r="C741">
        <v>1</v>
      </c>
      <c r="D741" t="s">
        <v>1517</v>
      </c>
    </row>
    <row r="742" spans="1:4" x14ac:dyDescent="0.2">
      <c r="A742" t="s">
        <v>2075</v>
      </c>
      <c r="B742" t="s">
        <v>2074</v>
      </c>
      <c r="C742">
        <v>25</v>
      </c>
      <c r="D742" t="s">
        <v>1511</v>
      </c>
    </row>
    <row r="743" spans="1:4" x14ac:dyDescent="0.2">
      <c r="A743" t="s">
        <v>2073</v>
      </c>
      <c r="B743" t="s">
        <v>2072</v>
      </c>
      <c r="C743">
        <v>19</v>
      </c>
      <c r="D743" t="s">
        <v>1535</v>
      </c>
    </row>
    <row r="744" spans="1:4" x14ac:dyDescent="0.2">
      <c r="A744" t="s">
        <v>2071</v>
      </c>
      <c r="B744" t="s">
        <v>2070</v>
      </c>
      <c r="C744">
        <v>1</v>
      </c>
      <c r="D744" t="s">
        <v>1517</v>
      </c>
    </row>
    <row r="745" spans="1:4" x14ac:dyDescent="0.2">
      <c r="A745" t="s">
        <v>2069</v>
      </c>
      <c r="B745" t="s">
        <v>2068</v>
      </c>
      <c r="C745">
        <v>1</v>
      </c>
      <c r="D745" t="s">
        <v>1517</v>
      </c>
    </row>
    <row r="746" spans="1:4" x14ac:dyDescent="0.2">
      <c r="A746" t="s">
        <v>2067</v>
      </c>
      <c r="B746" t="s">
        <v>2066</v>
      </c>
      <c r="C746">
        <v>25</v>
      </c>
      <c r="D746" t="s">
        <v>1511</v>
      </c>
    </row>
    <row r="747" spans="1:4" x14ac:dyDescent="0.2">
      <c r="A747" t="s">
        <v>1178</v>
      </c>
      <c r="B747" t="s">
        <v>2065</v>
      </c>
      <c r="C747">
        <v>1</v>
      </c>
      <c r="D747" t="s">
        <v>1517</v>
      </c>
    </row>
    <row r="748" spans="1:4" x14ac:dyDescent="0.2">
      <c r="A748" t="s">
        <v>2064</v>
      </c>
      <c r="B748" t="s">
        <v>2063</v>
      </c>
      <c r="C748">
        <v>21</v>
      </c>
      <c r="D748" t="s">
        <v>1579</v>
      </c>
    </row>
    <row r="749" spans="1:4" x14ac:dyDescent="0.2">
      <c r="A749" t="s">
        <v>2062</v>
      </c>
      <c r="B749" t="s">
        <v>2061</v>
      </c>
      <c r="C749">
        <v>2</v>
      </c>
      <c r="D749" t="s">
        <v>1529</v>
      </c>
    </row>
    <row r="750" spans="1:4" x14ac:dyDescent="0.2">
      <c r="A750" t="s">
        <v>2060</v>
      </c>
      <c r="B750" t="s">
        <v>2059</v>
      </c>
      <c r="C750">
        <v>10</v>
      </c>
      <c r="D750" t="s">
        <v>1570</v>
      </c>
    </row>
    <row r="751" spans="1:4" x14ac:dyDescent="0.2">
      <c r="A751" t="s">
        <v>2058</v>
      </c>
      <c r="B751" t="s">
        <v>2057</v>
      </c>
      <c r="C751">
        <v>2</v>
      </c>
      <c r="D751" t="s">
        <v>1529</v>
      </c>
    </row>
    <row r="752" spans="1:4" x14ac:dyDescent="0.2">
      <c r="A752" t="s">
        <v>1011</v>
      </c>
      <c r="B752" t="s">
        <v>2056</v>
      </c>
      <c r="C752">
        <v>25</v>
      </c>
      <c r="D752" t="s">
        <v>1511</v>
      </c>
    </row>
    <row r="753" spans="1:4" x14ac:dyDescent="0.2">
      <c r="A753" t="s">
        <v>194</v>
      </c>
      <c r="B753" t="s">
        <v>2055</v>
      </c>
      <c r="C753">
        <v>1</v>
      </c>
      <c r="D753" t="s">
        <v>1517</v>
      </c>
    </row>
    <row r="754" spans="1:4" x14ac:dyDescent="0.2">
      <c r="A754" t="s">
        <v>2054</v>
      </c>
      <c r="B754" t="s">
        <v>2053</v>
      </c>
      <c r="C754">
        <v>1</v>
      </c>
      <c r="D754" t="s">
        <v>1517</v>
      </c>
    </row>
    <row r="755" spans="1:4" x14ac:dyDescent="0.2">
      <c r="A755" t="s">
        <v>2052</v>
      </c>
      <c r="B755" t="s">
        <v>2051</v>
      </c>
      <c r="C755">
        <v>19</v>
      </c>
      <c r="D755" t="s">
        <v>1535</v>
      </c>
    </row>
    <row r="756" spans="1:4" x14ac:dyDescent="0.2">
      <c r="A756" t="s">
        <v>2050</v>
      </c>
      <c r="B756" t="s">
        <v>2049</v>
      </c>
      <c r="C756">
        <v>1</v>
      </c>
      <c r="D756" t="s">
        <v>1517</v>
      </c>
    </row>
    <row r="757" spans="1:4" x14ac:dyDescent="0.2">
      <c r="A757" t="s">
        <v>2048</v>
      </c>
      <c r="B757" t="s">
        <v>2047</v>
      </c>
      <c r="C757">
        <v>1</v>
      </c>
      <c r="D757" t="s">
        <v>1517</v>
      </c>
    </row>
    <row r="758" spans="1:4" x14ac:dyDescent="0.2">
      <c r="A758" t="s">
        <v>2046</v>
      </c>
      <c r="B758" t="s">
        <v>2045</v>
      </c>
      <c r="C758">
        <v>1</v>
      </c>
      <c r="D758" t="s">
        <v>1517</v>
      </c>
    </row>
    <row r="759" spans="1:4" x14ac:dyDescent="0.2">
      <c r="A759" t="s">
        <v>2044</v>
      </c>
      <c r="B759" t="s">
        <v>2043</v>
      </c>
      <c r="C759">
        <v>1</v>
      </c>
      <c r="D759" t="s">
        <v>1517</v>
      </c>
    </row>
    <row r="760" spans="1:4" x14ac:dyDescent="0.2">
      <c r="A760" t="s">
        <v>2042</v>
      </c>
      <c r="B760" t="s">
        <v>2041</v>
      </c>
      <c r="C760">
        <v>25</v>
      </c>
      <c r="D760" t="s">
        <v>1511</v>
      </c>
    </row>
    <row r="761" spans="1:4" x14ac:dyDescent="0.2">
      <c r="A761" t="s">
        <v>2040</v>
      </c>
      <c r="B761" t="s">
        <v>2039</v>
      </c>
      <c r="C761">
        <v>2</v>
      </c>
      <c r="D761" t="s">
        <v>1529</v>
      </c>
    </row>
    <row r="762" spans="1:4" x14ac:dyDescent="0.2">
      <c r="A762" t="s">
        <v>2038</v>
      </c>
      <c r="B762" t="s">
        <v>2037</v>
      </c>
      <c r="C762">
        <v>14</v>
      </c>
      <c r="D762" t="s">
        <v>1555</v>
      </c>
    </row>
    <row r="763" spans="1:4" x14ac:dyDescent="0.2">
      <c r="A763" t="s">
        <v>2036</v>
      </c>
      <c r="B763" t="s">
        <v>2035</v>
      </c>
      <c r="C763">
        <v>1</v>
      </c>
      <c r="D763" t="s">
        <v>1517</v>
      </c>
    </row>
    <row r="764" spans="1:4" x14ac:dyDescent="0.2">
      <c r="A764" t="s">
        <v>2034</v>
      </c>
      <c r="B764" t="s">
        <v>2033</v>
      </c>
      <c r="C764">
        <v>3</v>
      </c>
      <c r="D764" t="s">
        <v>1540</v>
      </c>
    </row>
    <row r="765" spans="1:4" x14ac:dyDescent="0.2">
      <c r="A765" t="s">
        <v>2032</v>
      </c>
      <c r="B765" t="s">
        <v>2031</v>
      </c>
      <c r="C765">
        <v>25</v>
      </c>
      <c r="D765" t="s">
        <v>1511</v>
      </c>
    </row>
    <row r="766" spans="1:4" x14ac:dyDescent="0.2">
      <c r="A766" t="s">
        <v>199</v>
      </c>
      <c r="B766" t="s">
        <v>2030</v>
      </c>
      <c r="C766">
        <v>1</v>
      </c>
      <c r="D766" t="s">
        <v>1517</v>
      </c>
    </row>
    <row r="767" spans="1:4" x14ac:dyDescent="0.2">
      <c r="A767" t="s">
        <v>2029</v>
      </c>
      <c r="B767" t="s">
        <v>2028</v>
      </c>
      <c r="C767">
        <v>1</v>
      </c>
      <c r="D767" t="s">
        <v>1517</v>
      </c>
    </row>
    <row r="768" spans="1:4" x14ac:dyDescent="0.2">
      <c r="A768" t="s">
        <v>2027</v>
      </c>
      <c r="B768" t="s">
        <v>2026</v>
      </c>
      <c r="C768">
        <v>1</v>
      </c>
      <c r="D768" t="s">
        <v>1517</v>
      </c>
    </row>
    <row r="769" spans="1:4" x14ac:dyDescent="0.2">
      <c r="A769" t="s">
        <v>2025</v>
      </c>
      <c r="B769" t="s">
        <v>2024</v>
      </c>
      <c r="C769">
        <v>14</v>
      </c>
      <c r="D769" t="s">
        <v>1555</v>
      </c>
    </row>
    <row r="770" spans="1:4" x14ac:dyDescent="0.2">
      <c r="A770" t="s">
        <v>2023</v>
      </c>
      <c r="B770" t="s">
        <v>2022</v>
      </c>
      <c r="C770">
        <v>1</v>
      </c>
      <c r="D770" t="s">
        <v>1517</v>
      </c>
    </row>
    <row r="771" spans="1:4" x14ac:dyDescent="0.2">
      <c r="A771" t="s">
        <v>2021</v>
      </c>
      <c r="B771" t="s">
        <v>2020</v>
      </c>
      <c r="C771">
        <v>1</v>
      </c>
      <c r="D771" t="s">
        <v>1517</v>
      </c>
    </row>
    <row r="772" spans="1:4" x14ac:dyDescent="0.2">
      <c r="A772" t="s">
        <v>2019</v>
      </c>
      <c r="B772" t="s">
        <v>2018</v>
      </c>
      <c r="C772">
        <v>1</v>
      </c>
      <c r="D772" t="s">
        <v>1517</v>
      </c>
    </row>
    <row r="773" spans="1:4" x14ac:dyDescent="0.2">
      <c r="A773" t="s">
        <v>2017</v>
      </c>
      <c r="B773" t="s">
        <v>2016</v>
      </c>
      <c r="C773">
        <v>3</v>
      </c>
      <c r="D773" t="s">
        <v>1540</v>
      </c>
    </row>
    <row r="774" spans="1:4" x14ac:dyDescent="0.2">
      <c r="A774" t="s">
        <v>2015</v>
      </c>
      <c r="B774" t="s">
        <v>2014</v>
      </c>
      <c r="C774">
        <v>21</v>
      </c>
      <c r="D774" t="s">
        <v>1579</v>
      </c>
    </row>
    <row r="775" spans="1:4" x14ac:dyDescent="0.2">
      <c r="A775" t="s">
        <v>2013</v>
      </c>
      <c r="B775" t="s">
        <v>2012</v>
      </c>
      <c r="C775">
        <v>1</v>
      </c>
      <c r="D775" t="s">
        <v>1517</v>
      </c>
    </row>
    <row r="776" spans="1:4" x14ac:dyDescent="0.2">
      <c r="A776" t="s">
        <v>2011</v>
      </c>
      <c r="B776" t="s">
        <v>2010</v>
      </c>
      <c r="C776">
        <v>1</v>
      </c>
      <c r="D776" t="s">
        <v>1517</v>
      </c>
    </row>
    <row r="777" spans="1:4" x14ac:dyDescent="0.2">
      <c r="A777" t="s">
        <v>2009</v>
      </c>
      <c r="B777" t="s">
        <v>2008</v>
      </c>
      <c r="C777">
        <v>1</v>
      </c>
      <c r="D777" t="s">
        <v>1517</v>
      </c>
    </row>
    <row r="778" spans="1:4" x14ac:dyDescent="0.2">
      <c r="A778" t="s">
        <v>2007</v>
      </c>
      <c r="B778" t="s">
        <v>2006</v>
      </c>
      <c r="C778">
        <v>1</v>
      </c>
      <c r="D778" t="s">
        <v>1517</v>
      </c>
    </row>
    <row r="779" spans="1:4" x14ac:dyDescent="0.2">
      <c r="A779" t="s">
        <v>2005</v>
      </c>
      <c r="B779" t="s">
        <v>2004</v>
      </c>
      <c r="C779">
        <v>1</v>
      </c>
      <c r="D779" t="s">
        <v>1517</v>
      </c>
    </row>
    <row r="780" spans="1:4" x14ac:dyDescent="0.2">
      <c r="A780" t="s">
        <v>2003</v>
      </c>
      <c r="B780" t="s">
        <v>2002</v>
      </c>
      <c r="C780">
        <v>4</v>
      </c>
      <c r="D780" t="s">
        <v>1932</v>
      </c>
    </row>
    <row r="781" spans="1:4" x14ac:dyDescent="0.2">
      <c r="A781" t="s">
        <v>2001</v>
      </c>
      <c r="B781" t="s">
        <v>2000</v>
      </c>
      <c r="C781">
        <v>10</v>
      </c>
      <c r="D781" t="s">
        <v>1570</v>
      </c>
    </row>
    <row r="782" spans="1:4" x14ac:dyDescent="0.2">
      <c r="A782" t="s">
        <v>1999</v>
      </c>
      <c r="B782" t="s">
        <v>1998</v>
      </c>
      <c r="C782">
        <v>25</v>
      </c>
      <c r="D782" t="s">
        <v>1511</v>
      </c>
    </row>
    <row r="783" spans="1:4" x14ac:dyDescent="0.2">
      <c r="A783" t="s">
        <v>1997</v>
      </c>
      <c r="B783" t="s">
        <v>1996</v>
      </c>
      <c r="C783">
        <v>14</v>
      </c>
      <c r="D783" t="s">
        <v>1555</v>
      </c>
    </row>
    <row r="784" spans="1:4" x14ac:dyDescent="0.2">
      <c r="A784" t="s">
        <v>1995</v>
      </c>
      <c r="B784" t="s">
        <v>1994</v>
      </c>
      <c r="C784">
        <v>1</v>
      </c>
      <c r="D784" t="s">
        <v>1517</v>
      </c>
    </row>
    <row r="785" spans="1:4" x14ac:dyDescent="0.2">
      <c r="A785" t="s">
        <v>1993</v>
      </c>
      <c r="B785" t="s">
        <v>1992</v>
      </c>
      <c r="C785">
        <v>24</v>
      </c>
      <c r="D785" t="s">
        <v>1781</v>
      </c>
    </row>
    <row r="786" spans="1:4" x14ac:dyDescent="0.2">
      <c r="A786" t="s">
        <v>1991</v>
      </c>
      <c r="B786" t="s">
        <v>1990</v>
      </c>
      <c r="C786">
        <v>1</v>
      </c>
      <c r="D786" t="s">
        <v>1517</v>
      </c>
    </row>
    <row r="787" spans="1:4" x14ac:dyDescent="0.2">
      <c r="A787" t="s">
        <v>1989</v>
      </c>
      <c r="B787" t="s">
        <v>1988</v>
      </c>
      <c r="C787">
        <v>25</v>
      </c>
      <c r="D787" t="s">
        <v>1511</v>
      </c>
    </row>
    <row r="788" spans="1:4" x14ac:dyDescent="0.2">
      <c r="A788" t="s">
        <v>1133</v>
      </c>
      <c r="B788" t="s">
        <v>1987</v>
      </c>
      <c r="C788">
        <v>3</v>
      </c>
      <c r="D788" t="s">
        <v>1540</v>
      </c>
    </row>
    <row r="789" spans="1:4" x14ac:dyDescent="0.2">
      <c r="A789" t="s">
        <v>1986</v>
      </c>
      <c r="B789" t="s">
        <v>1985</v>
      </c>
      <c r="C789">
        <v>1</v>
      </c>
      <c r="D789" t="s">
        <v>1517</v>
      </c>
    </row>
    <row r="790" spans="1:4" x14ac:dyDescent="0.2">
      <c r="A790" t="s">
        <v>1984</v>
      </c>
      <c r="B790" t="s">
        <v>1983</v>
      </c>
      <c r="C790">
        <v>1</v>
      </c>
      <c r="D790" t="s">
        <v>1517</v>
      </c>
    </row>
    <row r="791" spans="1:4" x14ac:dyDescent="0.2">
      <c r="A791" t="s">
        <v>1982</v>
      </c>
      <c r="B791" t="s">
        <v>1981</v>
      </c>
      <c r="C791">
        <v>1</v>
      </c>
      <c r="D791" t="s">
        <v>1517</v>
      </c>
    </row>
    <row r="792" spans="1:4" x14ac:dyDescent="0.2">
      <c r="A792" t="s">
        <v>1980</v>
      </c>
      <c r="B792" t="s">
        <v>1979</v>
      </c>
      <c r="C792">
        <v>1</v>
      </c>
      <c r="D792" t="s">
        <v>1517</v>
      </c>
    </row>
    <row r="793" spans="1:4" x14ac:dyDescent="0.2">
      <c r="A793" t="s">
        <v>1978</v>
      </c>
      <c r="B793" t="s">
        <v>1977</v>
      </c>
      <c r="C793">
        <v>1</v>
      </c>
      <c r="D793" t="s">
        <v>1517</v>
      </c>
    </row>
    <row r="794" spans="1:4" x14ac:dyDescent="0.2">
      <c r="A794" t="s">
        <v>1976</v>
      </c>
      <c r="B794" t="s">
        <v>1975</v>
      </c>
      <c r="C794">
        <v>17</v>
      </c>
      <c r="D794" t="s">
        <v>1649</v>
      </c>
    </row>
    <row r="795" spans="1:4" x14ac:dyDescent="0.2">
      <c r="A795" t="s">
        <v>1974</v>
      </c>
      <c r="B795" t="s">
        <v>1973</v>
      </c>
      <c r="C795">
        <v>14</v>
      </c>
      <c r="D795" t="s">
        <v>1555</v>
      </c>
    </row>
    <row r="796" spans="1:4" x14ac:dyDescent="0.2">
      <c r="A796" t="s">
        <v>1972</v>
      </c>
      <c r="B796" t="s">
        <v>1971</v>
      </c>
      <c r="C796">
        <v>25</v>
      </c>
      <c r="D796" t="s">
        <v>1511</v>
      </c>
    </row>
    <row r="797" spans="1:4" x14ac:dyDescent="0.2">
      <c r="A797" t="s">
        <v>1970</v>
      </c>
      <c r="B797" t="s">
        <v>1969</v>
      </c>
      <c r="C797">
        <v>25</v>
      </c>
      <c r="D797" t="s">
        <v>1511</v>
      </c>
    </row>
    <row r="798" spans="1:4" x14ac:dyDescent="0.2">
      <c r="A798" t="s">
        <v>1968</v>
      </c>
      <c r="B798" t="s">
        <v>1967</v>
      </c>
      <c r="C798">
        <v>25</v>
      </c>
      <c r="D798" t="s">
        <v>1511</v>
      </c>
    </row>
    <row r="799" spans="1:4" x14ac:dyDescent="0.2">
      <c r="A799" t="s">
        <v>1966</v>
      </c>
      <c r="B799" t="s">
        <v>1965</v>
      </c>
      <c r="C799">
        <v>18</v>
      </c>
      <c r="D799" t="s">
        <v>1962</v>
      </c>
    </row>
    <row r="800" spans="1:4" x14ac:dyDescent="0.2">
      <c r="A800" t="s">
        <v>1964</v>
      </c>
      <c r="B800" t="s">
        <v>1963</v>
      </c>
      <c r="C800">
        <v>18</v>
      </c>
      <c r="D800" t="s">
        <v>1962</v>
      </c>
    </row>
    <row r="801" spans="1:4" x14ac:dyDescent="0.2">
      <c r="A801" t="s">
        <v>1961</v>
      </c>
      <c r="B801" t="s">
        <v>1960</v>
      </c>
      <c r="C801">
        <v>14</v>
      </c>
      <c r="D801" t="s">
        <v>1555</v>
      </c>
    </row>
    <row r="802" spans="1:4" x14ac:dyDescent="0.2">
      <c r="A802" t="s">
        <v>1959</v>
      </c>
      <c r="B802" t="s">
        <v>1958</v>
      </c>
      <c r="C802">
        <v>16</v>
      </c>
      <c r="D802" t="s">
        <v>1900</v>
      </c>
    </row>
    <row r="803" spans="1:4" x14ac:dyDescent="0.2">
      <c r="A803" t="s">
        <v>1957</v>
      </c>
      <c r="B803" t="s">
        <v>1956</v>
      </c>
      <c r="C803">
        <v>25</v>
      </c>
      <c r="D803" t="s">
        <v>1511</v>
      </c>
    </row>
    <row r="804" spans="1:4" x14ac:dyDescent="0.2">
      <c r="A804" t="s">
        <v>1955</v>
      </c>
      <c r="B804" t="s">
        <v>1954</v>
      </c>
      <c r="C804">
        <v>1</v>
      </c>
      <c r="D804" t="s">
        <v>1517</v>
      </c>
    </row>
    <row r="805" spans="1:4" x14ac:dyDescent="0.2">
      <c r="A805" t="s">
        <v>1953</v>
      </c>
      <c r="B805" t="s">
        <v>1952</v>
      </c>
      <c r="C805">
        <v>21</v>
      </c>
      <c r="D805" t="s">
        <v>1579</v>
      </c>
    </row>
    <row r="806" spans="1:4" x14ac:dyDescent="0.2">
      <c r="A806" t="s">
        <v>1295</v>
      </c>
      <c r="B806" t="s">
        <v>1951</v>
      </c>
      <c r="C806">
        <v>14</v>
      </c>
      <c r="D806" t="s">
        <v>1555</v>
      </c>
    </row>
    <row r="807" spans="1:4" x14ac:dyDescent="0.2">
      <c r="A807" t="s">
        <v>1950</v>
      </c>
      <c r="B807" t="s">
        <v>1949</v>
      </c>
      <c r="C807">
        <v>1</v>
      </c>
      <c r="D807" t="s">
        <v>1517</v>
      </c>
    </row>
    <row r="808" spans="1:4" x14ac:dyDescent="0.2">
      <c r="A808" t="s">
        <v>1948</v>
      </c>
      <c r="B808" t="s">
        <v>1947</v>
      </c>
      <c r="C808">
        <v>1</v>
      </c>
      <c r="D808" t="s">
        <v>1517</v>
      </c>
    </row>
    <row r="809" spans="1:4" x14ac:dyDescent="0.2">
      <c r="A809" t="s">
        <v>1946</v>
      </c>
      <c r="B809" t="s">
        <v>1945</v>
      </c>
      <c r="C809">
        <v>25</v>
      </c>
      <c r="D809" t="s">
        <v>1511</v>
      </c>
    </row>
    <row r="810" spans="1:4" x14ac:dyDescent="0.2">
      <c r="A810" t="s">
        <v>1944</v>
      </c>
      <c r="B810" t="s">
        <v>1943</v>
      </c>
      <c r="C810">
        <v>1</v>
      </c>
      <c r="D810" t="s">
        <v>1517</v>
      </c>
    </row>
    <row r="811" spans="1:4" x14ac:dyDescent="0.2">
      <c r="A811" t="s">
        <v>1942</v>
      </c>
      <c r="B811" t="s">
        <v>1941</v>
      </c>
      <c r="C811">
        <v>1</v>
      </c>
      <c r="D811" t="s">
        <v>1517</v>
      </c>
    </row>
    <row r="812" spans="1:4" x14ac:dyDescent="0.2">
      <c r="A812" t="s">
        <v>1940</v>
      </c>
      <c r="B812" t="s">
        <v>1939</v>
      </c>
      <c r="C812">
        <v>1</v>
      </c>
      <c r="D812" t="s">
        <v>1517</v>
      </c>
    </row>
    <row r="813" spans="1:4" x14ac:dyDescent="0.2">
      <c r="A813" t="s">
        <v>1938</v>
      </c>
      <c r="B813" t="s">
        <v>1937</v>
      </c>
      <c r="C813">
        <v>25</v>
      </c>
      <c r="D813" t="s">
        <v>1511</v>
      </c>
    </row>
    <row r="814" spans="1:4" x14ac:dyDescent="0.2">
      <c r="A814" t="s">
        <v>1936</v>
      </c>
      <c r="B814" t="s">
        <v>1935</v>
      </c>
      <c r="C814">
        <v>1</v>
      </c>
      <c r="D814" t="s">
        <v>1517</v>
      </c>
    </row>
    <row r="815" spans="1:4" x14ac:dyDescent="0.2">
      <c r="A815" t="s">
        <v>1934</v>
      </c>
      <c r="B815" t="s">
        <v>1933</v>
      </c>
      <c r="C815">
        <v>4</v>
      </c>
      <c r="D815" t="s">
        <v>1932</v>
      </c>
    </row>
    <row r="816" spans="1:4" x14ac:dyDescent="0.2">
      <c r="A816" t="s">
        <v>1931</v>
      </c>
      <c r="B816" t="s">
        <v>1930</v>
      </c>
      <c r="C816">
        <v>5</v>
      </c>
      <c r="D816" t="s">
        <v>1929</v>
      </c>
    </row>
    <row r="817" spans="1:4" x14ac:dyDescent="0.2">
      <c r="A817" t="s">
        <v>357</v>
      </c>
      <c r="B817" t="s">
        <v>1928</v>
      </c>
      <c r="C817">
        <v>25</v>
      </c>
      <c r="D817" t="s">
        <v>1511</v>
      </c>
    </row>
    <row r="818" spans="1:4" x14ac:dyDescent="0.2">
      <c r="A818" t="s">
        <v>1927</v>
      </c>
      <c r="B818" t="s">
        <v>1926</v>
      </c>
      <c r="C818">
        <v>14</v>
      </c>
      <c r="D818" t="s">
        <v>1555</v>
      </c>
    </row>
    <row r="819" spans="1:4" x14ac:dyDescent="0.2">
      <c r="A819" t="s">
        <v>1925</v>
      </c>
      <c r="B819" t="s">
        <v>1924</v>
      </c>
      <c r="C819">
        <v>1</v>
      </c>
      <c r="D819" t="s">
        <v>1517</v>
      </c>
    </row>
    <row r="820" spans="1:4" x14ac:dyDescent="0.2">
      <c r="A820" t="s">
        <v>1923</v>
      </c>
      <c r="B820" t="s">
        <v>1922</v>
      </c>
      <c r="C820">
        <v>1</v>
      </c>
      <c r="D820" t="s">
        <v>1517</v>
      </c>
    </row>
    <row r="821" spans="1:4" x14ac:dyDescent="0.2">
      <c r="A821" t="s">
        <v>1462</v>
      </c>
      <c r="B821" t="s">
        <v>1921</v>
      </c>
      <c r="C821">
        <v>25</v>
      </c>
      <c r="D821" t="s">
        <v>1511</v>
      </c>
    </row>
    <row r="822" spans="1:4" x14ac:dyDescent="0.2">
      <c r="A822" t="s">
        <v>1920</v>
      </c>
      <c r="B822" t="s">
        <v>1919</v>
      </c>
      <c r="C822">
        <v>22</v>
      </c>
      <c r="D822" t="s">
        <v>1918</v>
      </c>
    </row>
    <row r="823" spans="1:4" x14ac:dyDescent="0.2">
      <c r="A823" t="s">
        <v>1917</v>
      </c>
      <c r="B823" t="s">
        <v>1916</v>
      </c>
      <c r="C823">
        <v>25</v>
      </c>
      <c r="D823" t="s">
        <v>1511</v>
      </c>
    </row>
    <row r="824" spans="1:4" x14ac:dyDescent="0.2">
      <c r="A824" t="s">
        <v>1915</v>
      </c>
      <c r="B824" t="s">
        <v>1914</v>
      </c>
      <c r="C824">
        <v>3</v>
      </c>
      <c r="D824" t="s">
        <v>1540</v>
      </c>
    </row>
    <row r="825" spans="1:4" x14ac:dyDescent="0.2">
      <c r="A825" t="s">
        <v>1913</v>
      </c>
      <c r="B825" t="s">
        <v>1911</v>
      </c>
      <c r="C825">
        <v>25</v>
      </c>
      <c r="D825" t="s">
        <v>1511</v>
      </c>
    </row>
    <row r="826" spans="1:4" x14ac:dyDescent="0.2">
      <c r="A826" t="s">
        <v>1912</v>
      </c>
      <c r="B826" t="s">
        <v>1911</v>
      </c>
      <c r="C826">
        <v>25</v>
      </c>
      <c r="D826" t="s">
        <v>1511</v>
      </c>
    </row>
    <row r="827" spans="1:4" x14ac:dyDescent="0.2">
      <c r="A827" t="s">
        <v>1910</v>
      </c>
      <c r="B827" t="s">
        <v>1909</v>
      </c>
      <c r="C827">
        <v>9</v>
      </c>
      <c r="D827" t="s">
        <v>1908</v>
      </c>
    </row>
    <row r="828" spans="1:4" x14ac:dyDescent="0.2">
      <c r="A828" t="s">
        <v>1907</v>
      </c>
      <c r="B828" t="s">
        <v>1906</v>
      </c>
      <c r="C828">
        <v>17</v>
      </c>
      <c r="D828" t="s">
        <v>1649</v>
      </c>
    </row>
    <row r="829" spans="1:4" x14ac:dyDescent="0.2">
      <c r="A829" t="s">
        <v>1905</v>
      </c>
      <c r="B829" t="s">
        <v>1905</v>
      </c>
      <c r="C829">
        <v>24</v>
      </c>
      <c r="D829" t="s">
        <v>1781</v>
      </c>
    </row>
    <row r="830" spans="1:4" x14ac:dyDescent="0.2">
      <c r="A830" t="s">
        <v>1904</v>
      </c>
      <c r="B830" t="s">
        <v>1903</v>
      </c>
      <c r="C830">
        <v>25</v>
      </c>
      <c r="D830" t="s">
        <v>1511</v>
      </c>
    </row>
    <row r="831" spans="1:4" x14ac:dyDescent="0.2">
      <c r="A831" t="s">
        <v>1902</v>
      </c>
      <c r="B831" t="s">
        <v>1901</v>
      </c>
      <c r="C831">
        <v>16</v>
      </c>
      <c r="D831" t="s">
        <v>1900</v>
      </c>
    </row>
    <row r="832" spans="1:4" x14ac:dyDescent="0.2">
      <c r="A832" t="s">
        <v>1899</v>
      </c>
      <c r="B832" t="s">
        <v>1898</v>
      </c>
      <c r="C832">
        <v>1</v>
      </c>
      <c r="D832" t="s">
        <v>1517</v>
      </c>
    </row>
    <row r="833" spans="1:4" x14ac:dyDescent="0.2">
      <c r="A833" t="s">
        <v>1897</v>
      </c>
      <c r="B833" t="s">
        <v>1896</v>
      </c>
      <c r="C833">
        <v>3</v>
      </c>
      <c r="D833" t="s">
        <v>1540</v>
      </c>
    </row>
    <row r="834" spans="1:4" x14ac:dyDescent="0.2">
      <c r="A834" t="s">
        <v>1895</v>
      </c>
      <c r="B834" t="s">
        <v>1894</v>
      </c>
      <c r="C834">
        <v>11</v>
      </c>
      <c r="D834" t="s">
        <v>1893</v>
      </c>
    </row>
    <row r="835" spans="1:4" x14ac:dyDescent="0.2">
      <c r="A835" t="s">
        <v>1892</v>
      </c>
      <c r="B835" t="s">
        <v>1891</v>
      </c>
      <c r="C835">
        <v>1</v>
      </c>
      <c r="D835" t="s">
        <v>1517</v>
      </c>
    </row>
    <row r="836" spans="1:4" x14ac:dyDescent="0.2">
      <c r="A836" t="s">
        <v>1890</v>
      </c>
      <c r="B836" t="s">
        <v>1889</v>
      </c>
      <c r="C836">
        <v>14</v>
      </c>
      <c r="D836" t="s">
        <v>1555</v>
      </c>
    </row>
    <row r="837" spans="1:4" x14ac:dyDescent="0.2">
      <c r="A837" t="s">
        <v>930</v>
      </c>
      <c r="B837" t="s">
        <v>1888</v>
      </c>
      <c r="C837">
        <v>1</v>
      </c>
      <c r="D837" t="s">
        <v>1517</v>
      </c>
    </row>
    <row r="838" spans="1:4" x14ac:dyDescent="0.2">
      <c r="A838" t="s">
        <v>954</v>
      </c>
      <c r="B838" t="s">
        <v>1887</v>
      </c>
      <c r="C838">
        <v>1</v>
      </c>
      <c r="D838" t="s">
        <v>1517</v>
      </c>
    </row>
    <row r="839" spans="1:4" x14ac:dyDescent="0.2">
      <c r="A839" t="s">
        <v>1886</v>
      </c>
      <c r="B839" t="s">
        <v>1885</v>
      </c>
      <c r="C839">
        <v>1</v>
      </c>
      <c r="D839" t="s">
        <v>1517</v>
      </c>
    </row>
    <row r="840" spans="1:4" x14ac:dyDescent="0.2">
      <c r="A840" t="s">
        <v>1884</v>
      </c>
      <c r="B840" t="s">
        <v>1883</v>
      </c>
      <c r="C840">
        <v>1</v>
      </c>
      <c r="D840" t="s">
        <v>1517</v>
      </c>
    </row>
    <row r="841" spans="1:4" x14ac:dyDescent="0.2">
      <c r="A841" t="s">
        <v>1882</v>
      </c>
      <c r="B841" t="s">
        <v>1881</v>
      </c>
      <c r="C841">
        <v>1</v>
      </c>
      <c r="D841" t="s">
        <v>1517</v>
      </c>
    </row>
    <row r="842" spans="1:4" x14ac:dyDescent="0.2">
      <c r="A842" t="s">
        <v>1249</v>
      </c>
      <c r="B842" t="s">
        <v>1880</v>
      </c>
      <c r="C842">
        <v>3</v>
      </c>
      <c r="D842" t="s">
        <v>1540</v>
      </c>
    </row>
    <row r="843" spans="1:4" x14ac:dyDescent="0.2">
      <c r="A843" t="s">
        <v>1879</v>
      </c>
      <c r="B843" t="s">
        <v>1878</v>
      </c>
      <c r="C843">
        <v>14</v>
      </c>
      <c r="D843" t="s">
        <v>1555</v>
      </c>
    </row>
    <row r="844" spans="1:4" x14ac:dyDescent="0.2">
      <c r="A844" t="s">
        <v>1877</v>
      </c>
      <c r="B844" t="s">
        <v>1876</v>
      </c>
      <c r="C844">
        <v>1</v>
      </c>
      <c r="D844" t="s">
        <v>1517</v>
      </c>
    </row>
    <row r="845" spans="1:4" x14ac:dyDescent="0.2">
      <c r="A845" t="s">
        <v>1875</v>
      </c>
      <c r="B845" t="s">
        <v>1874</v>
      </c>
      <c r="C845">
        <v>1</v>
      </c>
      <c r="D845" t="s">
        <v>1517</v>
      </c>
    </row>
    <row r="846" spans="1:4" x14ac:dyDescent="0.2">
      <c r="A846" t="s">
        <v>1873</v>
      </c>
      <c r="B846" t="s">
        <v>1872</v>
      </c>
      <c r="C846">
        <v>1</v>
      </c>
      <c r="D846" t="s">
        <v>1517</v>
      </c>
    </row>
    <row r="847" spans="1:4" x14ac:dyDescent="0.2">
      <c r="A847" t="s">
        <v>1871</v>
      </c>
      <c r="B847" t="s">
        <v>1870</v>
      </c>
      <c r="C847">
        <v>25</v>
      </c>
      <c r="D847" t="s">
        <v>1511</v>
      </c>
    </row>
    <row r="848" spans="1:4" x14ac:dyDescent="0.2">
      <c r="A848" t="s">
        <v>1151</v>
      </c>
      <c r="B848" t="s">
        <v>1869</v>
      </c>
      <c r="C848">
        <v>21</v>
      </c>
      <c r="D848" t="s">
        <v>1579</v>
      </c>
    </row>
    <row r="849" spans="1:4" x14ac:dyDescent="0.2">
      <c r="A849" t="s">
        <v>1868</v>
      </c>
      <c r="B849" t="s">
        <v>1867</v>
      </c>
      <c r="C849">
        <v>1</v>
      </c>
      <c r="D849" t="s">
        <v>1517</v>
      </c>
    </row>
    <row r="850" spans="1:4" x14ac:dyDescent="0.2">
      <c r="A850" t="s">
        <v>1866</v>
      </c>
      <c r="B850" t="s">
        <v>1865</v>
      </c>
      <c r="C850">
        <v>1</v>
      </c>
      <c r="D850" t="s">
        <v>1517</v>
      </c>
    </row>
    <row r="851" spans="1:4" x14ac:dyDescent="0.2">
      <c r="A851" t="s">
        <v>1197</v>
      </c>
      <c r="B851" t="s">
        <v>1864</v>
      </c>
      <c r="C851">
        <v>1</v>
      </c>
      <c r="D851" t="s">
        <v>1517</v>
      </c>
    </row>
    <row r="852" spans="1:4" x14ac:dyDescent="0.2">
      <c r="A852" t="s">
        <v>1863</v>
      </c>
      <c r="B852" t="s">
        <v>1862</v>
      </c>
      <c r="C852">
        <v>21</v>
      </c>
      <c r="D852" t="s">
        <v>1579</v>
      </c>
    </row>
    <row r="853" spans="1:4" x14ac:dyDescent="0.2">
      <c r="A853" t="s">
        <v>1861</v>
      </c>
      <c r="B853" t="s">
        <v>1860</v>
      </c>
      <c r="C853">
        <v>1</v>
      </c>
      <c r="D853" t="s">
        <v>1517</v>
      </c>
    </row>
    <row r="854" spans="1:4" x14ac:dyDescent="0.2">
      <c r="A854" t="s">
        <v>1859</v>
      </c>
      <c r="B854" t="s">
        <v>1858</v>
      </c>
      <c r="C854">
        <v>25</v>
      </c>
      <c r="D854" t="s">
        <v>1511</v>
      </c>
    </row>
    <row r="855" spans="1:4" x14ac:dyDescent="0.2">
      <c r="A855" t="s">
        <v>1857</v>
      </c>
      <c r="B855" t="s">
        <v>1856</v>
      </c>
      <c r="C855">
        <v>1</v>
      </c>
      <c r="D855" t="s">
        <v>1517</v>
      </c>
    </row>
    <row r="856" spans="1:4" x14ac:dyDescent="0.2">
      <c r="A856" t="s">
        <v>1855</v>
      </c>
      <c r="B856" t="s">
        <v>1854</v>
      </c>
      <c r="C856">
        <v>1</v>
      </c>
      <c r="D856" t="s">
        <v>1517</v>
      </c>
    </row>
    <row r="857" spans="1:4" x14ac:dyDescent="0.2">
      <c r="A857" t="s">
        <v>1853</v>
      </c>
      <c r="B857" t="s">
        <v>1852</v>
      </c>
      <c r="C857">
        <v>1</v>
      </c>
      <c r="D857" t="s">
        <v>1517</v>
      </c>
    </row>
    <row r="858" spans="1:4" x14ac:dyDescent="0.2">
      <c r="A858" t="s">
        <v>1851</v>
      </c>
      <c r="B858" t="s">
        <v>1850</v>
      </c>
      <c r="C858">
        <v>21</v>
      </c>
      <c r="D858" t="s">
        <v>1579</v>
      </c>
    </row>
    <row r="859" spans="1:4" x14ac:dyDescent="0.2">
      <c r="A859" t="s">
        <v>1849</v>
      </c>
      <c r="B859" t="s">
        <v>1848</v>
      </c>
      <c r="C859">
        <v>3</v>
      </c>
      <c r="D859" t="s">
        <v>1540</v>
      </c>
    </row>
    <row r="860" spans="1:4" x14ac:dyDescent="0.2">
      <c r="A860" t="s">
        <v>1847</v>
      </c>
      <c r="B860" t="s">
        <v>1846</v>
      </c>
      <c r="C860">
        <v>21</v>
      </c>
      <c r="D860" t="s">
        <v>1579</v>
      </c>
    </row>
    <row r="861" spans="1:4" x14ac:dyDescent="0.2">
      <c r="A861" t="s">
        <v>1845</v>
      </c>
      <c r="B861" t="s">
        <v>1844</v>
      </c>
      <c r="C861">
        <v>1</v>
      </c>
      <c r="D861" t="s">
        <v>1517</v>
      </c>
    </row>
    <row r="862" spans="1:4" x14ac:dyDescent="0.2">
      <c r="A862" t="s">
        <v>1843</v>
      </c>
      <c r="B862" t="s">
        <v>1842</v>
      </c>
      <c r="C862">
        <v>25</v>
      </c>
      <c r="D862" t="s">
        <v>1511</v>
      </c>
    </row>
    <row r="863" spans="1:4" x14ac:dyDescent="0.2">
      <c r="A863" t="s">
        <v>1841</v>
      </c>
      <c r="B863" t="s">
        <v>1840</v>
      </c>
      <c r="C863">
        <v>2</v>
      </c>
      <c r="D863" t="s">
        <v>1529</v>
      </c>
    </row>
    <row r="864" spans="1:4" x14ac:dyDescent="0.2">
      <c r="A864" t="s">
        <v>1343</v>
      </c>
      <c r="B864" t="s">
        <v>1839</v>
      </c>
      <c r="C864">
        <v>1</v>
      </c>
      <c r="D864" t="s">
        <v>1517</v>
      </c>
    </row>
    <row r="865" spans="1:4" x14ac:dyDescent="0.2">
      <c r="A865" t="s">
        <v>1838</v>
      </c>
      <c r="B865" t="s">
        <v>1837</v>
      </c>
      <c r="C865">
        <v>1</v>
      </c>
      <c r="D865" t="s">
        <v>1517</v>
      </c>
    </row>
    <row r="866" spans="1:4" x14ac:dyDescent="0.2">
      <c r="A866" t="s">
        <v>1836</v>
      </c>
      <c r="B866" t="s">
        <v>1835</v>
      </c>
      <c r="C866">
        <v>1</v>
      </c>
      <c r="D866" t="s">
        <v>1517</v>
      </c>
    </row>
    <row r="867" spans="1:4" x14ac:dyDescent="0.2">
      <c r="A867" t="s">
        <v>1834</v>
      </c>
      <c r="B867" t="s">
        <v>1833</v>
      </c>
      <c r="C867">
        <v>1</v>
      </c>
      <c r="D867" t="s">
        <v>1517</v>
      </c>
    </row>
    <row r="868" spans="1:4" x14ac:dyDescent="0.2">
      <c r="A868" t="s">
        <v>1832</v>
      </c>
      <c r="B868" t="s">
        <v>1831</v>
      </c>
      <c r="C868">
        <v>10</v>
      </c>
      <c r="D868" t="s">
        <v>1570</v>
      </c>
    </row>
    <row r="869" spans="1:4" x14ac:dyDescent="0.2">
      <c r="A869" t="s">
        <v>1830</v>
      </c>
      <c r="B869" t="s">
        <v>1829</v>
      </c>
      <c r="C869">
        <v>1</v>
      </c>
      <c r="D869" t="s">
        <v>1517</v>
      </c>
    </row>
    <row r="870" spans="1:4" x14ac:dyDescent="0.2">
      <c r="A870" t="s">
        <v>1828</v>
      </c>
      <c r="B870" t="s">
        <v>1827</v>
      </c>
      <c r="C870">
        <v>1</v>
      </c>
      <c r="D870" t="s">
        <v>1517</v>
      </c>
    </row>
    <row r="871" spans="1:4" x14ac:dyDescent="0.2">
      <c r="A871" t="s">
        <v>1826</v>
      </c>
      <c r="B871" t="s">
        <v>1825</v>
      </c>
      <c r="C871">
        <v>1</v>
      </c>
      <c r="D871" t="s">
        <v>1517</v>
      </c>
    </row>
    <row r="872" spans="1:4" x14ac:dyDescent="0.2">
      <c r="A872" t="s">
        <v>1433</v>
      </c>
      <c r="B872" t="s">
        <v>1824</v>
      </c>
      <c r="C872">
        <v>1</v>
      </c>
      <c r="D872" t="s">
        <v>1517</v>
      </c>
    </row>
    <row r="873" spans="1:4" x14ac:dyDescent="0.2">
      <c r="A873" t="s">
        <v>1823</v>
      </c>
      <c r="B873" t="s">
        <v>1822</v>
      </c>
      <c r="C873">
        <v>25</v>
      </c>
      <c r="D873" t="s">
        <v>1511</v>
      </c>
    </row>
    <row r="874" spans="1:4" x14ac:dyDescent="0.2">
      <c r="A874" t="s">
        <v>1821</v>
      </c>
      <c r="B874" t="s">
        <v>1820</v>
      </c>
      <c r="C874">
        <v>25</v>
      </c>
      <c r="D874" t="s">
        <v>1511</v>
      </c>
    </row>
    <row r="875" spans="1:4" x14ac:dyDescent="0.2">
      <c r="A875" t="s">
        <v>1819</v>
      </c>
      <c r="B875" t="s">
        <v>1818</v>
      </c>
      <c r="C875">
        <v>25</v>
      </c>
      <c r="D875" t="s">
        <v>1511</v>
      </c>
    </row>
    <row r="876" spans="1:4" x14ac:dyDescent="0.2">
      <c r="A876" t="s">
        <v>1817</v>
      </c>
      <c r="B876" t="s">
        <v>1816</v>
      </c>
      <c r="C876">
        <v>21</v>
      </c>
      <c r="D876" t="s">
        <v>1579</v>
      </c>
    </row>
    <row r="877" spans="1:4" x14ac:dyDescent="0.2">
      <c r="A877" t="s">
        <v>1815</v>
      </c>
      <c r="B877" t="s">
        <v>1814</v>
      </c>
      <c r="C877">
        <v>1</v>
      </c>
      <c r="D877" t="s">
        <v>1517</v>
      </c>
    </row>
    <row r="878" spans="1:4" x14ac:dyDescent="0.2">
      <c r="A878" t="s">
        <v>1272</v>
      </c>
      <c r="B878" t="s">
        <v>1813</v>
      </c>
      <c r="C878">
        <v>3</v>
      </c>
      <c r="D878" t="s">
        <v>1540</v>
      </c>
    </row>
    <row r="879" spans="1:4" x14ac:dyDescent="0.2">
      <c r="A879" t="s">
        <v>1812</v>
      </c>
      <c r="B879" t="s">
        <v>1811</v>
      </c>
      <c r="C879">
        <v>1</v>
      </c>
      <c r="D879" t="s">
        <v>1517</v>
      </c>
    </row>
    <row r="880" spans="1:4" x14ac:dyDescent="0.2">
      <c r="A880" t="s">
        <v>1810</v>
      </c>
      <c r="B880" t="s">
        <v>1809</v>
      </c>
      <c r="C880">
        <v>3</v>
      </c>
      <c r="D880" t="s">
        <v>1540</v>
      </c>
    </row>
    <row r="881" spans="1:4" x14ac:dyDescent="0.2">
      <c r="A881" t="s">
        <v>1808</v>
      </c>
      <c r="B881" t="s">
        <v>1807</v>
      </c>
      <c r="C881">
        <v>14</v>
      </c>
      <c r="D881" t="s">
        <v>1555</v>
      </c>
    </row>
    <row r="882" spans="1:4" x14ac:dyDescent="0.2">
      <c r="A882" t="s">
        <v>1806</v>
      </c>
      <c r="B882" t="s">
        <v>1805</v>
      </c>
      <c r="C882">
        <v>1</v>
      </c>
      <c r="D882" t="s">
        <v>1517</v>
      </c>
    </row>
    <row r="883" spans="1:4" x14ac:dyDescent="0.2">
      <c r="A883" t="s">
        <v>1804</v>
      </c>
      <c r="B883" t="s">
        <v>1803</v>
      </c>
      <c r="C883">
        <v>2</v>
      </c>
      <c r="D883" t="s">
        <v>1529</v>
      </c>
    </row>
    <row r="884" spans="1:4" x14ac:dyDescent="0.2">
      <c r="A884" t="s">
        <v>1802</v>
      </c>
      <c r="B884" t="s">
        <v>1801</v>
      </c>
      <c r="C884">
        <v>1</v>
      </c>
      <c r="D884" t="s">
        <v>1517</v>
      </c>
    </row>
    <row r="885" spans="1:4" x14ac:dyDescent="0.2">
      <c r="A885" t="s">
        <v>1800</v>
      </c>
      <c r="B885" t="s">
        <v>1799</v>
      </c>
      <c r="C885">
        <v>1</v>
      </c>
      <c r="D885" t="s">
        <v>1517</v>
      </c>
    </row>
    <row r="886" spans="1:4" x14ac:dyDescent="0.2">
      <c r="A886" t="s">
        <v>1798</v>
      </c>
      <c r="B886" t="s">
        <v>1797</v>
      </c>
      <c r="C886">
        <v>1</v>
      </c>
      <c r="D886" t="s">
        <v>1517</v>
      </c>
    </row>
    <row r="887" spans="1:4" x14ac:dyDescent="0.2">
      <c r="A887" t="s">
        <v>1796</v>
      </c>
      <c r="B887" t="s">
        <v>1795</v>
      </c>
      <c r="C887">
        <v>1</v>
      </c>
      <c r="D887" t="s">
        <v>1517</v>
      </c>
    </row>
    <row r="888" spans="1:4" x14ac:dyDescent="0.2">
      <c r="A888" t="s">
        <v>1794</v>
      </c>
      <c r="B888" t="s">
        <v>1793</v>
      </c>
      <c r="C888">
        <v>1</v>
      </c>
      <c r="D888" t="s">
        <v>1517</v>
      </c>
    </row>
    <row r="889" spans="1:4" x14ac:dyDescent="0.2">
      <c r="A889" t="s">
        <v>1792</v>
      </c>
      <c r="B889" t="s">
        <v>1791</v>
      </c>
      <c r="C889">
        <v>1</v>
      </c>
      <c r="D889" t="s">
        <v>1517</v>
      </c>
    </row>
    <row r="890" spans="1:4" x14ac:dyDescent="0.2">
      <c r="A890" t="s">
        <v>1790</v>
      </c>
      <c r="B890" t="s">
        <v>1789</v>
      </c>
      <c r="C890">
        <v>6</v>
      </c>
      <c r="D890" t="s">
        <v>1788</v>
      </c>
    </row>
    <row r="891" spans="1:4" x14ac:dyDescent="0.2">
      <c r="A891" t="s">
        <v>1787</v>
      </c>
      <c r="B891" t="s">
        <v>1786</v>
      </c>
      <c r="C891">
        <v>2</v>
      </c>
      <c r="D891" t="s">
        <v>1529</v>
      </c>
    </row>
    <row r="892" spans="1:4" x14ac:dyDescent="0.2">
      <c r="A892" t="s">
        <v>1785</v>
      </c>
      <c r="B892" t="s">
        <v>1784</v>
      </c>
      <c r="C892">
        <v>1</v>
      </c>
      <c r="D892" t="s">
        <v>1517</v>
      </c>
    </row>
    <row r="893" spans="1:4" x14ac:dyDescent="0.2">
      <c r="A893" t="s">
        <v>1783</v>
      </c>
      <c r="B893" t="s">
        <v>1782</v>
      </c>
      <c r="C893">
        <v>24</v>
      </c>
      <c r="D893" t="s">
        <v>1781</v>
      </c>
    </row>
    <row r="894" spans="1:4" x14ac:dyDescent="0.2">
      <c r="A894" t="s">
        <v>1780</v>
      </c>
      <c r="B894" t="s">
        <v>1778</v>
      </c>
      <c r="C894">
        <v>7</v>
      </c>
      <c r="D894" t="s">
        <v>1715</v>
      </c>
    </row>
    <row r="895" spans="1:4" x14ac:dyDescent="0.2">
      <c r="A895" t="s">
        <v>1779</v>
      </c>
      <c r="B895" t="s">
        <v>1778</v>
      </c>
      <c r="C895">
        <v>7</v>
      </c>
      <c r="D895" t="s">
        <v>1715</v>
      </c>
    </row>
    <row r="896" spans="1:4" x14ac:dyDescent="0.2">
      <c r="A896" t="s">
        <v>1777</v>
      </c>
      <c r="B896" t="s">
        <v>1776</v>
      </c>
      <c r="C896">
        <v>7</v>
      </c>
      <c r="D896" t="s">
        <v>1715</v>
      </c>
    </row>
    <row r="897" spans="1:4" x14ac:dyDescent="0.2">
      <c r="A897" t="s">
        <v>1775</v>
      </c>
      <c r="B897" t="s">
        <v>1774</v>
      </c>
      <c r="C897">
        <v>25</v>
      </c>
      <c r="D897" t="s">
        <v>1511</v>
      </c>
    </row>
    <row r="898" spans="1:4" x14ac:dyDescent="0.2">
      <c r="A898" t="s">
        <v>1773</v>
      </c>
      <c r="B898" t="s">
        <v>1772</v>
      </c>
      <c r="C898">
        <v>21</v>
      </c>
      <c r="D898" t="s">
        <v>1579</v>
      </c>
    </row>
    <row r="899" spans="1:4" x14ac:dyDescent="0.2">
      <c r="A899" t="s">
        <v>1771</v>
      </c>
      <c r="B899" t="s">
        <v>1770</v>
      </c>
      <c r="C899">
        <v>21</v>
      </c>
      <c r="D899" t="s">
        <v>1579</v>
      </c>
    </row>
    <row r="900" spans="1:4" x14ac:dyDescent="0.2">
      <c r="A900" t="s">
        <v>1769</v>
      </c>
      <c r="B900" t="s">
        <v>1768</v>
      </c>
      <c r="C900">
        <v>21</v>
      </c>
      <c r="D900" t="s">
        <v>1579</v>
      </c>
    </row>
    <row r="901" spans="1:4" x14ac:dyDescent="0.2">
      <c r="A901" t="s">
        <v>1767</v>
      </c>
      <c r="B901" t="s">
        <v>1766</v>
      </c>
      <c r="C901">
        <v>1</v>
      </c>
      <c r="D901" t="s">
        <v>1517</v>
      </c>
    </row>
    <row r="902" spans="1:4" x14ac:dyDescent="0.2">
      <c r="A902" t="s">
        <v>1765</v>
      </c>
      <c r="B902" t="s">
        <v>1764</v>
      </c>
      <c r="C902">
        <v>1</v>
      </c>
      <c r="D902" t="s">
        <v>1517</v>
      </c>
    </row>
    <row r="903" spans="1:4" x14ac:dyDescent="0.2">
      <c r="A903" t="s">
        <v>1763</v>
      </c>
      <c r="B903" t="s">
        <v>1762</v>
      </c>
      <c r="C903">
        <v>25</v>
      </c>
      <c r="D903" t="s">
        <v>1511</v>
      </c>
    </row>
    <row r="904" spans="1:4" x14ac:dyDescent="0.2">
      <c r="A904" t="s">
        <v>1761</v>
      </c>
      <c r="B904" t="s">
        <v>1760</v>
      </c>
      <c r="C904">
        <v>1</v>
      </c>
      <c r="D904" t="s">
        <v>1517</v>
      </c>
    </row>
    <row r="905" spans="1:4" x14ac:dyDescent="0.2">
      <c r="A905" t="s">
        <v>1759</v>
      </c>
      <c r="B905" t="s">
        <v>1758</v>
      </c>
      <c r="C905">
        <v>1</v>
      </c>
      <c r="D905" t="s">
        <v>1517</v>
      </c>
    </row>
    <row r="906" spans="1:4" x14ac:dyDescent="0.2">
      <c r="A906" t="s">
        <v>1757</v>
      </c>
      <c r="B906" t="s">
        <v>1756</v>
      </c>
      <c r="C906">
        <v>1</v>
      </c>
      <c r="D906" t="s">
        <v>1517</v>
      </c>
    </row>
    <row r="907" spans="1:4" x14ac:dyDescent="0.2">
      <c r="A907" t="s">
        <v>1755</v>
      </c>
      <c r="B907" t="s">
        <v>1754</v>
      </c>
      <c r="C907">
        <v>1</v>
      </c>
      <c r="D907" t="s">
        <v>1517</v>
      </c>
    </row>
    <row r="908" spans="1:4" x14ac:dyDescent="0.2">
      <c r="A908" t="s">
        <v>1753</v>
      </c>
      <c r="B908" t="s">
        <v>1752</v>
      </c>
      <c r="C908">
        <v>25</v>
      </c>
      <c r="D908" t="s">
        <v>1511</v>
      </c>
    </row>
    <row r="909" spans="1:4" x14ac:dyDescent="0.2">
      <c r="A909" t="s">
        <v>1751</v>
      </c>
      <c r="B909" t="s">
        <v>1750</v>
      </c>
      <c r="C909">
        <v>25</v>
      </c>
      <c r="D909" t="s">
        <v>1511</v>
      </c>
    </row>
    <row r="910" spans="1:4" x14ac:dyDescent="0.2">
      <c r="A910" t="s">
        <v>1749</v>
      </c>
      <c r="B910" t="s">
        <v>1748</v>
      </c>
      <c r="C910">
        <v>1</v>
      </c>
      <c r="D910" t="s">
        <v>1517</v>
      </c>
    </row>
    <row r="911" spans="1:4" x14ac:dyDescent="0.2">
      <c r="A911" t="s">
        <v>1747</v>
      </c>
      <c r="B911" t="s">
        <v>1746</v>
      </c>
      <c r="C911">
        <v>1</v>
      </c>
      <c r="D911" t="s">
        <v>1517</v>
      </c>
    </row>
    <row r="912" spans="1:4" x14ac:dyDescent="0.2">
      <c r="A912" t="s">
        <v>1745</v>
      </c>
      <c r="B912" t="s">
        <v>1744</v>
      </c>
      <c r="C912">
        <v>1</v>
      </c>
      <c r="D912" t="s">
        <v>1517</v>
      </c>
    </row>
    <row r="913" spans="1:4" x14ac:dyDescent="0.2">
      <c r="A913" t="s">
        <v>1743</v>
      </c>
      <c r="B913" t="s">
        <v>1742</v>
      </c>
      <c r="C913">
        <v>25</v>
      </c>
      <c r="D913" t="s">
        <v>1511</v>
      </c>
    </row>
    <row r="914" spans="1:4" x14ac:dyDescent="0.2">
      <c r="A914" t="s">
        <v>1741</v>
      </c>
      <c r="B914" t="s">
        <v>1740</v>
      </c>
      <c r="C914">
        <v>25</v>
      </c>
      <c r="D914" t="s">
        <v>1511</v>
      </c>
    </row>
    <row r="915" spans="1:4" x14ac:dyDescent="0.2">
      <c r="A915" t="s">
        <v>224</v>
      </c>
      <c r="B915" t="s">
        <v>1739</v>
      </c>
      <c r="C915">
        <v>1</v>
      </c>
      <c r="D915" t="s">
        <v>1517</v>
      </c>
    </row>
    <row r="916" spans="1:4" x14ac:dyDescent="0.2">
      <c r="A916" t="s">
        <v>1738</v>
      </c>
      <c r="B916" t="s">
        <v>1735</v>
      </c>
      <c r="C916">
        <v>7</v>
      </c>
      <c r="D916" t="s">
        <v>1715</v>
      </c>
    </row>
    <row r="917" spans="1:4" x14ac:dyDescent="0.2">
      <c r="A917" t="s">
        <v>1737</v>
      </c>
      <c r="B917" t="s">
        <v>1735</v>
      </c>
      <c r="C917">
        <v>7</v>
      </c>
      <c r="D917" t="s">
        <v>1715</v>
      </c>
    </row>
    <row r="918" spans="1:4" x14ac:dyDescent="0.2">
      <c r="A918" t="s">
        <v>1736</v>
      </c>
      <c r="B918" t="s">
        <v>1735</v>
      </c>
      <c r="C918">
        <v>7</v>
      </c>
      <c r="D918" t="s">
        <v>1715</v>
      </c>
    </row>
    <row r="919" spans="1:4" x14ac:dyDescent="0.2">
      <c r="A919" t="s">
        <v>225</v>
      </c>
      <c r="B919" t="s">
        <v>1734</v>
      </c>
      <c r="C919">
        <v>1</v>
      </c>
      <c r="D919" t="s">
        <v>1517</v>
      </c>
    </row>
    <row r="920" spans="1:4" x14ac:dyDescent="0.2">
      <c r="A920" t="s">
        <v>226</v>
      </c>
      <c r="B920" t="s">
        <v>1733</v>
      </c>
      <c r="C920">
        <v>1</v>
      </c>
      <c r="D920" t="s">
        <v>1517</v>
      </c>
    </row>
    <row r="921" spans="1:4" x14ac:dyDescent="0.2">
      <c r="A921" t="s">
        <v>31</v>
      </c>
      <c r="B921" t="s">
        <v>1732</v>
      </c>
      <c r="C921">
        <v>3</v>
      </c>
      <c r="D921" t="s">
        <v>1540</v>
      </c>
    </row>
    <row r="922" spans="1:4" x14ac:dyDescent="0.2">
      <c r="A922" t="s">
        <v>1731</v>
      </c>
      <c r="B922" t="s">
        <v>1730</v>
      </c>
      <c r="C922">
        <v>25</v>
      </c>
      <c r="D922" t="s">
        <v>1511</v>
      </c>
    </row>
    <row r="923" spans="1:4" x14ac:dyDescent="0.2">
      <c r="A923" t="s">
        <v>1729</v>
      </c>
      <c r="B923" t="s">
        <v>1728</v>
      </c>
      <c r="C923">
        <v>25</v>
      </c>
      <c r="D923" t="s">
        <v>1511</v>
      </c>
    </row>
    <row r="924" spans="1:4" x14ac:dyDescent="0.2">
      <c r="A924" t="s">
        <v>1727</v>
      </c>
      <c r="B924" t="s">
        <v>1726</v>
      </c>
      <c r="C924">
        <v>25</v>
      </c>
      <c r="D924" t="s">
        <v>1511</v>
      </c>
    </row>
    <row r="925" spans="1:4" x14ac:dyDescent="0.2">
      <c r="A925" t="s">
        <v>1725</v>
      </c>
      <c r="B925" t="s">
        <v>1724</v>
      </c>
      <c r="C925">
        <v>1</v>
      </c>
      <c r="D925" t="s">
        <v>1517</v>
      </c>
    </row>
    <row r="926" spans="1:4" x14ac:dyDescent="0.2">
      <c r="A926" t="s">
        <v>1723</v>
      </c>
      <c r="B926" t="s">
        <v>1722</v>
      </c>
      <c r="C926">
        <v>7</v>
      </c>
      <c r="D926" t="s">
        <v>1715</v>
      </c>
    </row>
    <row r="927" spans="1:4" x14ac:dyDescent="0.2">
      <c r="A927" t="s">
        <v>1721</v>
      </c>
      <c r="B927" t="s">
        <v>1720</v>
      </c>
      <c r="C927">
        <v>7</v>
      </c>
      <c r="D927" t="s">
        <v>1715</v>
      </c>
    </row>
    <row r="928" spans="1:4" x14ac:dyDescent="0.2">
      <c r="A928" t="s">
        <v>1719</v>
      </c>
      <c r="B928" t="s">
        <v>1718</v>
      </c>
      <c r="C928">
        <v>1</v>
      </c>
      <c r="D928" t="s">
        <v>1517</v>
      </c>
    </row>
    <row r="929" spans="1:4" x14ac:dyDescent="0.2">
      <c r="A929" t="s">
        <v>1717</v>
      </c>
      <c r="B929" t="s">
        <v>1716</v>
      </c>
      <c r="C929">
        <v>7</v>
      </c>
      <c r="D929" t="s">
        <v>1715</v>
      </c>
    </row>
    <row r="930" spans="1:4" x14ac:dyDescent="0.2">
      <c r="A930" t="s">
        <v>1714</v>
      </c>
      <c r="B930" t="s">
        <v>1713</v>
      </c>
      <c r="C930">
        <v>1</v>
      </c>
      <c r="D930" t="s">
        <v>1517</v>
      </c>
    </row>
    <row r="931" spans="1:4" x14ac:dyDescent="0.2">
      <c r="A931" t="s">
        <v>1712</v>
      </c>
      <c r="B931" t="s">
        <v>1711</v>
      </c>
      <c r="C931">
        <v>1</v>
      </c>
      <c r="D931" t="s">
        <v>1517</v>
      </c>
    </row>
    <row r="932" spans="1:4" x14ac:dyDescent="0.2">
      <c r="A932" t="s">
        <v>1710</v>
      </c>
      <c r="B932" t="s">
        <v>1709</v>
      </c>
      <c r="C932">
        <v>3</v>
      </c>
      <c r="D932" t="s">
        <v>1540</v>
      </c>
    </row>
    <row r="933" spans="1:4" x14ac:dyDescent="0.2">
      <c r="A933" t="s">
        <v>1708</v>
      </c>
      <c r="B933" t="s">
        <v>1707</v>
      </c>
      <c r="C933">
        <v>1</v>
      </c>
      <c r="D933" t="s">
        <v>1517</v>
      </c>
    </row>
    <row r="934" spans="1:4" x14ac:dyDescent="0.2">
      <c r="A934" t="s">
        <v>1706</v>
      </c>
      <c r="B934" t="s">
        <v>1705</v>
      </c>
      <c r="C934">
        <v>1</v>
      </c>
      <c r="D934" t="s">
        <v>1517</v>
      </c>
    </row>
    <row r="935" spans="1:4" x14ac:dyDescent="0.2">
      <c r="A935" t="s">
        <v>1704</v>
      </c>
      <c r="B935" t="s">
        <v>1703</v>
      </c>
      <c r="C935">
        <v>1</v>
      </c>
      <c r="D935" t="s">
        <v>1517</v>
      </c>
    </row>
    <row r="936" spans="1:4" x14ac:dyDescent="0.2">
      <c r="A936" t="s">
        <v>1702</v>
      </c>
      <c r="B936" t="s">
        <v>1701</v>
      </c>
      <c r="C936">
        <v>1</v>
      </c>
      <c r="D936" t="s">
        <v>1517</v>
      </c>
    </row>
    <row r="937" spans="1:4" x14ac:dyDescent="0.2">
      <c r="A937" t="s">
        <v>1700</v>
      </c>
      <c r="B937" t="s">
        <v>1699</v>
      </c>
      <c r="C937">
        <v>1</v>
      </c>
      <c r="D937" t="s">
        <v>1517</v>
      </c>
    </row>
    <row r="938" spans="1:4" x14ac:dyDescent="0.2">
      <c r="A938" t="s">
        <v>933</v>
      </c>
      <c r="B938" t="s">
        <v>1698</v>
      </c>
      <c r="C938">
        <v>1</v>
      </c>
      <c r="D938" t="s">
        <v>1517</v>
      </c>
    </row>
    <row r="939" spans="1:4" x14ac:dyDescent="0.2">
      <c r="A939" t="s">
        <v>1697</v>
      </c>
      <c r="B939" t="s">
        <v>1696</v>
      </c>
      <c r="C939">
        <v>14</v>
      </c>
      <c r="D939" t="s">
        <v>1555</v>
      </c>
    </row>
    <row r="940" spans="1:4" x14ac:dyDescent="0.2">
      <c r="A940" t="s">
        <v>1695</v>
      </c>
      <c r="B940" t="s">
        <v>1694</v>
      </c>
      <c r="C940">
        <v>2</v>
      </c>
      <c r="D940" t="s">
        <v>1529</v>
      </c>
    </row>
    <row r="941" spans="1:4" x14ac:dyDescent="0.2">
      <c r="A941" t="s">
        <v>1693</v>
      </c>
      <c r="B941" t="s">
        <v>1692</v>
      </c>
      <c r="C941">
        <v>19</v>
      </c>
      <c r="D941" t="s">
        <v>1535</v>
      </c>
    </row>
    <row r="942" spans="1:4" x14ac:dyDescent="0.2">
      <c r="A942" t="s">
        <v>1691</v>
      </c>
      <c r="B942" t="s">
        <v>1690</v>
      </c>
      <c r="C942">
        <v>19</v>
      </c>
      <c r="D942" t="s">
        <v>1535</v>
      </c>
    </row>
    <row r="943" spans="1:4" x14ac:dyDescent="0.2">
      <c r="A943" t="s">
        <v>1689</v>
      </c>
      <c r="B943" t="s">
        <v>1688</v>
      </c>
      <c r="C943">
        <v>19</v>
      </c>
      <c r="D943" t="s">
        <v>1535</v>
      </c>
    </row>
    <row r="944" spans="1:4" x14ac:dyDescent="0.2">
      <c r="A944" t="s">
        <v>1687</v>
      </c>
      <c r="B944" t="s">
        <v>1686</v>
      </c>
      <c r="C944">
        <v>19</v>
      </c>
      <c r="D944" t="s">
        <v>1535</v>
      </c>
    </row>
    <row r="945" spans="1:4" x14ac:dyDescent="0.2">
      <c r="A945" t="s">
        <v>1685</v>
      </c>
      <c r="B945" t="s">
        <v>1684</v>
      </c>
      <c r="C945">
        <v>19</v>
      </c>
      <c r="D945" t="s">
        <v>1535</v>
      </c>
    </row>
    <row r="946" spans="1:4" x14ac:dyDescent="0.2">
      <c r="A946" t="s">
        <v>1683</v>
      </c>
      <c r="B946" t="s">
        <v>1682</v>
      </c>
      <c r="C946">
        <v>19</v>
      </c>
      <c r="D946" t="s">
        <v>1535</v>
      </c>
    </row>
    <row r="947" spans="1:4" x14ac:dyDescent="0.2">
      <c r="A947" t="s">
        <v>1681</v>
      </c>
      <c r="B947" t="s">
        <v>1680</v>
      </c>
      <c r="C947">
        <v>19</v>
      </c>
      <c r="D947" t="s">
        <v>1535</v>
      </c>
    </row>
    <row r="948" spans="1:4" x14ac:dyDescent="0.2">
      <c r="A948" t="s">
        <v>1679</v>
      </c>
      <c r="B948" t="s">
        <v>1678</v>
      </c>
      <c r="C948">
        <v>19</v>
      </c>
      <c r="D948" t="s">
        <v>1535</v>
      </c>
    </row>
    <row r="949" spans="1:4" x14ac:dyDescent="0.2">
      <c r="A949" t="s">
        <v>1677</v>
      </c>
      <c r="B949" t="s">
        <v>1676</v>
      </c>
      <c r="C949">
        <v>1</v>
      </c>
      <c r="D949" t="s">
        <v>1517</v>
      </c>
    </row>
    <row r="950" spans="1:4" x14ac:dyDescent="0.2">
      <c r="A950" t="s">
        <v>1675</v>
      </c>
      <c r="B950" t="s">
        <v>1674</v>
      </c>
      <c r="C950">
        <v>1</v>
      </c>
      <c r="D950" t="s">
        <v>1517</v>
      </c>
    </row>
    <row r="951" spans="1:4" x14ac:dyDescent="0.2">
      <c r="A951" t="s">
        <v>1673</v>
      </c>
      <c r="B951" t="s">
        <v>1672</v>
      </c>
      <c r="C951">
        <v>2</v>
      </c>
      <c r="D951" t="s">
        <v>1529</v>
      </c>
    </row>
    <row r="952" spans="1:4" x14ac:dyDescent="0.2">
      <c r="A952" t="s">
        <v>1671</v>
      </c>
      <c r="B952" t="s">
        <v>1670</v>
      </c>
      <c r="C952">
        <v>1</v>
      </c>
      <c r="D952" t="s">
        <v>1517</v>
      </c>
    </row>
    <row r="953" spans="1:4" x14ac:dyDescent="0.2">
      <c r="A953" t="s">
        <v>1669</v>
      </c>
      <c r="B953" t="s">
        <v>1668</v>
      </c>
      <c r="C953">
        <v>25</v>
      </c>
      <c r="D953" t="s">
        <v>1511</v>
      </c>
    </row>
    <row r="954" spans="1:4" x14ac:dyDescent="0.2">
      <c r="A954" t="s">
        <v>1667</v>
      </c>
      <c r="B954" t="s">
        <v>1666</v>
      </c>
      <c r="C954">
        <v>1</v>
      </c>
      <c r="D954" t="s">
        <v>1517</v>
      </c>
    </row>
    <row r="955" spans="1:4" x14ac:dyDescent="0.2">
      <c r="A955" t="s">
        <v>1665</v>
      </c>
      <c r="B955" t="s">
        <v>1664</v>
      </c>
      <c r="C955">
        <v>1</v>
      </c>
      <c r="D955" t="s">
        <v>1517</v>
      </c>
    </row>
    <row r="956" spans="1:4" x14ac:dyDescent="0.2">
      <c r="A956" t="s">
        <v>1663</v>
      </c>
      <c r="B956" t="s">
        <v>1662</v>
      </c>
      <c r="C956">
        <v>1</v>
      </c>
      <c r="D956" t="s">
        <v>1517</v>
      </c>
    </row>
    <row r="957" spans="1:4" x14ac:dyDescent="0.2">
      <c r="A957" t="s">
        <v>1661</v>
      </c>
      <c r="B957" t="s">
        <v>1660</v>
      </c>
      <c r="C957">
        <v>1</v>
      </c>
      <c r="D957" t="s">
        <v>1517</v>
      </c>
    </row>
    <row r="958" spans="1:4" x14ac:dyDescent="0.2">
      <c r="A958" t="s">
        <v>1659</v>
      </c>
      <c r="B958" t="s">
        <v>1658</v>
      </c>
      <c r="C958">
        <v>25</v>
      </c>
      <c r="D958" t="s">
        <v>1511</v>
      </c>
    </row>
    <row r="959" spans="1:4" x14ac:dyDescent="0.2">
      <c r="A959" t="s">
        <v>1657</v>
      </c>
      <c r="B959" t="s">
        <v>1656</v>
      </c>
      <c r="C959">
        <v>25</v>
      </c>
      <c r="D959" t="s">
        <v>1511</v>
      </c>
    </row>
    <row r="960" spans="1:4" x14ac:dyDescent="0.2">
      <c r="A960" t="s">
        <v>1655</v>
      </c>
      <c r="B960" t="s">
        <v>1654</v>
      </c>
      <c r="C960">
        <v>1</v>
      </c>
      <c r="D960" t="s">
        <v>1517</v>
      </c>
    </row>
    <row r="961" spans="1:4" x14ac:dyDescent="0.2">
      <c r="A961" t="s">
        <v>1653</v>
      </c>
      <c r="B961" t="s">
        <v>1652</v>
      </c>
      <c r="C961">
        <v>1</v>
      </c>
      <c r="D961" t="s">
        <v>1517</v>
      </c>
    </row>
    <row r="962" spans="1:4" x14ac:dyDescent="0.2">
      <c r="A962" t="s">
        <v>1651</v>
      </c>
      <c r="B962" t="s">
        <v>1650</v>
      </c>
      <c r="C962">
        <v>17</v>
      </c>
      <c r="D962" t="s">
        <v>1649</v>
      </c>
    </row>
    <row r="963" spans="1:4" x14ac:dyDescent="0.2">
      <c r="A963" t="s">
        <v>1648</v>
      </c>
      <c r="B963" t="s">
        <v>1647</v>
      </c>
      <c r="C963">
        <v>14</v>
      </c>
      <c r="D963" t="s">
        <v>1555</v>
      </c>
    </row>
    <row r="964" spans="1:4" x14ac:dyDescent="0.2">
      <c r="A964" t="s">
        <v>1646</v>
      </c>
      <c r="B964" t="s">
        <v>1645</v>
      </c>
      <c r="C964">
        <v>15</v>
      </c>
      <c r="D964" t="s">
        <v>1618</v>
      </c>
    </row>
    <row r="965" spans="1:4" x14ac:dyDescent="0.2">
      <c r="A965" t="s">
        <v>1644</v>
      </c>
      <c r="B965" t="s">
        <v>1643</v>
      </c>
      <c r="C965">
        <v>14</v>
      </c>
      <c r="D965" t="s">
        <v>1555</v>
      </c>
    </row>
    <row r="966" spans="1:4" x14ac:dyDescent="0.2">
      <c r="A966" t="s">
        <v>1642</v>
      </c>
      <c r="B966" t="s">
        <v>1641</v>
      </c>
      <c r="C966">
        <v>25</v>
      </c>
      <c r="D966" t="s">
        <v>1511</v>
      </c>
    </row>
    <row r="967" spans="1:4" x14ac:dyDescent="0.2">
      <c r="A967" t="s">
        <v>1640</v>
      </c>
      <c r="B967" t="s">
        <v>1639</v>
      </c>
      <c r="C967">
        <v>1</v>
      </c>
      <c r="D967" t="s">
        <v>1517</v>
      </c>
    </row>
    <row r="968" spans="1:4" x14ac:dyDescent="0.2">
      <c r="A968" t="s">
        <v>1638</v>
      </c>
      <c r="B968" t="s">
        <v>1637</v>
      </c>
      <c r="C968">
        <v>1</v>
      </c>
      <c r="D968" t="s">
        <v>1517</v>
      </c>
    </row>
    <row r="969" spans="1:4" x14ac:dyDescent="0.2">
      <c r="A969" t="s">
        <v>1636</v>
      </c>
      <c r="B969" t="s">
        <v>1635</v>
      </c>
      <c r="C969">
        <v>1</v>
      </c>
      <c r="D969" t="s">
        <v>1517</v>
      </c>
    </row>
    <row r="970" spans="1:4" x14ac:dyDescent="0.2">
      <c r="A970" t="s">
        <v>233</v>
      </c>
      <c r="B970" t="s">
        <v>1634</v>
      </c>
      <c r="C970">
        <v>1</v>
      </c>
      <c r="D970" t="s">
        <v>1517</v>
      </c>
    </row>
    <row r="971" spans="1:4" x14ac:dyDescent="0.2">
      <c r="A971" t="s">
        <v>234</v>
      </c>
      <c r="B971" t="s">
        <v>1633</v>
      </c>
      <c r="C971">
        <v>1</v>
      </c>
      <c r="D971" t="s">
        <v>1517</v>
      </c>
    </row>
    <row r="972" spans="1:4" x14ac:dyDescent="0.2">
      <c r="A972" t="s">
        <v>1632</v>
      </c>
      <c r="B972" t="s">
        <v>1631</v>
      </c>
      <c r="C972">
        <v>1</v>
      </c>
      <c r="D972" t="s">
        <v>1517</v>
      </c>
    </row>
    <row r="973" spans="1:4" x14ac:dyDescent="0.2">
      <c r="A973" t="s">
        <v>1630</v>
      </c>
      <c r="B973" t="s">
        <v>1629</v>
      </c>
      <c r="C973">
        <v>1</v>
      </c>
      <c r="D973" t="s">
        <v>1517</v>
      </c>
    </row>
    <row r="974" spans="1:4" x14ac:dyDescent="0.2">
      <c r="A974" t="s">
        <v>1628</v>
      </c>
      <c r="B974" t="s">
        <v>1627</v>
      </c>
      <c r="C974">
        <v>1</v>
      </c>
      <c r="D974" t="s">
        <v>1517</v>
      </c>
    </row>
    <row r="975" spans="1:4" x14ac:dyDescent="0.2">
      <c r="A975" t="s">
        <v>935</v>
      </c>
      <c r="B975" t="s">
        <v>1626</v>
      </c>
      <c r="C975">
        <v>1</v>
      </c>
      <c r="D975" t="s">
        <v>1517</v>
      </c>
    </row>
    <row r="976" spans="1:4" x14ac:dyDescent="0.2">
      <c r="A976" t="s">
        <v>936</v>
      </c>
      <c r="B976" t="s">
        <v>1625</v>
      </c>
      <c r="C976">
        <v>1</v>
      </c>
      <c r="D976" t="s">
        <v>1517</v>
      </c>
    </row>
    <row r="977" spans="1:4" x14ac:dyDescent="0.2">
      <c r="A977" t="s">
        <v>1624</v>
      </c>
      <c r="B977" t="s">
        <v>1623</v>
      </c>
      <c r="C977">
        <v>1</v>
      </c>
      <c r="D977" t="s">
        <v>1517</v>
      </c>
    </row>
    <row r="978" spans="1:4" x14ac:dyDescent="0.2">
      <c r="A978" t="s">
        <v>1622</v>
      </c>
      <c r="B978" t="s">
        <v>1621</v>
      </c>
      <c r="C978">
        <v>1</v>
      </c>
      <c r="D978" t="s">
        <v>1517</v>
      </c>
    </row>
    <row r="979" spans="1:4" x14ac:dyDescent="0.2">
      <c r="A979" t="s">
        <v>1620</v>
      </c>
      <c r="B979" t="s">
        <v>1619</v>
      </c>
      <c r="C979">
        <v>15</v>
      </c>
      <c r="D979" t="s">
        <v>1618</v>
      </c>
    </row>
    <row r="980" spans="1:4" x14ac:dyDescent="0.2">
      <c r="A980" t="s">
        <v>1617</v>
      </c>
      <c r="B980" t="s">
        <v>1616</v>
      </c>
      <c r="C980">
        <v>1</v>
      </c>
      <c r="D980" t="s">
        <v>1517</v>
      </c>
    </row>
    <row r="981" spans="1:4" x14ac:dyDescent="0.2">
      <c r="A981" t="s">
        <v>1615</v>
      </c>
      <c r="B981" t="s">
        <v>1614</v>
      </c>
      <c r="C981">
        <v>1</v>
      </c>
      <c r="D981" t="s">
        <v>1517</v>
      </c>
    </row>
    <row r="982" spans="1:4" x14ac:dyDescent="0.2">
      <c r="A982" t="s">
        <v>1613</v>
      </c>
      <c r="B982" t="s">
        <v>1612</v>
      </c>
      <c r="C982">
        <v>1</v>
      </c>
      <c r="D982" t="s">
        <v>1517</v>
      </c>
    </row>
    <row r="983" spans="1:4" x14ac:dyDescent="0.2">
      <c r="A983" t="s">
        <v>1611</v>
      </c>
      <c r="B983" t="s">
        <v>1610</v>
      </c>
      <c r="C983">
        <v>12</v>
      </c>
      <c r="D983" t="s">
        <v>1609</v>
      </c>
    </row>
    <row r="984" spans="1:4" x14ac:dyDescent="0.2">
      <c r="A984" t="s">
        <v>1608</v>
      </c>
      <c r="B984" t="s">
        <v>1607</v>
      </c>
      <c r="C984">
        <v>1</v>
      </c>
      <c r="D984" t="s">
        <v>1517</v>
      </c>
    </row>
    <row r="985" spans="1:4" x14ac:dyDescent="0.2">
      <c r="A985" t="s">
        <v>1606</v>
      </c>
      <c r="B985" t="s">
        <v>1605</v>
      </c>
      <c r="C985">
        <v>3</v>
      </c>
      <c r="D985" t="s">
        <v>1540</v>
      </c>
    </row>
    <row r="986" spans="1:4" x14ac:dyDescent="0.2">
      <c r="A986" t="s">
        <v>1604</v>
      </c>
      <c r="B986" t="s">
        <v>1603</v>
      </c>
      <c r="C986">
        <v>25</v>
      </c>
      <c r="D986" t="s">
        <v>1511</v>
      </c>
    </row>
    <row r="987" spans="1:4" x14ac:dyDescent="0.2">
      <c r="A987" t="s">
        <v>1602</v>
      </c>
      <c r="B987" t="s">
        <v>1601</v>
      </c>
      <c r="C987">
        <v>1</v>
      </c>
      <c r="D987" t="s">
        <v>1517</v>
      </c>
    </row>
    <row r="988" spans="1:4" x14ac:dyDescent="0.2">
      <c r="A988" t="s">
        <v>1600</v>
      </c>
      <c r="B988" t="s">
        <v>1599</v>
      </c>
      <c r="C988">
        <v>3</v>
      </c>
      <c r="D988" t="s">
        <v>1540</v>
      </c>
    </row>
    <row r="989" spans="1:4" x14ac:dyDescent="0.2">
      <c r="A989" t="s">
        <v>1598</v>
      </c>
      <c r="B989" t="s">
        <v>1597</v>
      </c>
      <c r="C989">
        <v>1</v>
      </c>
      <c r="D989" t="s">
        <v>1517</v>
      </c>
    </row>
    <row r="990" spans="1:4" x14ac:dyDescent="0.2">
      <c r="A990" t="s">
        <v>1596</v>
      </c>
      <c r="B990" t="s">
        <v>1595</v>
      </c>
      <c r="C990">
        <v>1</v>
      </c>
      <c r="D990" t="s">
        <v>1517</v>
      </c>
    </row>
    <row r="991" spans="1:4" x14ac:dyDescent="0.2">
      <c r="A991" t="s">
        <v>1594</v>
      </c>
      <c r="B991" t="s">
        <v>1593</v>
      </c>
      <c r="C991">
        <v>1</v>
      </c>
      <c r="D991" t="s">
        <v>1517</v>
      </c>
    </row>
    <row r="992" spans="1:4" x14ac:dyDescent="0.2">
      <c r="A992" t="s">
        <v>1592</v>
      </c>
      <c r="B992" t="s">
        <v>1591</v>
      </c>
      <c r="C992">
        <v>1</v>
      </c>
      <c r="D992" t="s">
        <v>1517</v>
      </c>
    </row>
    <row r="993" spans="1:4" x14ac:dyDescent="0.2">
      <c r="A993" t="s">
        <v>1013</v>
      </c>
      <c r="B993" t="s">
        <v>1590</v>
      </c>
      <c r="C993">
        <v>3</v>
      </c>
      <c r="D993" t="s">
        <v>1540</v>
      </c>
    </row>
    <row r="994" spans="1:4" x14ac:dyDescent="0.2">
      <c r="A994" t="s">
        <v>1589</v>
      </c>
      <c r="B994" t="s">
        <v>1588</v>
      </c>
      <c r="C994">
        <v>25</v>
      </c>
      <c r="D994" t="s">
        <v>1511</v>
      </c>
    </row>
    <row r="995" spans="1:4" x14ac:dyDescent="0.2">
      <c r="A995" t="s">
        <v>1587</v>
      </c>
      <c r="B995" t="s">
        <v>1586</v>
      </c>
      <c r="C995">
        <v>3</v>
      </c>
      <c r="D995" t="s">
        <v>1540</v>
      </c>
    </row>
    <row r="996" spans="1:4" x14ac:dyDescent="0.2">
      <c r="A996" t="s">
        <v>1585</v>
      </c>
      <c r="B996" t="s">
        <v>1584</v>
      </c>
      <c r="C996">
        <v>1</v>
      </c>
      <c r="D996" t="s">
        <v>1517</v>
      </c>
    </row>
    <row r="997" spans="1:4" x14ac:dyDescent="0.2">
      <c r="A997" t="s">
        <v>1583</v>
      </c>
      <c r="B997" t="s">
        <v>1582</v>
      </c>
      <c r="C997">
        <v>25</v>
      </c>
      <c r="D997" t="s">
        <v>1511</v>
      </c>
    </row>
    <row r="998" spans="1:4" x14ac:dyDescent="0.2">
      <c r="A998" t="s">
        <v>1581</v>
      </c>
      <c r="B998" t="s">
        <v>1580</v>
      </c>
      <c r="C998">
        <v>21</v>
      </c>
      <c r="D998" t="s">
        <v>1579</v>
      </c>
    </row>
    <row r="999" spans="1:4" x14ac:dyDescent="0.2">
      <c r="A999" t="s">
        <v>1578</v>
      </c>
      <c r="B999" t="s">
        <v>1577</v>
      </c>
      <c r="C999">
        <v>1</v>
      </c>
      <c r="D999" t="s">
        <v>1517</v>
      </c>
    </row>
    <row r="1000" spans="1:4" x14ac:dyDescent="0.2">
      <c r="A1000" t="s">
        <v>1576</v>
      </c>
      <c r="B1000" t="s">
        <v>1575</v>
      </c>
      <c r="C1000">
        <v>1</v>
      </c>
      <c r="D1000" t="s">
        <v>1517</v>
      </c>
    </row>
    <row r="1001" spans="1:4" x14ac:dyDescent="0.2">
      <c r="A1001" t="s">
        <v>1574</v>
      </c>
      <c r="B1001" t="s">
        <v>1573</v>
      </c>
      <c r="C1001">
        <v>10</v>
      </c>
      <c r="D1001" t="s">
        <v>1570</v>
      </c>
    </row>
    <row r="1002" spans="1:4" x14ac:dyDescent="0.2">
      <c r="A1002" t="s">
        <v>1572</v>
      </c>
      <c r="B1002" t="s">
        <v>1571</v>
      </c>
      <c r="C1002">
        <v>10</v>
      </c>
      <c r="D1002" t="s">
        <v>1570</v>
      </c>
    </row>
    <row r="1003" spans="1:4" x14ac:dyDescent="0.2">
      <c r="A1003" t="s">
        <v>1569</v>
      </c>
      <c r="B1003" t="s">
        <v>1568</v>
      </c>
      <c r="C1003">
        <v>1</v>
      </c>
      <c r="D1003" t="s">
        <v>1517</v>
      </c>
    </row>
    <row r="1004" spans="1:4" x14ac:dyDescent="0.2">
      <c r="A1004" t="s">
        <v>1567</v>
      </c>
      <c r="B1004" t="s">
        <v>1566</v>
      </c>
      <c r="C1004">
        <v>3</v>
      </c>
      <c r="D1004" t="s">
        <v>1540</v>
      </c>
    </row>
    <row r="1005" spans="1:4" x14ac:dyDescent="0.2">
      <c r="A1005" t="s">
        <v>1565</v>
      </c>
      <c r="B1005" t="s">
        <v>1564</v>
      </c>
      <c r="C1005">
        <v>19</v>
      </c>
      <c r="D1005" t="s">
        <v>1535</v>
      </c>
    </row>
    <row r="1006" spans="1:4" x14ac:dyDescent="0.2">
      <c r="A1006" t="s">
        <v>1563</v>
      </c>
      <c r="B1006" t="s">
        <v>1562</v>
      </c>
      <c r="C1006">
        <v>19</v>
      </c>
      <c r="D1006" t="s">
        <v>1535</v>
      </c>
    </row>
    <row r="1007" spans="1:4" x14ac:dyDescent="0.2">
      <c r="A1007" t="s">
        <v>1561</v>
      </c>
      <c r="B1007" t="s">
        <v>1560</v>
      </c>
      <c r="C1007">
        <v>19</v>
      </c>
      <c r="D1007" t="s">
        <v>1535</v>
      </c>
    </row>
    <row r="1008" spans="1:4" x14ac:dyDescent="0.2">
      <c r="A1008" t="s">
        <v>1559</v>
      </c>
      <c r="B1008" t="s">
        <v>1558</v>
      </c>
      <c r="C1008">
        <v>3</v>
      </c>
      <c r="D1008" t="s">
        <v>1540</v>
      </c>
    </row>
    <row r="1009" spans="1:4" x14ac:dyDescent="0.2">
      <c r="A1009" t="s">
        <v>1557</v>
      </c>
      <c r="B1009" t="s">
        <v>1556</v>
      </c>
      <c r="C1009">
        <v>14</v>
      </c>
      <c r="D1009" t="s">
        <v>1555</v>
      </c>
    </row>
    <row r="1010" spans="1:4" x14ac:dyDescent="0.2">
      <c r="A1010" t="s">
        <v>1554</v>
      </c>
      <c r="B1010" t="s">
        <v>1553</v>
      </c>
      <c r="C1010">
        <v>1</v>
      </c>
      <c r="D1010" t="s">
        <v>1517</v>
      </c>
    </row>
    <row r="1011" spans="1:4" x14ac:dyDescent="0.2">
      <c r="A1011" t="s">
        <v>1552</v>
      </c>
      <c r="B1011" t="s">
        <v>1551</v>
      </c>
      <c r="C1011">
        <v>1</v>
      </c>
      <c r="D1011" t="s">
        <v>1517</v>
      </c>
    </row>
    <row r="1012" spans="1:4" x14ac:dyDescent="0.2">
      <c r="A1012" t="s">
        <v>1550</v>
      </c>
      <c r="B1012" t="s">
        <v>1549</v>
      </c>
      <c r="C1012">
        <v>1</v>
      </c>
      <c r="D1012" t="s">
        <v>1517</v>
      </c>
    </row>
    <row r="1013" spans="1:4" x14ac:dyDescent="0.2">
      <c r="A1013" t="s">
        <v>1548</v>
      </c>
      <c r="B1013" t="s">
        <v>1547</v>
      </c>
      <c r="C1013">
        <v>3</v>
      </c>
      <c r="D1013" t="s">
        <v>1540</v>
      </c>
    </row>
    <row r="1014" spans="1:4" x14ac:dyDescent="0.2">
      <c r="A1014" t="s">
        <v>1546</v>
      </c>
      <c r="B1014" t="s">
        <v>1545</v>
      </c>
      <c r="C1014">
        <v>1</v>
      </c>
      <c r="D1014" t="s">
        <v>1517</v>
      </c>
    </row>
    <row r="1015" spans="1:4" x14ac:dyDescent="0.2">
      <c r="A1015" t="s">
        <v>1544</v>
      </c>
      <c r="B1015" t="s">
        <v>1543</v>
      </c>
      <c r="C1015">
        <v>1</v>
      </c>
      <c r="D1015" t="s">
        <v>1517</v>
      </c>
    </row>
    <row r="1016" spans="1:4" x14ac:dyDescent="0.2">
      <c r="A1016" t="s">
        <v>1542</v>
      </c>
      <c r="B1016" t="s">
        <v>1541</v>
      </c>
      <c r="C1016">
        <v>3</v>
      </c>
      <c r="D1016" t="s">
        <v>1540</v>
      </c>
    </row>
    <row r="1017" spans="1:4" x14ac:dyDescent="0.2">
      <c r="A1017" t="s">
        <v>1539</v>
      </c>
      <c r="B1017" t="s">
        <v>1538</v>
      </c>
      <c r="C1017">
        <v>19</v>
      </c>
      <c r="D1017" t="s">
        <v>1535</v>
      </c>
    </row>
    <row r="1018" spans="1:4" x14ac:dyDescent="0.2">
      <c r="A1018" t="s">
        <v>1537</v>
      </c>
      <c r="B1018" t="s">
        <v>1536</v>
      </c>
      <c r="C1018">
        <v>19</v>
      </c>
      <c r="D1018" t="s">
        <v>1535</v>
      </c>
    </row>
    <row r="1019" spans="1:4" x14ac:dyDescent="0.2">
      <c r="A1019" t="s">
        <v>1534</v>
      </c>
      <c r="B1019" t="s">
        <v>1533</v>
      </c>
      <c r="C1019">
        <v>1</v>
      </c>
      <c r="D1019" t="s">
        <v>1517</v>
      </c>
    </row>
    <row r="1020" spans="1:4" x14ac:dyDescent="0.2">
      <c r="A1020" t="s">
        <v>1532</v>
      </c>
      <c r="B1020" t="s">
        <v>1531</v>
      </c>
      <c r="C1020">
        <v>1</v>
      </c>
      <c r="D1020" t="s">
        <v>1517</v>
      </c>
    </row>
    <row r="1021" spans="1:4" x14ac:dyDescent="0.2">
      <c r="A1021" t="s">
        <v>1239</v>
      </c>
      <c r="B1021" t="s">
        <v>1530</v>
      </c>
      <c r="C1021">
        <v>2</v>
      </c>
      <c r="D1021" t="s">
        <v>1529</v>
      </c>
    </row>
    <row r="1022" spans="1:4" x14ac:dyDescent="0.2">
      <c r="A1022" t="s">
        <v>1528</v>
      </c>
      <c r="B1022" t="s">
        <v>1527</v>
      </c>
      <c r="C1022">
        <v>1</v>
      </c>
      <c r="D1022" t="s">
        <v>1517</v>
      </c>
    </row>
    <row r="1023" spans="1:4" x14ac:dyDescent="0.2">
      <c r="A1023" t="s">
        <v>1526</v>
      </c>
      <c r="B1023" t="s">
        <v>1525</v>
      </c>
      <c r="C1023">
        <v>1</v>
      </c>
      <c r="D1023" t="s">
        <v>1517</v>
      </c>
    </row>
    <row r="1024" spans="1:4" x14ac:dyDescent="0.2">
      <c r="A1024" t="s">
        <v>1524</v>
      </c>
      <c r="B1024" t="s">
        <v>1523</v>
      </c>
      <c r="C1024">
        <v>25</v>
      </c>
      <c r="D1024" t="s">
        <v>1511</v>
      </c>
    </row>
    <row r="1025" spans="1:4" x14ac:dyDescent="0.2">
      <c r="A1025" t="s">
        <v>1522</v>
      </c>
      <c r="B1025" t="s">
        <v>1521</v>
      </c>
      <c r="C1025">
        <v>25</v>
      </c>
      <c r="D1025" t="s">
        <v>1511</v>
      </c>
    </row>
    <row r="1026" spans="1:4" x14ac:dyDescent="0.2">
      <c r="A1026" t="s">
        <v>1520</v>
      </c>
      <c r="B1026" t="s">
        <v>1519</v>
      </c>
      <c r="C1026">
        <v>1</v>
      </c>
      <c r="D1026" t="s">
        <v>1517</v>
      </c>
    </row>
    <row r="1027" spans="1:4" x14ac:dyDescent="0.2">
      <c r="A1027" t="s">
        <v>1396</v>
      </c>
      <c r="B1027" t="s">
        <v>1518</v>
      </c>
      <c r="C1027">
        <v>1</v>
      </c>
      <c r="D1027" t="s">
        <v>1517</v>
      </c>
    </row>
    <row r="1028" spans="1:4" x14ac:dyDescent="0.2">
      <c r="A1028" t="s">
        <v>1516</v>
      </c>
      <c r="B1028" t="s">
        <v>1514</v>
      </c>
      <c r="C1028">
        <v>25</v>
      </c>
      <c r="D1028" t="s">
        <v>1511</v>
      </c>
    </row>
    <row r="1029" spans="1:4" x14ac:dyDescent="0.2">
      <c r="A1029" t="s">
        <v>1515</v>
      </c>
      <c r="B1029" t="s">
        <v>1514</v>
      </c>
      <c r="C1029">
        <v>25</v>
      </c>
      <c r="D1029" t="s">
        <v>1511</v>
      </c>
    </row>
    <row r="1030" spans="1:4" x14ac:dyDescent="0.2">
      <c r="A1030" t="s">
        <v>1513</v>
      </c>
      <c r="B1030" t="s">
        <v>1512</v>
      </c>
      <c r="C1030">
        <v>25</v>
      </c>
      <c r="D1030" t="s">
        <v>1511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73"/>
  <sheetViews>
    <sheetView zoomScaleNormal="100" workbookViewId="0">
      <pane ySplit="3" topLeftCell="A4" activePane="bottomLeft" state="frozen"/>
      <selection pane="bottomLeft" activeCell="I23" sqref="I23"/>
    </sheetView>
  </sheetViews>
  <sheetFormatPr defaultRowHeight="13.2" x14ac:dyDescent="0.2"/>
  <cols>
    <col min="1" max="1" width="44.77734375" bestFit="1" customWidth="1"/>
    <col min="2" max="2" width="18.33203125" customWidth="1"/>
    <col min="3" max="3" width="18" style="96" customWidth="1"/>
    <col min="4" max="4" width="18" style="9" customWidth="1"/>
    <col min="5" max="5" width="50.109375" bestFit="1" customWidth="1"/>
    <col min="6" max="6" width="11.6640625" bestFit="1" customWidth="1"/>
  </cols>
  <sheetData>
    <row r="1" spans="1:6" x14ac:dyDescent="0.2">
      <c r="A1" t="s">
        <v>879</v>
      </c>
      <c r="E1" s="148"/>
      <c r="F1" t="s">
        <v>1508</v>
      </c>
    </row>
    <row r="2" spans="1:6" x14ac:dyDescent="0.2">
      <c r="E2" s="120"/>
      <c r="F2" t="s">
        <v>1507</v>
      </c>
    </row>
    <row r="3" spans="1:6" x14ac:dyDescent="0.2">
      <c r="A3" s="10" t="s">
        <v>4</v>
      </c>
      <c r="B3" s="12" t="s">
        <v>6</v>
      </c>
      <c r="C3" s="97" t="s">
        <v>14</v>
      </c>
      <c r="D3" s="16" t="s">
        <v>16</v>
      </c>
    </row>
    <row r="4" spans="1:6" x14ac:dyDescent="0.2">
      <c r="A4" s="17" t="s">
        <v>466</v>
      </c>
      <c r="B4" s="84">
        <v>20.23</v>
      </c>
      <c r="C4" s="98">
        <v>0</v>
      </c>
      <c r="D4" s="55">
        <v>0</v>
      </c>
      <c r="E4" t="str">
        <f>DBCS(A4)</f>
        <v>アキネトン細粒１％</v>
      </c>
      <c r="F4" t="str">
        <f>LEFT(E4,5)</f>
        <v>アキネトン</v>
      </c>
    </row>
    <row r="5" spans="1:6" x14ac:dyDescent="0.2">
      <c r="A5" s="53" t="s">
        <v>375</v>
      </c>
      <c r="B5" s="52">
        <v>1362</v>
      </c>
      <c r="C5" s="98">
        <v>0</v>
      </c>
      <c r="D5" s="16">
        <v>0</v>
      </c>
      <c r="E5" t="str">
        <f t="shared" ref="E5:E68" si="0">DBCS(A5)</f>
        <v>アクトシン軟膏（３０ｇ）</v>
      </c>
      <c r="F5" t="str">
        <f t="shared" ref="F5:F68" si="1">LEFT(E5,5)</f>
        <v>アクトシン</v>
      </c>
    </row>
    <row r="6" spans="1:6" x14ac:dyDescent="0.15">
      <c r="A6" s="57" t="s">
        <v>836</v>
      </c>
      <c r="B6" s="22">
        <v>8.5</v>
      </c>
      <c r="C6" s="97">
        <v>0</v>
      </c>
      <c r="D6" s="16">
        <v>0</v>
      </c>
      <c r="E6" t="str">
        <f t="shared" si="0"/>
        <v>アナフラニール錠１０ｍｇ　</v>
      </c>
      <c r="F6" t="str">
        <f t="shared" si="1"/>
        <v>アナフラニ</v>
      </c>
    </row>
    <row r="7" spans="1:6" x14ac:dyDescent="0.15">
      <c r="A7" s="57" t="s">
        <v>644</v>
      </c>
      <c r="B7" s="58">
        <v>1368</v>
      </c>
      <c r="C7" s="98">
        <v>0</v>
      </c>
      <c r="D7" s="16">
        <v>0</v>
      </c>
      <c r="E7" t="str">
        <f t="shared" si="0"/>
        <v>イバンドロン酸１㎖シリンジ</v>
      </c>
      <c r="F7" t="str">
        <f t="shared" si="1"/>
        <v>イバンドロ</v>
      </c>
    </row>
    <row r="8" spans="1:6" x14ac:dyDescent="0.2">
      <c r="A8" s="53" t="s">
        <v>798</v>
      </c>
      <c r="B8" s="52">
        <v>43356</v>
      </c>
      <c r="C8" s="98">
        <v>0</v>
      </c>
      <c r="D8" s="16">
        <v>0</v>
      </c>
      <c r="E8" t="str">
        <f t="shared" si="0"/>
        <v>イベニティ皮下注１０５ｍｇシリンジ</v>
      </c>
      <c r="F8" t="str">
        <f t="shared" si="1"/>
        <v>イベニティ</v>
      </c>
    </row>
    <row r="9" spans="1:6" x14ac:dyDescent="0.2">
      <c r="A9" s="53" t="s">
        <v>878</v>
      </c>
      <c r="B9" s="52">
        <v>727</v>
      </c>
      <c r="C9" s="98">
        <v>0</v>
      </c>
      <c r="D9" s="16">
        <v>0</v>
      </c>
      <c r="E9" t="str">
        <f t="shared" si="0"/>
        <v>イントラリポス輸液２０％１００ｍｌ</v>
      </c>
      <c r="F9" t="str">
        <f t="shared" si="1"/>
        <v>イントラリ</v>
      </c>
    </row>
    <row r="10" spans="1:6" x14ac:dyDescent="0.2">
      <c r="A10" s="53" t="s">
        <v>316</v>
      </c>
      <c r="B10" s="52">
        <v>530</v>
      </c>
      <c r="C10" s="98">
        <v>0</v>
      </c>
      <c r="D10" s="16">
        <v>0</v>
      </c>
      <c r="E10" t="str">
        <f t="shared" si="0"/>
        <v>キシロカイン　ビスカス２％</v>
      </c>
      <c r="F10" t="str">
        <f t="shared" si="1"/>
        <v>キシロカイ</v>
      </c>
    </row>
    <row r="11" spans="1:6" x14ac:dyDescent="0.2">
      <c r="A11" s="53" t="s">
        <v>317</v>
      </c>
      <c r="B11" s="52">
        <v>19.2</v>
      </c>
      <c r="C11" s="98">
        <v>0</v>
      </c>
      <c r="D11" s="16">
        <v>0</v>
      </c>
      <c r="E11" t="str">
        <f t="shared" si="0"/>
        <v>キシロカイン　ポンプスプレ－８％</v>
      </c>
      <c r="F11" t="str">
        <f t="shared" si="1"/>
        <v>キシロカイ</v>
      </c>
    </row>
    <row r="12" spans="1:6" x14ac:dyDescent="0.2">
      <c r="A12" s="53" t="s">
        <v>318</v>
      </c>
      <c r="B12" s="52">
        <v>52.1</v>
      </c>
      <c r="C12" s="98">
        <v>0</v>
      </c>
      <c r="D12" s="16">
        <v>0</v>
      </c>
      <c r="E12" t="str">
        <f t="shared" si="0"/>
        <v>キシロカイン注ポリアンプ０．５％</v>
      </c>
      <c r="F12" t="str">
        <f t="shared" si="1"/>
        <v>キシロカイ</v>
      </c>
    </row>
    <row r="13" spans="1:6" x14ac:dyDescent="0.15">
      <c r="A13" s="57" t="s">
        <v>325</v>
      </c>
      <c r="B13" s="58">
        <v>405.4</v>
      </c>
      <c r="C13" s="98">
        <v>0</v>
      </c>
      <c r="D13" s="16">
        <v>0</v>
      </c>
      <c r="E13" t="str">
        <f t="shared" si="0"/>
        <v>セフタジジム静注用１ｇ　　　　　　　　　　　　　１０Ｖ</v>
      </c>
      <c r="F13" t="str">
        <f t="shared" si="1"/>
        <v>セフタジジ</v>
      </c>
    </row>
    <row r="14" spans="1:6" x14ac:dyDescent="0.2">
      <c r="A14" s="53" t="s">
        <v>261</v>
      </c>
      <c r="B14" s="18">
        <v>123.38</v>
      </c>
      <c r="C14" s="97">
        <v>0</v>
      </c>
      <c r="D14" s="16">
        <v>0</v>
      </c>
      <c r="E14" t="str">
        <f t="shared" si="0"/>
        <v>デルモゾ－ルＧ　クリ－ム　５ｇ／本</v>
      </c>
      <c r="F14" t="str">
        <f t="shared" si="1"/>
        <v>デルモゾ－</v>
      </c>
    </row>
    <row r="15" spans="1:6" x14ac:dyDescent="0.15">
      <c r="A15" s="57" t="s">
        <v>463</v>
      </c>
      <c r="B15" s="87">
        <v>22.3</v>
      </c>
      <c r="C15" s="102">
        <v>0</v>
      </c>
      <c r="D15" s="55">
        <v>0</v>
      </c>
      <c r="E15" t="str">
        <f t="shared" si="0"/>
        <v>ドグマチール細粒</v>
      </c>
      <c r="F15" t="str">
        <f t="shared" si="1"/>
        <v>ドグマチー</v>
      </c>
    </row>
    <row r="16" spans="1:6" x14ac:dyDescent="0.15">
      <c r="A16" s="57" t="s">
        <v>824</v>
      </c>
      <c r="B16" s="58">
        <v>710</v>
      </c>
      <c r="C16" s="98">
        <v>0</v>
      </c>
      <c r="D16" s="16">
        <v>0</v>
      </c>
      <c r="E16" t="str">
        <f t="shared" si="0"/>
        <v>バルプロ酸ナトリウムシロップ５％　１２０ｍＬ</v>
      </c>
      <c r="F16" t="str">
        <f t="shared" si="1"/>
        <v>バルプロ酸</v>
      </c>
    </row>
    <row r="17" spans="1:6" x14ac:dyDescent="0.2">
      <c r="A17" s="53" t="s">
        <v>391</v>
      </c>
      <c r="B17" s="52">
        <v>48.8</v>
      </c>
      <c r="C17" s="98">
        <v>0</v>
      </c>
      <c r="D17" s="16">
        <v>0</v>
      </c>
      <c r="E17" t="str">
        <f t="shared" si="0"/>
        <v>ファンギゾン　シロップ１００ｍｇ／ＭＬ</v>
      </c>
      <c r="F17" t="str">
        <f t="shared" si="1"/>
        <v>ファンギゾ</v>
      </c>
    </row>
    <row r="18" spans="1:6" x14ac:dyDescent="0.2">
      <c r="A18" s="53" t="s">
        <v>812</v>
      </c>
      <c r="B18" s="52">
        <v>21900</v>
      </c>
      <c r="C18" s="98">
        <v>0</v>
      </c>
      <c r="D18" s="16">
        <v>0</v>
      </c>
      <c r="E18" t="str">
        <f t="shared" si="0"/>
        <v>プラリア皮下注６０ｍｇシリンジ</v>
      </c>
      <c r="F18" t="str">
        <f t="shared" si="1"/>
        <v>プラリア皮</v>
      </c>
    </row>
    <row r="19" spans="1:6" x14ac:dyDescent="0.2">
      <c r="A19" s="53" t="s">
        <v>395</v>
      </c>
      <c r="B19" s="52">
        <v>269</v>
      </c>
      <c r="C19" s="98">
        <v>0</v>
      </c>
      <c r="D19" s="16">
        <v>0</v>
      </c>
      <c r="E19" t="str">
        <f t="shared" si="0"/>
        <v>ポビドンヨード外用液　１０％　２５０ｍｌ</v>
      </c>
      <c r="F19" t="str">
        <f t="shared" si="1"/>
        <v>ポビドンヨ</v>
      </c>
    </row>
    <row r="20" spans="1:6" x14ac:dyDescent="0.2">
      <c r="A20" s="53" t="s">
        <v>361</v>
      </c>
      <c r="B20" s="52">
        <v>199</v>
      </c>
      <c r="C20" s="98">
        <v>0</v>
      </c>
      <c r="D20" s="16">
        <v>0</v>
      </c>
      <c r="E20" t="str">
        <f t="shared" si="0"/>
        <v>ミノサイクリン塩酸塩点滴静注用１００ＭＧ</v>
      </c>
      <c r="F20" t="str">
        <f t="shared" si="1"/>
        <v>ミノサイク</v>
      </c>
    </row>
    <row r="21" spans="1:6" x14ac:dyDescent="0.2">
      <c r="A21" s="53" t="s">
        <v>715</v>
      </c>
      <c r="B21" s="52">
        <v>584.5</v>
      </c>
      <c r="C21" s="98">
        <v>0</v>
      </c>
      <c r="D21" s="16">
        <v>0</v>
      </c>
      <c r="E21" t="str">
        <f t="shared" si="0"/>
        <v>メロペネム点滴０．５ｇ</v>
      </c>
      <c r="F21" t="str">
        <f t="shared" si="1"/>
        <v>メロペネム</v>
      </c>
    </row>
    <row r="22" spans="1:6" x14ac:dyDescent="0.2">
      <c r="A22" s="17" t="s">
        <v>48</v>
      </c>
      <c r="B22" s="18">
        <v>980</v>
      </c>
      <c r="C22" s="101">
        <v>0</v>
      </c>
      <c r="D22" s="55">
        <v>0</v>
      </c>
      <c r="E22" t="str">
        <f t="shared" si="0"/>
        <v>リスパダール内用液　１ｍｇ／ｍＬ３０ｍｌ</v>
      </c>
      <c r="F22" t="str">
        <f t="shared" si="1"/>
        <v>リスパダー</v>
      </c>
    </row>
    <row r="23" spans="1:6" x14ac:dyDescent="0.2">
      <c r="A23" s="20" t="s">
        <v>873</v>
      </c>
      <c r="B23" s="22">
        <v>1634</v>
      </c>
      <c r="C23" s="101">
        <v>0</v>
      </c>
      <c r="D23" s="55">
        <v>0</v>
      </c>
      <c r="E23" t="str">
        <f t="shared" si="0"/>
        <v>リスペリドン内用液１ｍｇ／１００ｍｌ</v>
      </c>
      <c r="F23" t="str">
        <f t="shared" si="1"/>
        <v>リスペリド</v>
      </c>
    </row>
    <row r="24" spans="1:6" x14ac:dyDescent="0.2">
      <c r="A24" s="53" t="s">
        <v>368</v>
      </c>
      <c r="B24" s="52">
        <v>86.4</v>
      </c>
      <c r="C24" s="98">
        <v>0</v>
      </c>
      <c r="D24" s="16">
        <v>0</v>
      </c>
      <c r="E24" t="str">
        <f t="shared" si="0"/>
        <v>大塚食塩注１０％２０ｍｌ</v>
      </c>
      <c r="F24" t="str">
        <f t="shared" si="1"/>
        <v>大塚食塩注</v>
      </c>
    </row>
    <row r="25" spans="1:6" x14ac:dyDescent="0.2">
      <c r="A25" s="31" t="s">
        <v>411</v>
      </c>
      <c r="B25" s="18">
        <v>8.73</v>
      </c>
      <c r="C25" s="97">
        <v>11</v>
      </c>
      <c r="D25" s="16">
        <v>96.03</v>
      </c>
      <c r="E25" t="str">
        <f t="shared" si="0"/>
        <v>フルイトラン（２）</v>
      </c>
      <c r="F25" t="str">
        <f t="shared" si="1"/>
        <v>フルイトラ</v>
      </c>
    </row>
    <row r="26" spans="1:6" x14ac:dyDescent="0.15">
      <c r="A26" s="57" t="s">
        <v>322</v>
      </c>
      <c r="B26" s="58">
        <v>123.8</v>
      </c>
      <c r="C26" s="98">
        <v>1</v>
      </c>
      <c r="D26" s="16">
        <v>123.8</v>
      </c>
      <c r="E26" t="str">
        <f t="shared" si="0"/>
        <v>ジギラノゲン注０．４ｍｇ</v>
      </c>
      <c r="F26" t="str">
        <f t="shared" si="1"/>
        <v>ジギラノゲ</v>
      </c>
    </row>
    <row r="27" spans="1:6" x14ac:dyDescent="0.2">
      <c r="A27" s="53" t="s">
        <v>815</v>
      </c>
      <c r="B27" s="52">
        <v>62.7</v>
      </c>
      <c r="C27" s="98">
        <v>2</v>
      </c>
      <c r="D27" s="16">
        <v>125.4</v>
      </c>
      <c r="E27" t="str">
        <f t="shared" si="0"/>
        <v>ポララミン注５㎎</v>
      </c>
      <c r="F27" t="str">
        <f t="shared" si="1"/>
        <v>ポララミン</v>
      </c>
    </row>
    <row r="28" spans="1:6" x14ac:dyDescent="0.2">
      <c r="A28" s="17" t="s">
        <v>826</v>
      </c>
      <c r="B28" s="18">
        <v>34.909999999999997</v>
      </c>
      <c r="C28" s="99">
        <v>4</v>
      </c>
      <c r="D28" s="16">
        <v>139.63999999999999</v>
      </c>
      <c r="E28" t="str">
        <f t="shared" si="0"/>
        <v>ジプレキサ　ザイディス錠２．５ｍｇ</v>
      </c>
      <c r="F28" t="str">
        <f t="shared" si="1"/>
        <v>ジプレキサ</v>
      </c>
    </row>
    <row r="29" spans="1:6" x14ac:dyDescent="0.2">
      <c r="A29" s="30" t="s">
        <v>725</v>
      </c>
      <c r="B29" s="18">
        <v>182.1</v>
      </c>
      <c r="C29" s="97">
        <v>1</v>
      </c>
      <c r="D29" s="16">
        <v>182.1</v>
      </c>
      <c r="E29" t="str">
        <f t="shared" si="0"/>
        <v>リフキシマ２００ｍｇ</v>
      </c>
      <c r="F29" t="str">
        <f t="shared" si="1"/>
        <v>リフキシマ</v>
      </c>
    </row>
    <row r="30" spans="1:6" x14ac:dyDescent="0.15">
      <c r="A30" s="20" t="s">
        <v>19</v>
      </c>
      <c r="B30" s="85">
        <v>8.91</v>
      </c>
      <c r="C30" s="98">
        <v>24</v>
      </c>
      <c r="D30" s="55">
        <v>213.84</v>
      </c>
      <c r="E30" t="str">
        <f t="shared" si="0"/>
        <v>ウインタミン細粒（１０％）　</v>
      </c>
      <c r="F30" t="str">
        <f t="shared" si="1"/>
        <v>ウインタミ</v>
      </c>
    </row>
    <row r="31" spans="1:6" x14ac:dyDescent="0.2">
      <c r="A31" s="20" t="s">
        <v>643</v>
      </c>
      <c r="B31" s="18">
        <v>235</v>
      </c>
      <c r="C31" s="97">
        <v>1</v>
      </c>
      <c r="D31" s="16">
        <v>235</v>
      </c>
      <c r="E31" t="str">
        <f t="shared" si="0"/>
        <v>ブロムヘキシン吸入液０．２％</v>
      </c>
      <c r="F31" t="str">
        <f t="shared" si="1"/>
        <v>ブロムヘキ</v>
      </c>
    </row>
    <row r="32" spans="1:6" x14ac:dyDescent="0.2">
      <c r="A32" s="17" t="s">
        <v>720</v>
      </c>
      <c r="B32" s="18">
        <v>10.83</v>
      </c>
      <c r="C32" s="97">
        <v>22</v>
      </c>
      <c r="D32" s="16">
        <v>238.26</v>
      </c>
      <c r="E32" t="str">
        <f t="shared" si="0"/>
        <v>デノタスチュアブル配合</v>
      </c>
      <c r="F32" t="str">
        <f t="shared" si="1"/>
        <v>デノタスチ</v>
      </c>
    </row>
    <row r="33" spans="1:6" x14ac:dyDescent="0.2">
      <c r="A33" s="53" t="s">
        <v>141</v>
      </c>
      <c r="B33" s="18">
        <v>7.27</v>
      </c>
      <c r="C33" s="97">
        <v>40</v>
      </c>
      <c r="D33" s="16">
        <v>290.79999999999995</v>
      </c>
      <c r="E33" t="str">
        <f t="shared" si="0"/>
        <v>セレスタミン配合錠</v>
      </c>
      <c r="F33" t="str">
        <f t="shared" si="1"/>
        <v>セレスタミ</v>
      </c>
    </row>
    <row r="34" spans="1:6" x14ac:dyDescent="0.15">
      <c r="A34" s="20" t="s">
        <v>295</v>
      </c>
      <c r="B34" s="22">
        <v>319.3</v>
      </c>
      <c r="C34" s="97">
        <v>1</v>
      </c>
      <c r="D34" s="16">
        <v>319.3</v>
      </c>
      <c r="E34" t="str">
        <f t="shared" si="0"/>
        <v>ジクアス点眼液３％　５ｍｌ／本</v>
      </c>
      <c r="F34" t="str">
        <f t="shared" si="1"/>
        <v>ジクアス点</v>
      </c>
    </row>
    <row r="35" spans="1:6" x14ac:dyDescent="0.2">
      <c r="A35" s="53" t="s">
        <v>257</v>
      </c>
      <c r="B35" s="18">
        <v>48.6</v>
      </c>
      <c r="C35" s="97">
        <v>7</v>
      </c>
      <c r="D35" s="16">
        <v>340.2</v>
      </c>
      <c r="E35" t="str">
        <f t="shared" si="0"/>
        <v>ソフラチュール貼付剤</v>
      </c>
      <c r="F35" t="str">
        <f t="shared" si="1"/>
        <v>ソフラチュ</v>
      </c>
    </row>
    <row r="36" spans="1:6" x14ac:dyDescent="0.2">
      <c r="A36" s="30" t="s">
        <v>861</v>
      </c>
      <c r="B36" s="18">
        <v>10.77</v>
      </c>
      <c r="C36" s="97">
        <v>32</v>
      </c>
      <c r="D36" s="16">
        <v>344.64</v>
      </c>
      <c r="E36" t="str">
        <f t="shared" si="0"/>
        <v>プリモボラン錠５㎎</v>
      </c>
      <c r="F36" t="str">
        <f t="shared" si="1"/>
        <v>プリモボラ</v>
      </c>
    </row>
    <row r="37" spans="1:6" x14ac:dyDescent="0.2">
      <c r="A37" s="17" t="s">
        <v>36</v>
      </c>
      <c r="B37" s="86">
        <v>0.66</v>
      </c>
      <c r="C37" s="98">
        <v>531</v>
      </c>
      <c r="D37" s="55">
        <v>350.46000000000004</v>
      </c>
      <c r="E37" t="str">
        <f t="shared" si="0"/>
        <v>炭酸水素ナトリウム</v>
      </c>
      <c r="F37" t="str">
        <f t="shared" si="1"/>
        <v>炭酸水素ナ</v>
      </c>
    </row>
    <row r="38" spans="1:6" x14ac:dyDescent="0.2">
      <c r="A38" s="53" t="s">
        <v>168</v>
      </c>
      <c r="B38" s="18">
        <v>6.09</v>
      </c>
      <c r="C38" s="97">
        <v>58.333333333333336</v>
      </c>
      <c r="D38" s="16">
        <v>355.25</v>
      </c>
      <c r="E38" t="str">
        <f t="shared" si="0"/>
        <v>ニュ－レプチル錠１０ｍｇ</v>
      </c>
      <c r="F38" t="str">
        <f t="shared" si="1"/>
        <v>ニュ－レプ</v>
      </c>
    </row>
    <row r="39" spans="1:6" x14ac:dyDescent="0.15">
      <c r="A39" s="57" t="s">
        <v>787</v>
      </c>
      <c r="B39" s="22">
        <v>73</v>
      </c>
      <c r="C39" s="97">
        <v>5</v>
      </c>
      <c r="D39" s="55">
        <v>365</v>
      </c>
      <c r="E39" t="str">
        <f t="shared" si="0"/>
        <v>ウレパールクリーム１０％</v>
      </c>
      <c r="F39" t="str">
        <f t="shared" si="1"/>
        <v>ウレパール</v>
      </c>
    </row>
    <row r="40" spans="1:6" x14ac:dyDescent="0.2">
      <c r="A40" s="17" t="s">
        <v>34</v>
      </c>
      <c r="B40" s="86">
        <v>0.81</v>
      </c>
      <c r="C40" s="98">
        <v>490</v>
      </c>
      <c r="D40" s="55">
        <v>396.90000000000003</v>
      </c>
      <c r="E40" t="str">
        <f t="shared" si="0"/>
        <v>塩化ナトリウム</v>
      </c>
      <c r="F40" t="str">
        <f t="shared" si="1"/>
        <v>塩化ナトリ</v>
      </c>
    </row>
    <row r="41" spans="1:6" x14ac:dyDescent="0.2">
      <c r="A41" s="53" t="s">
        <v>323</v>
      </c>
      <c r="B41" s="52">
        <v>107.1</v>
      </c>
      <c r="C41" s="98">
        <v>4</v>
      </c>
      <c r="D41" s="16">
        <v>428.4</v>
      </c>
      <c r="E41" t="str">
        <f t="shared" si="0"/>
        <v>静注用キシロカイン２％</v>
      </c>
      <c r="F41" t="str">
        <f t="shared" si="1"/>
        <v>静注用キシ</v>
      </c>
    </row>
    <row r="42" spans="1:6" x14ac:dyDescent="0.15">
      <c r="A42" s="57" t="s">
        <v>68</v>
      </c>
      <c r="B42" s="22">
        <v>5.58</v>
      </c>
      <c r="C42" s="97">
        <v>77.215189873417714</v>
      </c>
      <c r="D42" s="16">
        <v>430.86075949367086</v>
      </c>
      <c r="E42" t="str">
        <f t="shared" si="0"/>
        <v>ＥＰＬカプセル２５０ｍｇ　バラ　４００Ｐ</v>
      </c>
      <c r="F42" t="str">
        <f t="shared" si="1"/>
        <v>ＥＰＬカプ</v>
      </c>
    </row>
    <row r="43" spans="1:6" x14ac:dyDescent="0.2">
      <c r="A43" s="17" t="s">
        <v>37</v>
      </c>
      <c r="B43" s="86">
        <v>1.39</v>
      </c>
      <c r="C43" s="98">
        <v>312</v>
      </c>
      <c r="D43" s="55">
        <v>433.67999999999995</v>
      </c>
      <c r="E43" t="str">
        <f t="shared" si="0"/>
        <v>乳糖水和物「ヨシダ」</v>
      </c>
      <c r="F43" t="str">
        <f t="shared" si="1"/>
        <v>乳糖水和物</v>
      </c>
    </row>
    <row r="44" spans="1:6" x14ac:dyDescent="0.15">
      <c r="A44" s="20" t="s">
        <v>256</v>
      </c>
      <c r="B44" s="22">
        <v>66</v>
      </c>
      <c r="C44" s="97">
        <v>7</v>
      </c>
      <c r="D44" s="16">
        <v>462</v>
      </c>
      <c r="E44" t="str">
        <f t="shared" si="0"/>
        <v>スピール膏Ｍ　ＳＰＭ１６　６枚</v>
      </c>
      <c r="F44" t="str">
        <f t="shared" si="1"/>
        <v>スピール膏</v>
      </c>
    </row>
    <row r="45" spans="1:6" x14ac:dyDescent="0.2">
      <c r="A45" s="32" t="s">
        <v>408</v>
      </c>
      <c r="B45" s="18">
        <v>8.2899999999999991</v>
      </c>
      <c r="C45" s="97">
        <v>57</v>
      </c>
      <c r="D45" s="16">
        <v>472.53</v>
      </c>
      <c r="E45" t="str">
        <f t="shared" si="0"/>
        <v>タチオン（５０）</v>
      </c>
      <c r="F45" t="str">
        <f t="shared" si="1"/>
        <v>タチオン（</v>
      </c>
    </row>
    <row r="46" spans="1:6" x14ac:dyDescent="0.2">
      <c r="A46" s="53" t="s">
        <v>846</v>
      </c>
      <c r="B46" s="18">
        <v>12.02</v>
      </c>
      <c r="C46" s="97">
        <v>40</v>
      </c>
      <c r="D46" s="16">
        <v>480.79999999999995</v>
      </c>
      <c r="E46" t="str">
        <f t="shared" si="0"/>
        <v>ハイペン錠２００ｍｇ</v>
      </c>
      <c r="F46" t="str">
        <f t="shared" si="1"/>
        <v>ハイペン錠</v>
      </c>
    </row>
    <row r="47" spans="1:6" x14ac:dyDescent="0.2">
      <c r="A47" s="31" t="s">
        <v>723</v>
      </c>
      <c r="B47" s="18">
        <v>6.87</v>
      </c>
      <c r="C47" s="97">
        <v>76</v>
      </c>
      <c r="D47" s="16">
        <v>522.12</v>
      </c>
      <c r="E47" t="str">
        <f t="shared" si="0"/>
        <v>ベタナミン（１０）</v>
      </c>
      <c r="F47" t="str">
        <f t="shared" si="1"/>
        <v>ベタナミン</v>
      </c>
    </row>
    <row r="48" spans="1:6" x14ac:dyDescent="0.2">
      <c r="A48" s="53" t="s">
        <v>543</v>
      </c>
      <c r="B48" s="72">
        <v>88</v>
      </c>
      <c r="C48" s="98">
        <v>6</v>
      </c>
      <c r="D48" s="16">
        <v>528</v>
      </c>
      <c r="E48" t="str">
        <f t="shared" si="0"/>
        <v>ドルミカム注１０ｍｇ</v>
      </c>
      <c r="F48" t="str">
        <f t="shared" si="1"/>
        <v>ドルミカム</v>
      </c>
    </row>
    <row r="49" spans="1:6" x14ac:dyDescent="0.15">
      <c r="A49" s="57" t="s">
        <v>321</v>
      </c>
      <c r="B49" s="58">
        <v>55</v>
      </c>
      <c r="C49" s="98">
        <v>10</v>
      </c>
      <c r="D49" s="16">
        <v>550</v>
      </c>
      <c r="E49" t="str">
        <f t="shared" si="0"/>
        <v>ケイツーＮ静注１０ｍｇ　２ｍＬＸ１０管</v>
      </c>
      <c r="F49" t="str">
        <f t="shared" si="1"/>
        <v>ケイツーＮ</v>
      </c>
    </row>
    <row r="50" spans="1:6" x14ac:dyDescent="0.2">
      <c r="A50" s="17" t="s">
        <v>640</v>
      </c>
      <c r="B50" s="27">
        <v>57.8</v>
      </c>
      <c r="C50" s="97">
        <v>10</v>
      </c>
      <c r="D50" s="16">
        <v>578</v>
      </c>
      <c r="E50" t="str">
        <f t="shared" si="0"/>
        <v>ピレノキシン懸濁点滴０．００５％</v>
      </c>
      <c r="F50" t="str">
        <f t="shared" si="1"/>
        <v>ピレノキシ</v>
      </c>
    </row>
    <row r="51" spans="1:6" x14ac:dyDescent="0.15">
      <c r="A51" s="20" t="s">
        <v>617</v>
      </c>
      <c r="B51" s="22">
        <v>58</v>
      </c>
      <c r="C51" s="97">
        <v>10</v>
      </c>
      <c r="D51" s="16">
        <v>580</v>
      </c>
      <c r="E51" t="str">
        <f t="shared" si="0"/>
        <v>尿素クリーム</v>
      </c>
      <c r="F51" t="str">
        <f t="shared" si="1"/>
        <v>尿素クリー</v>
      </c>
    </row>
    <row r="52" spans="1:6" x14ac:dyDescent="0.2">
      <c r="A52" s="53" t="s">
        <v>306</v>
      </c>
      <c r="B52" s="52">
        <v>83.7</v>
      </c>
      <c r="C52" s="98">
        <v>7</v>
      </c>
      <c r="D52" s="16">
        <v>585.9</v>
      </c>
      <c r="E52" t="str">
        <f t="shared" si="0"/>
        <v>アトロピン硫酸塩注０．５ｍｇ</v>
      </c>
      <c r="F52" t="str">
        <f t="shared" si="1"/>
        <v>アトロピン</v>
      </c>
    </row>
    <row r="53" spans="1:6" x14ac:dyDescent="0.2">
      <c r="A53" s="17" t="s">
        <v>265</v>
      </c>
      <c r="B53" s="18">
        <v>200.9</v>
      </c>
      <c r="C53" s="97">
        <v>3</v>
      </c>
      <c r="D53" s="16">
        <v>602.70000000000005</v>
      </c>
      <c r="E53" t="str">
        <f t="shared" si="0"/>
        <v>ニゾラールローション２％　１０ｇ／本</v>
      </c>
      <c r="F53" t="str">
        <f t="shared" si="1"/>
        <v>ニゾラール</v>
      </c>
    </row>
    <row r="54" spans="1:6" x14ac:dyDescent="0.2">
      <c r="A54" s="53" t="s">
        <v>247</v>
      </c>
      <c r="B54" s="18">
        <v>6.41</v>
      </c>
      <c r="C54" s="97">
        <v>100</v>
      </c>
      <c r="D54" s="16">
        <v>641</v>
      </c>
      <c r="E54" t="str">
        <f t="shared" si="0"/>
        <v>ワソラン錠４０ｍｇ</v>
      </c>
      <c r="F54" t="str">
        <f t="shared" si="1"/>
        <v>ワソラン錠</v>
      </c>
    </row>
    <row r="55" spans="1:6" x14ac:dyDescent="0.2">
      <c r="A55" s="17" t="s">
        <v>28</v>
      </c>
      <c r="B55" s="86">
        <v>0.72</v>
      </c>
      <c r="C55" s="98">
        <v>907</v>
      </c>
      <c r="D55" s="55">
        <v>653.04</v>
      </c>
      <c r="E55" t="str">
        <f t="shared" si="0"/>
        <v>ブドウ糖</v>
      </c>
      <c r="F55" t="str">
        <f t="shared" si="1"/>
        <v>ブドウ糖</v>
      </c>
    </row>
    <row r="56" spans="1:6" x14ac:dyDescent="0.2">
      <c r="A56" s="53" t="s">
        <v>332</v>
      </c>
      <c r="B56" s="52">
        <v>73.099999999999994</v>
      </c>
      <c r="C56" s="98">
        <v>9</v>
      </c>
      <c r="D56" s="16">
        <v>657.9</v>
      </c>
      <c r="E56" t="str">
        <f t="shared" si="0"/>
        <v>セルシン注射液１０ＭＧ</v>
      </c>
      <c r="F56" t="str">
        <f t="shared" si="1"/>
        <v>セルシン注</v>
      </c>
    </row>
    <row r="57" spans="1:6" x14ac:dyDescent="0.15">
      <c r="A57" s="20" t="s">
        <v>459</v>
      </c>
      <c r="B57" s="22">
        <v>74</v>
      </c>
      <c r="C57" s="97">
        <v>9</v>
      </c>
      <c r="D57" s="16">
        <v>666</v>
      </c>
      <c r="E57" t="str">
        <f t="shared" si="0"/>
        <v>シアノコバラミン点眼液０．０２％　５ｍＬＸ１０</v>
      </c>
      <c r="F57" t="str">
        <f t="shared" si="1"/>
        <v>シアノコバ</v>
      </c>
    </row>
    <row r="58" spans="1:6" x14ac:dyDescent="0.2">
      <c r="A58" s="53" t="s">
        <v>342</v>
      </c>
      <c r="B58" s="52">
        <v>83.7</v>
      </c>
      <c r="C58" s="98">
        <v>8</v>
      </c>
      <c r="D58" s="16">
        <v>669.6</v>
      </c>
      <c r="E58" t="str">
        <f t="shared" si="0"/>
        <v>ノルアドレナリン注１ｍｇ</v>
      </c>
      <c r="F58" t="str">
        <f t="shared" si="1"/>
        <v>ノルアドレ</v>
      </c>
    </row>
    <row r="59" spans="1:6" x14ac:dyDescent="0.2">
      <c r="A59" s="53" t="s">
        <v>656</v>
      </c>
      <c r="B59" s="72">
        <v>48</v>
      </c>
      <c r="C59" s="98">
        <v>14</v>
      </c>
      <c r="D59" s="16">
        <v>672</v>
      </c>
      <c r="E59" t="str">
        <f t="shared" si="0"/>
        <v>ネオファーゲン</v>
      </c>
      <c r="F59" t="str">
        <f t="shared" si="1"/>
        <v>ネオファー</v>
      </c>
    </row>
    <row r="60" spans="1:6" x14ac:dyDescent="0.2">
      <c r="A60" s="17" t="s">
        <v>213</v>
      </c>
      <c r="B60" s="73">
        <v>6.54</v>
      </c>
      <c r="C60" s="97">
        <v>107</v>
      </c>
      <c r="D60" s="16">
        <v>699.78</v>
      </c>
      <c r="E60" t="str">
        <f t="shared" si="0"/>
        <v>ボルタレン錠２５ｍｇ　</v>
      </c>
      <c r="F60" t="str">
        <f t="shared" si="1"/>
        <v>ボルタレン</v>
      </c>
    </row>
    <row r="61" spans="1:6" x14ac:dyDescent="0.2">
      <c r="A61" s="23" t="s">
        <v>468</v>
      </c>
      <c r="B61" s="86">
        <v>18.97</v>
      </c>
      <c r="C61" s="98">
        <v>37</v>
      </c>
      <c r="D61" s="55">
        <v>701.89</v>
      </c>
      <c r="E61" t="str">
        <f t="shared" si="0"/>
        <v>グラマリール細粒１０％</v>
      </c>
      <c r="F61" t="str">
        <f t="shared" si="1"/>
        <v>グラマリー</v>
      </c>
    </row>
    <row r="62" spans="1:6" x14ac:dyDescent="0.2">
      <c r="A62" s="53" t="s">
        <v>203</v>
      </c>
      <c r="B62" s="18">
        <v>6.33</v>
      </c>
      <c r="C62" s="97">
        <v>111</v>
      </c>
      <c r="D62" s="16">
        <v>702.63</v>
      </c>
      <c r="E62" t="str">
        <f t="shared" si="0"/>
        <v>ブロムペリドール錠３ＭＧ</v>
      </c>
      <c r="F62" t="str">
        <f t="shared" si="1"/>
        <v>ブロムペリ</v>
      </c>
    </row>
    <row r="63" spans="1:6" x14ac:dyDescent="0.2">
      <c r="A63" s="53" t="s">
        <v>314</v>
      </c>
      <c r="B63" s="52">
        <v>52.6</v>
      </c>
      <c r="C63" s="98">
        <v>14</v>
      </c>
      <c r="D63" s="16">
        <v>736.4</v>
      </c>
      <c r="E63" t="str">
        <f t="shared" si="0"/>
        <v>エホチール注１０ｍｇ</v>
      </c>
      <c r="F63" t="str">
        <f t="shared" si="1"/>
        <v>エホチール</v>
      </c>
    </row>
    <row r="64" spans="1:6" x14ac:dyDescent="0.15">
      <c r="A64" s="20" t="s">
        <v>639</v>
      </c>
      <c r="B64" s="22">
        <v>77.2</v>
      </c>
      <c r="C64" s="97">
        <v>10</v>
      </c>
      <c r="D64" s="16">
        <v>772</v>
      </c>
      <c r="E64" t="str">
        <f t="shared" si="0"/>
        <v>ベタメタゾン吉草酸ローション</v>
      </c>
      <c r="F64" t="str">
        <f t="shared" si="1"/>
        <v>ベタメタゾ</v>
      </c>
    </row>
    <row r="65" spans="1:6" x14ac:dyDescent="0.2">
      <c r="A65" s="53" t="s">
        <v>398</v>
      </c>
      <c r="B65" s="52">
        <v>111</v>
      </c>
      <c r="C65" s="98">
        <v>7</v>
      </c>
      <c r="D65" s="16">
        <v>777</v>
      </c>
      <c r="E65" t="str">
        <f t="shared" si="0"/>
        <v>精製水５００ｍｌ</v>
      </c>
      <c r="F65" t="str">
        <f t="shared" si="1"/>
        <v>精製水５０</v>
      </c>
    </row>
    <row r="66" spans="1:6" x14ac:dyDescent="0.2">
      <c r="A66" s="30" t="s">
        <v>678</v>
      </c>
      <c r="B66" s="52">
        <v>112.3</v>
      </c>
      <c r="C66" s="98">
        <v>7</v>
      </c>
      <c r="D66" s="16">
        <v>786.1</v>
      </c>
      <c r="E66" t="str">
        <f t="shared" si="0"/>
        <v>ヘパリンＮａロック用１０単位</v>
      </c>
      <c r="F66" t="str">
        <f t="shared" si="1"/>
        <v>ヘパリンＮ</v>
      </c>
    </row>
    <row r="67" spans="1:6" x14ac:dyDescent="0.15">
      <c r="A67" s="57" t="s">
        <v>571</v>
      </c>
      <c r="B67" s="22">
        <v>12.7</v>
      </c>
      <c r="C67" s="97">
        <v>63.63636363636364</v>
      </c>
      <c r="D67" s="16">
        <v>808.18181818181813</v>
      </c>
      <c r="E67" t="str">
        <f t="shared" si="0"/>
        <v>バルプロ酸ナトリウム錠２００ｍｇ　</v>
      </c>
      <c r="F67" t="str">
        <f t="shared" si="1"/>
        <v>バルプロ酸</v>
      </c>
    </row>
    <row r="68" spans="1:6" x14ac:dyDescent="0.2">
      <c r="A68" s="17" t="s">
        <v>204</v>
      </c>
      <c r="B68" s="18">
        <v>11.1</v>
      </c>
      <c r="C68" s="101">
        <v>76</v>
      </c>
      <c r="D68" s="16">
        <v>843.6</v>
      </c>
      <c r="E68" t="str">
        <f t="shared" si="0"/>
        <v>ブロモクリプチン錠２．５ｍｇ</v>
      </c>
      <c r="F68" t="str">
        <f t="shared" si="1"/>
        <v>ブロモクリ</v>
      </c>
    </row>
    <row r="69" spans="1:6" x14ac:dyDescent="0.2">
      <c r="A69" s="17" t="s">
        <v>480</v>
      </c>
      <c r="B69" s="18">
        <v>7.54</v>
      </c>
      <c r="C69" s="97">
        <v>112</v>
      </c>
      <c r="D69" s="16">
        <v>844.48</v>
      </c>
      <c r="E69" t="str">
        <f t="shared" ref="E69:E132" si="2">DBCS(A69)</f>
        <v>ニフェジピンカプセル１０ｍｇ</v>
      </c>
      <c r="F69" t="str">
        <f t="shared" ref="F69:F132" si="3">LEFT(E69,5)</f>
        <v>ニフェジピ</v>
      </c>
    </row>
    <row r="70" spans="1:6" x14ac:dyDescent="0.15">
      <c r="A70" s="57" t="s">
        <v>349</v>
      </c>
      <c r="B70" s="58">
        <v>62</v>
      </c>
      <c r="C70" s="98">
        <v>14</v>
      </c>
      <c r="D70" s="16">
        <v>868</v>
      </c>
      <c r="E70" t="str">
        <f t="shared" si="2"/>
        <v>フェノバール注射液１００ｍｇ　１ｍＬＸ１０管</v>
      </c>
      <c r="F70" t="str">
        <f t="shared" si="3"/>
        <v>フェノバー</v>
      </c>
    </row>
    <row r="71" spans="1:6" x14ac:dyDescent="0.2">
      <c r="A71" s="53" t="s">
        <v>378</v>
      </c>
      <c r="B71" s="52">
        <v>17.8</v>
      </c>
      <c r="C71" s="98">
        <v>50</v>
      </c>
      <c r="D71" s="16">
        <v>890</v>
      </c>
      <c r="E71" t="str">
        <f t="shared" si="2"/>
        <v>ジクロフェナクナトリウム坐剤２５</v>
      </c>
      <c r="F71" t="str">
        <f t="shared" si="3"/>
        <v>ジクロフェ</v>
      </c>
    </row>
    <row r="72" spans="1:6" x14ac:dyDescent="0.2">
      <c r="A72" s="30" t="s">
        <v>572</v>
      </c>
      <c r="B72" s="18">
        <v>8.27</v>
      </c>
      <c r="C72" s="97">
        <v>108</v>
      </c>
      <c r="D72" s="16">
        <v>893.16</v>
      </c>
      <c r="E72" t="str">
        <f t="shared" si="2"/>
        <v>ピーゼットシー錠</v>
      </c>
      <c r="F72" t="str">
        <f t="shared" si="3"/>
        <v>ピーゼット</v>
      </c>
    </row>
    <row r="73" spans="1:6" x14ac:dyDescent="0.15">
      <c r="A73" s="57" t="s">
        <v>709</v>
      </c>
      <c r="B73" s="22">
        <v>8.73</v>
      </c>
      <c r="C73" s="97">
        <v>106</v>
      </c>
      <c r="D73" s="16">
        <v>925.38</v>
      </c>
      <c r="E73" t="str">
        <f t="shared" si="2"/>
        <v>エリスロシン錠２００ｍｇ</v>
      </c>
      <c r="F73" t="str">
        <f t="shared" si="3"/>
        <v>エリスロシ</v>
      </c>
    </row>
    <row r="74" spans="1:6" x14ac:dyDescent="0.2">
      <c r="A74" s="32" t="s">
        <v>529</v>
      </c>
      <c r="B74" s="18">
        <v>26.53</v>
      </c>
      <c r="C74" s="97">
        <v>35</v>
      </c>
      <c r="D74" s="16">
        <v>928.55000000000007</v>
      </c>
      <c r="E74" t="str">
        <f t="shared" si="2"/>
        <v>デュタステリドカプセル（０．５）</v>
      </c>
      <c r="F74" t="str">
        <f t="shared" si="3"/>
        <v>デュタステ</v>
      </c>
    </row>
    <row r="75" spans="1:6" x14ac:dyDescent="0.15">
      <c r="A75" s="20" t="s">
        <v>253</v>
      </c>
      <c r="B75" s="22">
        <v>488.7</v>
      </c>
      <c r="C75" s="97">
        <v>2</v>
      </c>
      <c r="D75" s="55">
        <v>977.4</v>
      </c>
      <c r="E75" t="str">
        <f t="shared" si="2"/>
        <v>オキサロール軟膏　１０ｇ／本</v>
      </c>
      <c r="F75" t="str">
        <f t="shared" si="3"/>
        <v>オキサロー</v>
      </c>
    </row>
    <row r="76" spans="1:6" x14ac:dyDescent="0.2">
      <c r="A76" s="53" t="s">
        <v>362</v>
      </c>
      <c r="B76" s="72">
        <v>89</v>
      </c>
      <c r="C76" s="98">
        <v>11</v>
      </c>
      <c r="D76" s="16">
        <v>979</v>
      </c>
      <c r="E76" t="str">
        <f t="shared" si="2"/>
        <v>メイロン静注７％</v>
      </c>
      <c r="F76" t="str">
        <f t="shared" si="3"/>
        <v>メイロン静</v>
      </c>
    </row>
    <row r="77" spans="1:6" x14ac:dyDescent="0.2">
      <c r="A77" s="53" t="s">
        <v>624</v>
      </c>
      <c r="B77" s="18">
        <v>163.19999999999999</v>
      </c>
      <c r="C77" s="97">
        <v>6</v>
      </c>
      <c r="D77" s="16">
        <v>979.19999999999993</v>
      </c>
      <c r="E77" t="str">
        <f t="shared" si="2"/>
        <v>トルソプト点眼１％</v>
      </c>
      <c r="F77" t="str">
        <f t="shared" si="3"/>
        <v>トルソプト</v>
      </c>
    </row>
    <row r="78" spans="1:6" x14ac:dyDescent="0.2">
      <c r="A78" s="17" t="s">
        <v>296</v>
      </c>
      <c r="B78" s="27">
        <v>140.19999999999999</v>
      </c>
      <c r="C78" s="97">
        <v>7</v>
      </c>
      <c r="D78" s="16">
        <v>981.39999999999986</v>
      </c>
      <c r="E78" t="str">
        <f t="shared" si="2"/>
        <v>ヒアルロン酸Ｎａ点眼液０．１％　５ｍｌ／本</v>
      </c>
      <c r="F78" t="str">
        <f t="shared" si="3"/>
        <v>ヒアルロン</v>
      </c>
    </row>
    <row r="79" spans="1:6" x14ac:dyDescent="0.15">
      <c r="A79" s="20" t="s">
        <v>851</v>
      </c>
      <c r="B79" s="22">
        <v>9.8000000000000007</v>
      </c>
      <c r="C79" s="97">
        <v>101</v>
      </c>
      <c r="D79" s="16">
        <v>989.80000000000007</v>
      </c>
      <c r="E79" t="str">
        <f t="shared" si="2"/>
        <v>ピオグリタゾンＯＤ錠１５ｍｇ</v>
      </c>
      <c r="F79" t="str">
        <f t="shared" si="3"/>
        <v>ピオグリタ</v>
      </c>
    </row>
    <row r="80" spans="1:6" x14ac:dyDescent="0.15">
      <c r="A80" s="57" t="s">
        <v>377</v>
      </c>
      <c r="B80" s="58">
        <v>499</v>
      </c>
      <c r="C80" s="98">
        <v>2</v>
      </c>
      <c r="D80" s="16">
        <v>998</v>
      </c>
      <c r="E80" t="str">
        <f t="shared" si="2"/>
        <v>シアナマイド内用液１％「タナベ」　１００ｍＬ</v>
      </c>
      <c r="F80" t="str">
        <f t="shared" si="3"/>
        <v>シアナマイ</v>
      </c>
    </row>
    <row r="81" spans="1:6" x14ac:dyDescent="0.2">
      <c r="A81" s="17" t="s">
        <v>33</v>
      </c>
      <c r="B81" s="86">
        <v>2.67</v>
      </c>
      <c r="C81" s="98">
        <v>374</v>
      </c>
      <c r="D81" s="55">
        <v>998.57999999999993</v>
      </c>
      <c r="E81" t="str">
        <f t="shared" si="2"/>
        <v>塩化カリウム</v>
      </c>
      <c r="F81" t="str">
        <f t="shared" si="3"/>
        <v>塩化カリウ</v>
      </c>
    </row>
    <row r="82" spans="1:6" x14ac:dyDescent="0.2">
      <c r="A82" s="17" t="s">
        <v>269</v>
      </c>
      <c r="B82" s="18">
        <v>1002</v>
      </c>
      <c r="C82" s="97">
        <v>1</v>
      </c>
      <c r="D82" s="16">
        <v>1002</v>
      </c>
      <c r="E82" t="str">
        <f t="shared" si="2"/>
        <v>プロスタンディン軟膏　３０ｇ／本</v>
      </c>
      <c r="F82" t="str">
        <f t="shared" si="3"/>
        <v>プロスタン</v>
      </c>
    </row>
    <row r="83" spans="1:6" x14ac:dyDescent="0.2">
      <c r="A83" s="17" t="s">
        <v>868</v>
      </c>
      <c r="B83" s="18">
        <v>147</v>
      </c>
      <c r="C83" s="97">
        <v>7</v>
      </c>
      <c r="D83" s="16">
        <v>1029</v>
      </c>
      <c r="E83" t="str">
        <f t="shared" si="2"/>
        <v>リドメックスコーワ軟膏０．３％</v>
      </c>
      <c r="F83" t="str">
        <f t="shared" si="3"/>
        <v>リドメック</v>
      </c>
    </row>
    <row r="84" spans="1:6" x14ac:dyDescent="0.2">
      <c r="A84" s="17" t="s">
        <v>834</v>
      </c>
      <c r="B84" s="18">
        <v>10.95</v>
      </c>
      <c r="C84" s="97">
        <v>95</v>
      </c>
      <c r="D84" s="16">
        <v>1040.25</v>
      </c>
      <c r="E84" t="str">
        <f t="shared" si="2"/>
        <v>アゾセミド錠６０ｍｇ</v>
      </c>
      <c r="F84" t="str">
        <f t="shared" si="3"/>
        <v>アゾセミド</v>
      </c>
    </row>
    <row r="85" spans="1:6" x14ac:dyDescent="0.2">
      <c r="A85" s="17" t="s">
        <v>277</v>
      </c>
      <c r="B85" s="18">
        <v>82.4</v>
      </c>
      <c r="C85" s="97">
        <v>13</v>
      </c>
      <c r="D85" s="16">
        <v>1071.2</v>
      </c>
      <c r="E85" t="str">
        <f t="shared" si="2"/>
        <v>インテバン軟膏１％　２５ｇ／本</v>
      </c>
      <c r="F85" t="str">
        <f t="shared" si="3"/>
        <v>インテバン</v>
      </c>
    </row>
    <row r="86" spans="1:6" x14ac:dyDescent="0.15">
      <c r="A86" s="20" t="s">
        <v>863</v>
      </c>
      <c r="B86" s="22">
        <v>121.6</v>
      </c>
      <c r="C86" s="97">
        <v>9</v>
      </c>
      <c r="D86" s="16">
        <v>1094.3999999999999</v>
      </c>
      <c r="E86" t="str">
        <f t="shared" si="2"/>
        <v>ネオメドロールＥＥ軟膏</v>
      </c>
      <c r="F86" t="str">
        <f t="shared" si="3"/>
        <v>ネオメドロ</v>
      </c>
    </row>
    <row r="87" spans="1:6" x14ac:dyDescent="0.2">
      <c r="A87" s="53" t="s">
        <v>802</v>
      </c>
      <c r="B87" s="52">
        <v>50.78</v>
      </c>
      <c r="C87" s="98">
        <v>22</v>
      </c>
      <c r="D87" s="16">
        <v>1117.1600000000001</v>
      </c>
      <c r="E87" t="str">
        <f t="shared" si="2"/>
        <v>ダイビタミックス注</v>
      </c>
      <c r="F87" t="str">
        <f t="shared" si="3"/>
        <v>ダイビタミ</v>
      </c>
    </row>
    <row r="88" spans="1:6" x14ac:dyDescent="0.2">
      <c r="A88" s="30" t="s">
        <v>722</v>
      </c>
      <c r="B88" s="18">
        <v>32.25</v>
      </c>
      <c r="C88" s="97">
        <v>36</v>
      </c>
      <c r="D88" s="16">
        <v>1161</v>
      </c>
      <c r="E88" t="str">
        <f t="shared" si="2"/>
        <v>フラジール錠２５０ｍｇ</v>
      </c>
      <c r="F88" t="str">
        <f t="shared" si="3"/>
        <v>フラジール</v>
      </c>
    </row>
    <row r="89" spans="1:6" x14ac:dyDescent="0.15">
      <c r="A89" s="57" t="s">
        <v>788</v>
      </c>
      <c r="B89" s="22">
        <v>172.8</v>
      </c>
      <c r="C89" s="97">
        <v>7</v>
      </c>
      <c r="D89" s="16">
        <v>1209.6000000000001</v>
      </c>
      <c r="E89" t="str">
        <f t="shared" si="2"/>
        <v>テクスメテンユニバーサルクリーム０．１％</v>
      </c>
      <c r="F89" t="str">
        <f t="shared" si="3"/>
        <v>テクスメテ</v>
      </c>
    </row>
    <row r="90" spans="1:6" x14ac:dyDescent="0.2">
      <c r="A90" s="53" t="s">
        <v>218</v>
      </c>
      <c r="B90" s="52">
        <v>5.0999999999999996</v>
      </c>
      <c r="C90" s="98">
        <v>239</v>
      </c>
      <c r="D90" s="55">
        <v>1218.8999999999999</v>
      </c>
      <c r="E90" t="str">
        <f t="shared" si="2"/>
        <v>マプロチリン錠１０ＭＧ</v>
      </c>
      <c r="F90" t="str">
        <f t="shared" si="3"/>
        <v>マプロチリ</v>
      </c>
    </row>
    <row r="91" spans="1:6" x14ac:dyDescent="0.15">
      <c r="A91" s="57" t="s">
        <v>90</v>
      </c>
      <c r="B91" s="22">
        <v>5.36</v>
      </c>
      <c r="C91" s="97">
        <v>229</v>
      </c>
      <c r="D91" s="16">
        <v>1227.44</v>
      </c>
      <c r="E91" t="str">
        <f t="shared" si="2"/>
        <v>エペリゾン錠５０ｍｇ　バラ　１０００錠</v>
      </c>
      <c r="F91" t="str">
        <f t="shared" si="3"/>
        <v>エペリゾン</v>
      </c>
    </row>
    <row r="92" spans="1:6" x14ac:dyDescent="0.2">
      <c r="A92" s="17" t="s">
        <v>634</v>
      </c>
      <c r="B92" s="18">
        <v>357</v>
      </c>
      <c r="C92" s="97">
        <v>3.5</v>
      </c>
      <c r="D92" s="16">
        <v>1249.5</v>
      </c>
      <c r="E92" t="str">
        <f t="shared" si="2"/>
        <v>ヘパリン類似油性クリーム０．３％</v>
      </c>
      <c r="F92" t="str">
        <f t="shared" si="3"/>
        <v>ヘパリン類</v>
      </c>
    </row>
    <row r="93" spans="1:6" x14ac:dyDescent="0.15">
      <c r="A93" s="57" t="s">
        <v>686</v>
      </c>
      <c r="B93" s="85">
        <v>12.45</v>
      </c>
      <c r="C93" s="98">
        <v>101</v>
      </c>
      <c r="D93" s="55">
        <v>1257.4499999999998</v>
      </c>
      <c r="E93" t="str">
        <f t="shared" si="2"/>
        <v>フロセミド細粒　４％　「ＥＭＥＣ」　</v>
      </c>
      <c r="F93" t="str">
        <f t="shared" si="3"/>
        <v>フロセミド</v>
      </c>
    </row>
    <row r="94" spans="1:6" x14ac:dyDescent="0.2">
      <c r="A94" s="30" t="s">
        <v>413</v>
      </c>
      <c r="B94" s="18">
        <v>8.9</v>
      </c>
      <c r="C94" s="97">
        <v>144</v>
      </c>
      <c r="D94" s="16">
        <v>1281.6000000000001</v>
      </c>
      <c r="E94" t="str">
        <f t="shared" si="2"/>
        <v>メルカゾール（５）</v>
      </c>
      <c r="F94" t="str">
        <f t="shared" si="3"/>
        <v>メルカゾー</v>
      </c>
    </row>
    <row r="95" spans="1:6" x14ac:dyDescent="0.2">
      <c r="A95" s="17" t="s">
        <v>53</v>
      </c>
      <c r="B95" s="74">
        <v>21.39</v>
      </c>
      <c r="C95" s="101">
        <v>61</v>
      </c>
      <c r="D95" s="55">
        <v>1304.79</v>
      </c>
      <c r="E95" t="str">
        <f t="shared" si="2"/>
        <v>０２０　ツムラ　ボウイオウギトウ　２．５ｇ／包</v>
      </c>
      <c r="F95" t="str">
        <f t="shared" si="3"/>
        <v>０２０　ツ</v>
      </c>
    </row>
    <row r="96" spans="1:6" x14ac:dyDescent="0.2">
      <c r="A96" s="57" t="s">
        <v>627</v>
      </c>
      <c r="B96" s="73">
        <v>1319</v>
      </c>
      <c r="C96" s="97">
        <v>1</v>
      </c>
      <c r="D96" s="16">
        <v>1319</v>
      </c>
      <c r="E96" t="str">
        <f t="shared" si="2"/>
        <v>アイファガン点眼０．１％</v>
      </c>
      <c r="F96" t="str">
        <f t="shared" si="3"/>
        <v>アイファガ</v>
      </c>
    </row>
    <row r="97" spans="1:6" x14ac:dyDescent="0.15">
      <c r="A97" s="30" t="s">
        <v>433</v>
      </c>
      <c r="B97" s="58">
        <v>147</v>
      </c>
      <c r="C97" s="98">
        <v>9</v>
      </c>
      <c r="D97" s="16">
        <v>1323</v>
      </c>
      <c r="E97" t="str">
        <f t="shared" si="2"/>
        <v>ヘパリンＮａ注５０００単位「モチダ」</v>
      </c>
      <c r="F97" t="str">
        <f t="shared" si="3"/>
        <v>ヘパリンＮ</v>
      </c>
    </row>
    <row r="98" spans="1:6" x14ac:dyDescent="0.2">
      <c r="A98" s="31" t="s">
        <v>448</v>
      </c>
      <c r="B98" s="18">
        <v>7.4</v>
      </c>
      <c r="C98" s="97">
        <v>184</v>
      </c>
      <c r="D98" s="16">
        <v>1361.6000000000001</v>
      </c>
      <c r="E98" t="str">
        <f t="shared" si="2"/>
        <v>プレドニゾロン錠１</v>
      </c>
      <c r="F98" t="str">
        <f t="shared" si="3"/>
        <v>プレドニゾ</v>
      </c>
    </row>
    <row r="99" spans="1:6" x14ac:dyDescent="0.15">
      <c r="A99" s="20" t="s">
        <v>30</v>
      </c>
      <c r="B99" s="85">
        <v>8.1</v>
      </c>
      <c r="C99" s="98">
        <v>170</v>
      </c>
      <c r="D99" s="55">
        <v>1377</v>
      </c>
      <c r="E99" t="str">
        <f t="shared" si="2"/>
        <v>ベサコリン散５％</v>
      </c>
      <c r="F99" t="str">
        <f t="shared" si="3"/>
        <v>ベサコリン</v>
      </c>
    </row>
    <row r="100" spans="1:6" x14ac:dyDescent="0.2">
      <c r="A100" s="15" t="s">
        <v>402</v>
      </c>
      <c r="B100" s="18">
        <v>20</v>
      </c>
      <c r="C100" s="97">
        <v>71</v>
      </c>
      <c r="D100" s="16">
        <v>1420</v>
      </c>
      <c r="E100" t="str">
        <f t="shared" si="2"/>
        <v>サンリズム（２５）</v>
      </c>
      <c r="F100" t="str">
        <f t="shared" si="3"/>
        <v>サンリズム</v>
      </c>
    </row>
    <row r="101" spans="1:6" x14ac:dyDescent="0.2">
      <c r="A101" s="32" t="s">
        <v>407</v>
      </c>
      <c r="B101" s="18">
        <v>14.61</v>
      </c>
      <c r="C101" s="97">
        <v>98.5</v>
      </c>
      <c r="D101" s="16">
        <v>1439.085</v>
      </c>
      <c r="E101" t="str">
        <f t="shared" si="2"/>
        <v>ダイフェン配合錠</v>
      </c>
      <c r="F101" t="str">
        <f t="shared" si="3"/>
        <v>ダイフェン</v>
      </c>
    </row>
    <row r="102" spans="1:6" x14ac:dyDescent="0.2">
      <c r="A102" s="17" t="s">
        <v>290</v>
      </c>
      <c r="B102" s="18">
        <v>2.94</v>
      </c>
      <c r="C102" s="97">
        <v>490</v>
      </c>
      <c r="D102" s="16">
        <v>1440.6</v>
      </c>
      <c r="E102" t="str">
        <f t="shared" si="2"/>
        <v>亜鉛華軟膏　５００ｇ</v>
      </c>
      <c r="F102" t="str">
        <f t="shared" si="3"/>
        <v>亜鉛華軟膏</v>
      </c>
    </row>
    <row r="103" spans="1:6" x14ac:dyDescent="0.15">
      <c r="A103" s="57" t="s">
        <v>742</v>
      </c>
      <c r="B103" s="58">
        <v>208.8</v>
      </c>
      <c r="C103" s="97">
        <v>7</v>
      </c>
      <c r="D103" s="55">
        <v>1461.6000000000001</v>
      </c>
      <c r="E103" t="str">
        <f t="shared" si="2"/>
        <v>ケトチフェン点鼻液</v>
      </c>
      <c r="F103" t="str">
        <f t="shared" si="3"/>
        <v>ケトチフェ</v>
      </c>
    </row>
    <row r="104" spans="1:6" x14ac:dyDescent="0.15">
      <c r="A104" s="20" t="s">
        <v>853</v>
      </c>
      <c r="B104" s="22">
        <v>7.63</v>
      </c>
      <c r="C104" s="97">
        <v>194</v>
      </c>
      <c r="D104" s="16">
        <v>1480.22</v>
      </c>
      <c r="E104" t="str">
        <f t="shared" si="2"/>
        <v>メリスロン錠６ｍｇ</v>
      </c>
      <c r="F104" t="str">
        <f t="shared" si="3"/>
        <v>メリスロン</v>
      </c>
    </row>
    <row r="105" spans="1:6" x14ac:dyDescent="0.15">
      <c r="A105" s="20" t="s">
        <v>260</v>
      </c>
      <c r="B105" s="22">
        <v>495.4</v>
      </c>
      <c r="C105" s="97">
        <v>3</v>
      </c>
      <c r="D105" s="16">
        <v>1486.1999999999998</v>
      </c>
      <c r="E105" t="str">
        <f t="shared" si="2"/>
        <v>タリビッド耳科用液０．３％　５ｍＬＸ５</v>
      </c>
      <c r="F105" t="str">
        <f t="shared" si="3"/>
        <v>タリビッド</v>
      </c>
    </row>
    <row r="106" spans="1:6" x14ac:dyDescent="0.2">
      <c r="A106" s="53" t="s">
        <v>666</v>
      </c>
      <c r="B106" s="52">
        <v>186</v>
      </c>
      <c r="C106" s="98">
        <v>8</v>
      </c>
      <c r="D106" s="16">
        <v>1488</v>
      </c>
      <c r="E106" t="str">
        <f t="shared" si="2"/>
        <v>リンデロン懸濁注</v>
      </c>
      <c r="F106" t="str">
        <f t="shared" si="3"/>
        <v>リンデロン</v>
      </c>
    </row>
    <row r="107" spans="1:6" x14ac:dyDescent="0.15">
      <c r="A107" s="20" t="s">
        <v>255</v>
      </c>
      <c r="B107" s="22">
        <v>107.7</v>
      </c>
      <c r="C107" s="97">
        <v>14</v>
      </c>
      <c r="D107" s="16">
        <v>1507.8</v>
      </c>
      <c r="E107" t="str">
        <f t="shared" si="2"/>
        <v>コールタイジン点鼻液　１５ｍＬＸ１０</v>
      </c>
      <c r="F107" t="str">
        <f t="shared" si="3"/>
        <v>コールタイ</v>
      </c>
    </row>
    <row r="108" spans="1:6" x14ac:dyDescent="0.2">
      <c r="A108" s="17" t="s">
        <v>58</v>
      </c>
      <c r="B108" s="18">
        <v>23.62</v>
      </c>
      <c r="C108" s="101">
        <v>64</v>
      </c>
      <c r="D108" s="55">
        <v>1511.68</v>
      </c>
      <c r="E108" t="str">
        <f t="shared" si="2"/>
        <v>０６８ツムラシャクヤクカンゾウトウ　２．５ｇ／包</v>
      </c>
      <c r="F108" t="str">
        <f t="shared" si="3"/>
        <v>０６８ツム</v>
      </c>
    </row>
    <row r="109" spans="1:6" x14ac:dyDescent="0.15">
      <c r="A109" s="20" t="s">
        <v>618</v>
      </c>
      <c r="B109" s="22">
        <v>80</v>
      </c>
      <c r="C109" s="97">
        <v>19</v>
      </c>
      <c r="D109" s="16">
        <v>1520</v>
      </c>
      <c r="E109" t="str">
        <f t="shared" si="2"/>
        <v>アズレン点眼液</v>
      </c>
      <c r="F109" t="str">
        <f t="shared" si="3"/>
        <v>アズレン点</v>
      </c>
    </row>
    <row r="110" spans="1:6" x14ac:dyDescent="0.2">
      <c r="A110" s="17" t="s">
        <v>631</v>
      </c>
      <c r="B110" s="18">
        <v>90</v>
      </c>
      <c r="C110" s="97">
        <v>17</v>
      </c>
      <c r="D110" s="16">
        <v>1530</v>
      </c>
      <c r="E110" t="str">
        <f t="shared" si="2"/>
        <v>テルビナフィン゛液１％　１０ｇ／本</v>
      </c>
      <c r="F110" t="str">
        <f t="shared" si="3"/>
        <v>テルビナフ</v>
      </c>
    </row>
    <row r="111" spans="1:6" x14ac:dyDescent="0.2">
      <c r="A111" s="20" t="s">
        <v>869</v>
      </c>
      <c r="B111" s="22">
        <v>22.26</v>
      </c>
      <c r="C111" s="101">
        <v>69</v>
      </c>
      <c r="D111" s="55">
        <v>1535.94</v>
      </c>
      <c r="E111" t="str">
        <f t="shared" si="2"/>
        <v>００７ツムラハチミジオウガン２．５ｇ／包</v>
      </c>
      <c r="F111" t="str">
        <f t="shared" si="3"/>
        <v>００７ツム</v>
      </c>
    </row>
    <row r="112" spans="1:6" x14ac:dyDescent="0.2">
      <c r="A112" s="53" t="s">
        <v>805</v>
      </c>
      <c r="B112" s="52">
        <v>154.1</v>
      </c>
      <c r="C112" s="98">
        <v>10</v>
      </c>
      <c r="D112" s="16">
        <v>1541</v>
      </c>
      <c r="E112" t="str">
        <f t="shared" si="2"/>
        <v>デカドロン注射液３．３ｍｇ</v>
      </c>
      <c r="F112" t="str">
        <f t="shared" si="3"/>
        <v>デカドロン</v>
      </c>
    </row>
    <row r="113" spans="1:6" x14ac:dyDescent="0.15">
      <c r="A113" s="20" t="s">
        <v>244</v>
      </c>
      <c r="B113" s="22">
        <v>9.52</v>
      </c>
      <c r="C113" s="98">
        <v>162</v>
      </c>
      <c r="D113" s="55">
        <v>1542.24</v>
      </c>
      <c r="E113" t="str">
        <f t="shared" si="2"/>
        <v>ロペミンカプセル１ｍｇ</v>
      </c>
      <c r="F113" t="str">
        <f t="shared" si="3"/>
        <v>ロペミンカ</v>
      </c>
    </row>
    <row r="114" spans="1:6" x14ac:dyDescent="0.2">
      <c r="A114" s="53" t="s">
        <v>550</v>
      </c>
      <c r="B114" s="52">
        <v>11.13</v>
      </c>
      <c r="C114" s="101">
        <v>140</v>
      </c>
      <c r="D114" s="16">
        <v>1558.2</v>
      </c>
      <c r="E114" t="str">
        <f t="shared" si="2"/>
        <v>ビブラマイシン錠５０ｍｇ</v>
      </c>
      <c r="F114" t="str">
        <f t="shared" si="3"/>
        <v>ビブラマイ</v>
      </c>
    </row>
    <row r="115" spans="1:6" x14ac:dyDescent="0.2">
      <c r="A115" s="53" t="s">
        <v>514</v>
      </c>
      <c r="B115" s="18">
        <v>15.59</v>
      </c>
      <c r="C115" s="97">
        <v>100</v>
      </c>
      <c r="D115" s="16">
        <v>1559</v>
      </c>
      <c r="E115" t="str">
        <f t="shared" si="2"/>
        <v>グラマリール錠５０ｍｇ</v>
      </c>
      <c r="F115" t="str">
        <f t="shared" si="3"/>
        <v>グラマリー</v>
      </c>
    </row>
    <row r="116" spans="1:6" x14ac:dyDescent="0.15">
      <c r="A116" s="30" t="s">
        <v>751</v>
      </c>
      <c r="B116" s="58">
        <v>157.5</v>
      </c>
      <c r="C116" s="98">
        <v>10</v>
      </c>
      <c r="D116" s="16">
        <v>1575</v>
      </c>
      <c r="E116" t="str">
        <f t="shared" si="2"/>
        <v>ペルジピン注</v>
      </c>
      <c r="F116" t="str">
        <f t="shared" si="3"/>
        <v>ペルジピン</v>
      </c>
    </row>
    <row r="117" spans="1:6" x14ac:dyDescent="0.2">
      <c r="A117" s="53" t="s">
        <v>835</v>
      </c>
      <c r="B117" s="18">
        <v>13.28</v>
      </c>
      <c r="C117" s="97">
        <v>120</v>
      </c>
      <c r="D117" s="16">
        <v>1593.6</v>
      </c>
      <c r="E117" t="str">
        <f t="shared" si="2"/>
        <v>アダラートＣＲ錠２０ｍｇ</v>
      </c>
      <c r="F117" t="str">
        <f t="shared" si="3"/>
        <v>アダラート</v>
      </c>
    </row>
    <row r="118" spans="1:6" x14ac:dyDescent="0.15">
      <c r="A118" s="20" t="s">
        <v>153</v>
      </c>
      <c r="B118" s="22">
        <v>9.27</v>
      </c>
      <c r="C118" s="97">
        <v>173</v>
      </c>
      <c r="D118" s="16">
        <v>1603.71</v>
      </c>
      <c r="E118" t="str">
        <f t="shared" si="2"/>
        <v>テトラミド錠１０ｍｇ　</v>
      </c>
      <c r="F118" t="str">
        <f t="shared" si="3"/>
        <v>テトラミド</v>
      </c>
    </row>
    <row r="119" spans="1:6" x14ac:dyDescent="0.2">
      <c r="A119" s="30" t="s">
        <v>409</v>
      </c>
      <c r="B119" s="18">
        <v>8.4700000000000006</v>
      </c>
      <c r="C119" s="97">
        <v>189.5</v>
      </c>
      <c r="D119" s="16">
        <v>1605.0650000000001</v>
      </c>
      <c r="E119" t="str">
        <f t="shared" si="2"/>
        <v>ハーフジゴキシンＫＹ（０．１２５）</v>
      </c>
      <c r="F119" t="str">
        <f t="shared" si="3"/>
        <v>ハーフジゴ</v>
      </c>
    </row>
    <row r="120" spans="1:6" x14ac:dyDescent="0.2">
      <c r="A120" s="53" t="s">
        <v>348</v>
      </c>
      <c r="B120" s="52">
        <v>115.3</v>
      </c>
      <c r="C120" s="98">
        <v>14</v>
      </c>
      <c r="D120" s="16">
        <v>1614.2</v>
      </c>
      <c r="E120" t="str">
        <f t="shared" si="2"/>
        <v>フェジン静注４０ｍｇ</v>
      </c>
      <c r="F120" t="str">
        <f t="shared" si="3"/>
        <v>フェジン静</v>
      </c>
    </row>
    <row r="121" spans="1:6" x14ac:dyDescent="0.2">
      <c r="A121" s="53" t="s">
        <v>625</v>
      </c>
      <c r="B121" s="18">
        <v>208.1</v>
      </c>
      <c r="C121" s="97">
        <v>8</v>
      </c>
      <c r="D121" s="16">
        <v>1664.8</v>
      </c>
      <c r="E121" t="str">
        <f t="shared" si="2"/>
        <v>ハイパジール点眼０．２５％</v>
      </c>
      <c r="F121" t="str">
        <f t="shared" si="3"/>
        <v>ハイパジー</v>
      </c>
    </row>
    <row r="122" spans="1:6" x14ac:dyDescent="0.15">
      <c r="A122" s="57" t="s">
        <v>447</v>
      </c>
      <c r="B122" s="58">
        <v>187</v>
      </c>
      <c r="C122" s="98">
        <v>9</v>
      </c>
      <c r="D122" s="16">
        <v>1683</v>
      </c>
      <c r="E122" t="str">
        <f t="shared" si="2"/>
        <v>キシロカインシリンジ</v>
      </c>
      <c r="F122" t="str">
        <f t="shared" si="3"/>
        <v>キシロカイ</v>
      </c>
    </row>
    <row r="123" spans="1:6" x14ac:dyDescent="0.15">
      <c r="A123" s="20" t="s">
        <v>278</v>
      </c>
      <c r="B123" s="22">
        <v>1702</v>
      </c>
      <c r="C123" s="97">
        <v>1</v>
      </c>
      <c r="D123" s="16">
        <v>1702</v>
      </c>
      <c r="E123" t="str">
        <f t="shared" si="2"/>
        <v>キュバール１００エアゾール（大日本）　８．７ｇ</v>
      </c>
      <c r="F123" t="str">
        <f t="shared" si="3"/>
        <v>キュバール</v>
      </c>
    </row>
    <row r="124" spans="1:6" x14ac:dyDescent="0.2">
      <c r="A124" s="53" t="s">
        <v>340</v>
      </c>
      <c r="B124" s="52">
        <v>171.1</v>
      </c>
      <c r="C124" s="98">
        <v>10</v>
      </c>
      <c r="D124" s="16">
        <v>1711</v>
      </c>
      <c r="E124" t="str">
        <f t="shared" si="2"/>
        <v>トロペロン注４ｍｇ</v>
      </c>
      <c r="F124" t="str">
        <f t="shared" si="3"/>
        <v>トロペロン</v>
      </c>
    </row>
    <row r="125" spans="1:6" x14ac:dyDescent="0.2">
      <c r="A125" s="17" t="s">
        <v>619</v>
      </c>
      <c r="B125" s="18">
        <v>285.36</v>
      </c>
      <c r="C125" s="97">
        <v>6</v>
      </c>
      <c r="D125" s="16">
        <v>1712.16</v>
      </c>
      <c r="E125" t="str">
        <f t="shared" si="2"/>
        <v>ニュープロパッチ（４．５）</v>
      </c>
      <c r="F125" t="str">
        <f t="shared" si="3"/>
        <v>ニュープロ</v>
      </c>
    </row>
    <row r="126" spans="1:6" x14ac:dyDescent="0.2">
      <c r="A126" s="53" t="s">
        <v>191</v>
      </c>
      <c r="B126" s="18">
        <v>8.73</v>
      </c>
      <c r="C126" s="97">
        <v>200</v>
      </c>
      <c r="D126" s="16">
        <v>1746</v>
      </c>
      <c r="E126" t="str">
        <f t="shared" si="2"/>
        <v>フォリアミン錠（ニチヤク）</v>
      </c>
      <c r="F126" t="str">
        <f t="shared" si="3"/>
        <v>フォリアミ</v>
      </c>
    </row>
    <row r="127" spans="1:6" x14ac:dyDescent="0.15">
      <c r="A127" s="57" t="s">
        <v>665</v>
      </c>
      <c r="B127" s="58">
        <v>194.6</v>
      </c>
      <c r="C127" s="98">
        <v>9</v>
      </c>
      <c r="D127" s="16">
        <v>1751.3999999999999</v>
      </c>
      <c r="E127" t="str">
        <f t="shared" si="2"/>
        <v>ソルダクトン注</v>
      </c>
      <c r="F127" t="str">
        <f t="shared" si="3"/>
        <v>ソルダクト</v>
      </c>
    </row>
    <row r="128" spans="1:6" x14ac:dyDescent="0.2">
      <c r="A128" s="23" t="s">
        <v>462</v>
      </c>
      <c r="B128" s="86">
        <v>17.2</v>
      </c>
      <c r="C128" s="98">
        <v>102</v>
      </c>
      <c r="D128" s="55">
        <v>1754.3999999999999</v>
      </c>
      <c r="E128" t="str">
        <f t="shared" si="2"/>
        <v>アリピプラゾール散１％「ニプロ」</v>
      </c>
      <c r="F128" t="str">
        <f t="shared" si="3"/>
        <v>アリピプラ</v>
      </c>
    </row>
    <row r="129" spans="1:6" x14ac:dyDescent="0.15">
      <c r="A129" s="57" t="s">
        <v>844</v>
      </c>
      <c r="B129" s="22">
        <v>9.5399999999999991</v>
      </c>
      <c r="C129" s="97">
        <v>184</v>
      </c>
      <c r="D129" s="16">
        <v>1755</v>
      </c>
      <c r="E129" t="str">
        <f t="shared" si="2"/>
        <v>ニトロペン舌下錠０．３ｍｇ</v>
      </c>
      <c r="F129" t="str">
        <f t="shared" si="3"/>
        <v>ニトロペン</v>
      </c>
    </row>
    <row r="130" spans="1:6" x14ac:dyDescent="0.2">
      <c r="A130" s="53" t="s">
        <v>807</v>
      </c>
      <c r="B130" s="72">
        <v>1760</v>
      </c>
      <c r="C130" s="98">
        <v>1</v>
      </c>
      <c r="D130" s="16">
        <v>1760</v>
      </c>
      <c r="E130" t="str">
        <f t="shared" si="2"/>
        <v>トレシーバ注フレックスタッチ</v>
      </c>
      <c r="F130" t="str">
        <f t="shared" si="3"/>
        <v>トレシーバ</v>
      </c>
    </row>
    <row r="131" spans="1:6" x14ac:dyDescent="0.2">
      <c r="A131" s="57" t="s">
        <v>688</v>
      </c>
      <c r="B131" s="86">
        <v>9.4</v>
      </c>
      <c r="C131" s="98">
        <v>189</v>
      </c>
      <c r="D131" s="55">
        <v>1776.6000000000001</v>
      </c>
      <c r="E131" t="str">
        <f t="shared" si="2"/>
        <v>モサプリドクエン酸塩散１％「日医工」</v>
      </c>
      <c r="F131" t="str">
        <f t="shared" si="3"/>
        <v>モサプリド</v>
      </c>
    </row>
    <row r="132" spans="1:6" x14ac:dyDescent="0.15">
      <c r="A132" s="20" t="s">
        <v>74</v>
      </c>
      <c r="B132" s="22">
        <v>40.72</v>
      </c>
      <c r="C132" s="97">
        <v>44</v>
      </c>
      <c r="D132" s="16">
        <v>1791.6799999999998</v>
      </c>
      <c r="E132" t="str">
        <f t="shared" si="2"/>
        <v>アミオダロン塩酸塩速崩錠５０ｍｇ</v>
      </c>
      <c r="F132" t="str">
        <f t="shared" si="3"/>
        <v>アミオダロ</v>
      </c>
    </row>
    <row r="133" spans="1:6" x14ac:dyDescent="0.15">
      <c r="A133" s="57" t="s">
        <v>294</v>
      </c>
      <c r="B133" s="22">
        <v>179.6</v>
      </c>
      <c r="C133" s="97">
        <v>10</v>
      </c>
      <c r="D133" s="16">
        <v>1796</v>
      </c>
      <c r="E133" t="str">
        <f t="shared" ref="E133:E196" si="4">DBCS(A133)</f>
        <v>クロモグリク酸Ｎａ点眼液２％　５ｍＬＸ１０</v>
      </c>
      <c r="F133" t="str">
        <f t="shared" ref="F133:F196" si="5">LEFT(E133,5)</f>
        <v>クロモグリ</v>
      </c>
    </row>
    <row r="134" spans="1:6" x14ac:dyDescent="0.15">
      <c r="A134" s="57" t="s">
        <v>347</v>
      </c>
      <c r="B134" s="58">
        <v>83.2</v>
      </c>
      <c r="C134" s="98">
        <v>22</v>
      </c>
      <c r="D134" s="16">
        <v>1830.4</v>
      </c>
      <c r="E134" t="str">
        <f t="shared" si="4"/>
        <v>ファモチジン注射用２０㎎　　　　　　　　　　　１０Ａ</v>
      </c>
      <c r="F134" t="str">
        <f t="shared" si="5"/>
        <v>ファモチジ</v>
      </c>
    </row>
    <row r="135" spans="1:6" x14ac:dyDescent="0.2">
      <c r="A135" s="17" t="s">
        <v>66</v>
      </c>
      <c r="B135" s="18">
        <v>43.81</v>
      </c>
      <c r="C135" s="101">
        <v>42</v>
      </c>
      <c r="D135" s="55">
        <v>1840.02</v>
      </c>
      <c r="E135" t="str">
        <f t="shared" si="4"/>
        <v>クラシエ小青龍湯ＥＫ－１９　２．０ｇ／包</v>
      </c>
      <c r="F135" t="str">
        <f t="shared" si="5"/>
        <v>クラシエ小</v>
      </c>
    </row>
    <row r="136" spans="1:6" x14ac:dyDescent="0.15">
      <c r="A136" s="57" t="s">
        <v>310</v>
      </c>
      <c r="B136" s="58">
        <v>109.5</v>
      </c>
      <c r="C136" s="98">
        <v>17</v>
      </c>
      <c r="D136" s="16">
        <v>1861.5</v>
      </c>
      <c r="E136" t="str">
        <f t="shared" si="4"/>
        <v>アレビアチン注２５０ｍｇ　５ｍＬＸ１０管</v>
      </c>
      <c r="F136" t="str">
        <f t="shared" si="5"/>
        <v>アレビアチ</v>
      </c>
    </row>
    <row r="137" spans="1:6" x14ac:dyDescent="0.15">
      <c r="A137" s="20" t="s">
        <v>165</v>
      </c>
      <c r="B137" s="22">
        <v>8.83</v>
      </c>
      <c r="C137" s="97">
        <v>211</v>
      </c>
      <c r="D137" s="16">
        <v>1863.13</v>
      </c>
      <c r="E137" t="str">
        <f t="shared" si="4"/>
        <v>ナトリックス錠１</v>
      </c>
      <c r="F137" t="str">
        <f t="shared" si="5"/>
        <v>ナトリック</v>
      </c>
    </row>
    <row r="138" spans="1:6" x14ac:dyDescent="0.15">
      <c r="A138" s="20" t="s">
        <v>515</v>
      </c>
      <c r="B138" s="22">
        <v>8.1</v>
      </c>
      <c r="C138" s="99">
        <v>234</v>
      </c>
      <c r="D138" s="16">
        <v>1895.3999999999999</v>
      </c>
      <c r="E138" t="str">
        <f t="shared" si="4"/>
        <v>グランダキシン錠５０ｍｇ</v>
      </c>
      <c r="F138" t="str">
        <f t="shared" si="5"/>
        <v>グランダキ</v>
      </c>
    </row>
    <row r="139" spans="1:6" x14ac:dyDescent="0.15">
      <c r="A139" s="57" t="s">
        <v>157</v>
      </c>
      <c r="B139" s="58">
        <v>8.5299999999999994</v>
      </c>
      <c r="C139" s="97">
        <v>225</v>
      </c>
      <c r="D139" s="16">
        <v>1919.2499999999998</v>
      </c>
      <c r="E139" t="str">
        <f t="shared" si="4"/>
        <v>トフラニール錠１０ｍｇ</v>
      </c>
      <c r="F139" t="str">
        <f t="shared" si="5"/>
        <v>トフラニー</v>
      </c>
    </row>
    <row r="140" spans="1:6" x14ac:dyDescent="0.15">
      <c r="A140" s="57" t="s">
        <v>251</v>
      </c>
      <c r="B140" s="22">
        <v>22.7</v>
      </c>
      <c r="C140" s="97">
        <v>85</v>
      </c>
      <c r="D140" s="55">
        <v>1929.5</v>
      </c>
      <c r="E140" t="str">
        <f t="shared" si="4"/>
        <v>アフタッチ口腔用貼付剤２５μｇ　ＰＴＰ　１００錠</v>
      </c>
      <c r="F140" t="str">
        <f t="shared" si="5"/>
        <v>アフタッチ</v>
      </c>
    </row>
    <row r="141" spans="1:6" x14ac:dyDescent="0.2">
      <c r="A141" s="53" t="s">
        <v>817</v>
      </c>
      <c r="B141" s="72">
        <v>975</v>
      </c>
      <c r="C141" s="98">
        <v>2</v>
      </c>
      <c r="D141" s="16">
        <v>1950</v>
      </c>
      <c r="E141" t="str">
        <f t="shared" si="4"/>
        <v>ランタス注ソロスタ－３００単位</v>
      </c>
      <c r="F141" t="str">
        <f t="shared" si="5"/>
        <v>ランタス注</v>
      </c>
    </row>
    <row r="142" spans="1:6" x14ac:dyDescent="0.2">
      <c r="A142" s="30" t="s">
        <v>831</v>
      </c>
      <c r="B142" s="18">
        <v>8.4</v>
      </c>
      <c r="C142" s="97">
        <v>235</v>
      </c>
      <c r="D142" s="16">
        <v>1974</v>
      </c>
      <c r="E142" t="str">
        <f t="shared" si="4"/>
        <v>ビソプロロールフマル酸（０．６２５）「トーワ」</v>
      </c>
      <c r="F142" t="str">
        <f t="shared" si="5"/>
        <v>ビソプロロ</v>
      </c>
    </row>
    <row r="143" spans="1:6" x14ac:dyDescent="0.15">
      <c r="A143" s="57" t="s">
        <v>705</v>
      </c>
      <c r="B143" s="58">
        <v>27.2</v>
      </c>
      <c r="C143" s="97">
        <v>73</v>
      </c>
      <c r="D143" s="16">
        <v>1985.6</v>
      </c>
      <c r="E143" t="str">
        <f t="shared" si="4"/>
        <v>エゼチミブＯＤ１０ｍｇ「トーワ」</v>
      </c>
      <c r="F143" t="str">
        <f t="shared" si="5"/>
        <v>エゼチミブ</v>
      </c>
    </row>
    <row r="144" spans="1:6" x14ac:dyDescent="0.2">
      <c r="A144" s="53" t="s">
        <v>760</v>
      </c>
      <c r="B144" s="52">
        <v>8.0500000000000007</v>
      </c>
      <c r="C144" s="98">
        <v>246.66666666666666</v>
      </c>
      <c r="D144" s="55">
        <v>1985.6666666666667</v>
      </c>
      <c r="E144" t="str">
        <f t="shared" si="4"/>
        <v>ミチグリニドＯＤ１０ｍｇ</v>
      </c>
      <c r="F144" t="str">
        <f t="shared" si="5"/>
        <v>ミチグリニ</v>
      </c>
    </row>
    <row r="145" spans="1:6" x14ac:dyDescent="0.2">
      <c r="A145" s="17" t="s">
        <v>169</v>
      </c>
      <c r="B145" s="18">
        <v>5.18</v>
      </c>
      <c r="C145" s="97">
        <v>388.33333333333337</v>
      </c>
      <c r="D145" s="16">
        <v>2011.5666666666668</v>
      </c>
      <c r="E145" t="str">
        <f t="shared" si="4"/>
        <v>ニュ－レプチル錠５ｍｇ</v>
      </c>
      <c r="F145" t="str">
        <f t="shared" si="5"/>
        <v>ニュ－レプ</v>
      </c>
    </row>
    <row r="146" spans="1:6" x14ac:dyDescent="0.15">
      <c r="A146" s="20" t="s">
        <v>880</v>
      </c>
      <c r="B146" s="22">
        <v>1034</v>
      </c>
      <c r="C146" s="97">
        <v>2</v>
      </c>
      <c r="D146" s="16">
        <v>2068</v>
      </c>
      <c r="E146" t="str">
        <f t="shared" si="4"/>
        <v>レスタミンコーワクリーム５００ｇ</v>
      </c>
      <c r="F146" t="str">
        <f t="shared" si="5"/>
        <v>レスタミン</v>
      </c>
    </row>
    <row r="147" spans="1:6" x14ac:dyDescent="0.15">
      <c r="A147" s="57" t="s">
        <v>801</v>
      </c>
      <c r="B147" s="58">
        <v>109</v>
      </c>
      <c r="C147" s="98">
        <v>19</v>
      </c>
      <c r="D147" s="16">
        <v>2071</v>
      </c>
      <c r="E147" t="str">
        <f t="shared" si="4"/>
        <v>ジアゼパム注射液「ＮＩＧ」</v>
      </c>
      <c r="F147" t="str">
        <f t="shared" si="5"/>
        <v>ジアゼパム</v>
      </c>
    </row>
    <row r="148" spans="1:6" x14ac:dyDescent="0.2">
      <c r="A148" s="17" t="s">
        <v>152</v>
      </c>
      <c r="B148" s="18">
        <v>5.26</v>
      </c>
      <c r="C148" s="97">
        <v>395.6521739130435</v>
      </c>
      <c r="D148" s="16">
        <v>2081.1304347826085</v>
      </c>
      <c r="E148" t="str">
        <f t="shared" si="4"/>
        <v>テオフィリン徐放Ｕ錠２００ｍｇ</v>
      </c>
      <c r="F148" t="str">
        <f t="shared" si="5"/>
        <v>テオフィリ</v>
      </c>
    </row>
    <row r="149" spans="1:6" x14ac:dyDescent="0.2">
      <c r="A149" s="17" t="s">
        <v>134</v>
      </c>
      <c r="B149" s="18">
        <v>7.32</v>
      </c>
      <c r="C149" s="97">
        <v>287</v>
      </c>
      <c r="D149" s="16">
        <v>2100.84</v>
      </c>
      <c r="E149" t="str">
        <f t="shared" si="4"/>
        <v>スピロペント錠１０μｇ</v>
      </c>
      <c r="F149" t="str">
        <f t="shared" si="5"/>
        <v>スピロペン</v>
      </c>
    </row>
    <row r="150" spans="1:6" x14ac:dyDescent="0.15">
      <c r="A150" s="20" t="s">
        <v>258</v>
      </c>
      <c r="B150" s="22">
        <v>49.18</v>
      </c>
      <c r="C150" s="97">
        <v>43</v>
      </c>
      <c r="D150" s="16">
        <v>2114.7399999999998</v>
      </c>
      <c r="E150" t="str">
        <f t="shared" si="4"/>
        <v>ダイアップ坐薬４</v>
      </c>
      <c r="F150" t="str">
        <f t="shared" si="5"/>
        <v>ダイアップ</v>
      </c>
    </row>
    <row r="151" spans="1:6" x14ac:dyDescent="0.2">
      <c r="A151" s="53" t="s">
        <v>840</v>
      </c>
      <c r="B151" s="27">
        <v>12.04</v>
      </c>
      <c r="C151" s="97">
        <v>176</v>
      </c>
      <c r="D151" s="16">
        <v>2119.04</v>
      </c>
      <c r="E151" t="str">
        <f t="shared" si="4"/>
        <v>シロドシンＯＤ錠４ｍｇ</v>
      </c>
      <c r="F151" t="str">
        <f t="shared" si="5"/>
        <v>シロドシン</v>
      </c>
    </row>
    <row r="152" spans="1:6" x14ac:dyDescent="0.2">
      <c r="A152" s="17" t="s">
        <v>825</v>
      </c>
      <c r="B152" s="18">
        <v>11.38</v>
      </c>
      <c r="C152" s="97">
        <v>188</v>
      </c>
      <c r="D152" s="16">
        <v>2139.44</v>
      </c>
      <c r="E152" t="str">
        <f t="shared" si="4"/>
        <v>クロピトグレル錠２５ｍｇ</v>
      </c>
      <c r="F152" t="str">
        <f t="shared" si="5"/>
        <v>クロピトグ</v>
      </c>
    </row>
    <row r="153" spans="1:6" x14ac:dyDescent="0.2">
      <c r="A153" s="17" t="s">
        <v>150</v>
      </c>
      <c r="B153" s="18">
        <v>16.579999999999998</v>
      </c>
      <c r="C153" s="97">
        <v>130</v>
      </c>
      <c r="D153" s="16">
        <v>2155.3999999999996</v>
      </c>
      <c r="E153" t="str">
        <f t="shared" si="4"/>
        <v>ダントリウム　カプセル　２５ＭＧ</v>
      </c>
      <c r="F153" t="str">
        <f t="shared" si="5"/>
        <v>ダントリウ</v>
      </c>
    </row>
    <row r="154" spans="1:6" x14ac:dyDescent="0.15">
      <c r="A154" s="57" t="s">
        <v>811</v>
      </c>
      <c r="B154" s="58">
        <v>2170</v>
      </c>
      <c r="C154" s="98">
        <v>1</v>
      </c>
      <c r="D154" s="16">
        <v>2170</v>
      </c>
      <c r="E154" t="str">
        <f t="shared" si="4"/>
        <v>ヒューマログミックス５０注ミリオペン３００単位</v>
      </c>
      <c r="F154" t="str">
        <f t="shared" si="5"/>
        <v>ヒューマロ</v>
      </c>
    </row>
    <row r="155" spans="1:6" x14ac:dyDescent="0.15">
      <c r="A155" s="20" t="s">
        <v>461</v>
      </c>
      <c r="B155" s="85">
        <v>14.79</v>
      </c>
      <c r="C155" s="98">
        <v>149</v>
      </c>
      <c r="D155" s="55">
        <v>2203.71</v>
      </c>
      <c r="E155" t="str">
        <f t="shared" si="4"/>
        <v>ベンザリン細粒</v>
      </c>
      <c r="F155" t="str">
        <f t="shared" si="5"/>
        <v>ベンザリン</v>
      </c>
    </row>
    <row r="156" spans="1:6" x14ac:dyDescent="0.2">
      <c r="A156" s="57" t="s">
        <v>754</v>
      </c>
      <c r="B156" s="72">
        <v>2227</v>
      </c>
      <c r="C156" s="98">
        <v>1</v>
      </c>
      <c r="D156" s="16">
        <v>2227</v>
      </c>
      <c r="E156" t="str">
        <f t="shared" si="4"/>
        <v>ラクツロースシロップ</v>
      </c>
      <c r="F156" t="str">
        <f t="shared" si="5"/>
        <v>ラクツロー</v>
      </c>
    </row>
    <row r="157" spans="1:6" x14ac:dyDescent="0.2">
      <c r="A157" s="53" t="s">
        <v>364</v>
      </c>
      <c r="B157" s="52">
        <v>189.8</v>
      </c>
      <c r="C157" s="98">
        <v>12</v>
      </c>
      <c r="D157" s="16">
        <v>2277.6000000000004</v>
      </c>
      <c r="E157" t="str">
        <f t="shared" si="4"/>
        <v>ワソラン静注５ｍｇ</v>
      </c>
      <c r="F157" t="str">
        <f t="shared" si="5"/>
        <v>ワソラン静</v>
      </c>
    </row>
    <row r="158" spans="1:6" x14ac:dyDescent="0.2">
      <c r="A158" s="53" t="s">
        <v>280</v>
      </c>
      <c r="B158" s="52">
        <v>1140</v>
      </c>
      <c r="C158" s="97">
        <v>2</v>
      </c>
      <c r="D158" s="16">
        <v>2280</v>
      </c>
      <c r="E158" t="str">
        <f t="shared" si="4"/>
        <v>ゲーベンクリーム１％　１００ｇ／個</v>
      </c>
      <c r="F158" t="str">
        <f t="shared" si="5"/>
        <v>ゲーベンク</v>
      </c>
    </row>
    <row r="159" spans="1:6" x14ac:dyDescent="0.2">
      <c r="A159" s="53" t="s">
        <v>548</v>
      </c>
      <c r="B159" s="52">
        <v>76.3</v>
      </c>
      <c r="C159" s="97">
        <v>30</v>
      </c>
      <c r="D159" s="16">
        <v>2289</v>
      </c>
      <c r="E159" t="str">
        <f t="shared" si="4"/>
        <v>レクチゾール（２５）</v>
      </c>
      <c r="F159" t="str">
        <f t="shared" si="5"/>
        <v>レクチゾー</v>
      </c>
    </row>
    <row r="160" spans="1:6" x14ac:dyDescent="0.15">
      <c r="A160" s="57" t="s">
        <v>72</v>
      </c>
      <c r="B160" s="22">
        <v>11.51</v>
      </c>
      <c r="C160" s="97">
        <v>200</v>
      </c>
      <c r="D160" s="16">
        <v>2302</v>
      </c>
      <c r="E160" t="str">
        <f t="shared" si="4"/>
        <v>アナフラニール錠２５ｍｇ　</v>
      </c>
      <c r="F160" t="str">
        <f t="shared" si="5"/>
        <v>アナフラニ</v>
      </c>
    </row>
    <row r="161" spans="1:6" x14ac:dyDescent="0.2">
      <c r="A161" s="31" t="s">
        <v>526</v>
      </c>
      <c r="B161" s="18">
        <v>10.32</v>
      </c>
      <c r="C161" s="97">
        <v>224</v>
      </c>
      <c r="D161" s="16">
        <v>2311.6800000000003</v>
      </c>
      <c r="E161" t="str">
        <f t="shared" si="4"/>
        <v>プレガバリンＯＤ（２５）</v>
      </c>
      <c r="F161" t="str">
        <f t="shared" si="5"/>
        <v>プレガバリ</v>
      </c>
    </row>
    <row r="162" spans="1:6" x14ac:dyDescent="0.2">
      <c r="A162" s="53" t="s">
        <v>813</v>
      </c>
      <c r="B162" s="69">
        <v>50.78</v>
      </c>
      <c r="C162" s="98">
        <v>46</v>
      </c>
      <c r="D162" s="16">
        <v>2335.88</v>
      </c>
      <c r="E162" t="str">
        <f t="shared" si="4"/>
        <v>ブロムヘキシン塩酸塩注射液４ｍｇ</v>
      </c>
      <c r="F162" t="str">
        <f t="shared" si="5"/>
        <v>ブロムヘキ</v>
      </c>
    </row>
    <row r="163" spans="1:6" x14ac:dyDescent="0.2">
      <c r="A163" s="17" t="s">
        <v>425</v>
      </c>
      <c r="B163" s="18">
        <v>5.79</v>
      </c>
      <c r="C163" s="97">
        <v>404.22222222222223</v>
      </c>
      <c r="D163" s="16">
        <v>2340.4466666666667</v>
      </c>
      <c r="E163" t="str">
        <f t="shared" si="4"/>
        <v>ゾピクロン錠７．５ｍｇ「トーワ」</v>
      </c>
      <c r="F163" t="str">
        <f t="shared" si="5"/>
        <v>ゾピクロン</v>
      </c>
    </row>
    <row r="164" spans="1:6" x14ac:dyDescent="0.2">
      <c r="A164" s="30" t="s">
        <v>606</v>
      </c>
      <c r="B164" s="18">
        <v>13.89</v>
      </c>
      <c r="C164" s="97">
        <v>169</v>
      </c>
      <c r="D164" s="16">
        <v>2347.4100000000003</v>
      </c>
      <c r="E164" t="str">
        <f t="shared" si="4"/>
        <v>ルプラック錠</v>
      </c>
      <c r="F164" t="str">
        <f t="shared" si="5"/>
        <v>ルプラック</v>
      </c>
    </row>
    <row r="165" spans="1:6" x14ac:dyDescent="0.2">
      <c r="A165" s="53" t="s">
        <v>351</v>
      </c>
      <c r="B165" s="52">
        <v>58.7</v>
      </c>
      <c r="C165" s="98">
        <v>40</v>
      </c>
      <c r="D165" s="16">
        <v>2348</v>
      </c>
      <c r="E165" t="str">
        <f t="shared" si="4"/>
        <v>ブドウ糖注５％ＰＬ「フソー」２０ｍｌ</v>
      </c>
      <c r="F165" t="str">
        <f t="shared" si="5"/>
        <v>ブドウ糖注</v>
      </c>
    </row>
    <row r="166" spans="1:6" x14ac:dyDescent="0.2">
      <c r="A166" s="17" t="s">
        <v>763</v>
      </c>
      <c r="B166" s="74">
        <v>53.4</v>
      </c>
      <c r="C166" s="97">
        <v>44</v>
      </c>
      <c r="D166" s="16">
        <v>2349.6</v>
      </c>
      <c r="E166" t="str">
        <f t="shared" si="4"/>
        <v>マイザー軟膏</v>
      </c>
      <c r="F166" t="str">
        <f t="shared" si="5"/>
        <v>マイザー軟</v>
      </c>
    </row>
    <row r="167" spans="1:6" x14ac:dyDescent="0.15">
      <c r="A167" s="20" t="s">
        <v>117</v>
      </c>
      <c r="B167" s="22">
        <v>4.83</v>
      </c>
      <c r="C167" s="99">
        <v>490</v>
      </c>
      <c r="D167" s="16">
        <v>2366.6999999999998</v>
      </c>
      <c r="E167" t="str">
        <f t="shared" si="4"/>
        <v>ジアゼパム錠２ｍｇ「アメル」</v>
      </c>
      <c r="F167" t="str">
        <f t="shared" si="5"/>
        <v>ジアゼパム</v>
      </c>
    </row>
    <row r="168" spans="1:6" x14ac:dyDescent="0.2">
      <c r="A168" s="17" t="s">
        <v>288</v>
      </c>
      <c r="B168" s="18">
        <v>797.3</v>
      </c>
      <c r="C168" s="97">
        <v>3</v>
      </c>
      <c r="D168" s="16">
        <v>2391.8999999999996</v>
      </c>
      <c r="E168" t="str">
        <f t="shared" si="4"/>
        <v>メプチンエア－１０μｇ吸入１００回</v>
      </c>
      <c r="F168" t="str">
        <f t="shared" si="5"/>
        <v>メプチンエ</v>
      </c>
    </row>
    <row r="169" spans="1:6" x14ac:dyDescent="0.2">
      <c r="A169" s="17" t="s">
        <v>479</v>
      </c>
      <c r="B169" s="18">
        <v>52.02</v>
      </c>
      <c r="C169" s="101">
        <v>46</v>
      </c>
      <c r="D169" s="55">
        <v>2392.92</v>
      </c>
      <c r="E169" t="str">
        <f t="shared" si="4"/>
        <v>１１２ツムラチョレイトウコンゴウシモツトウ　２．５ｇ／包</v>
      </c>
      <c r="F169" t="str">
        <f t="shared" si="5"/>
        <v>１１２ツム</v>
      </c>
    </row>
    <row r="170" spans="1:6" x14ac:dyDescent="0.2">
      <c r="A170" s="31" t="s">
        <v>525</v>
      </c>
      <c r="B170" s="18">
        <v>77.599999999999994</v>
      </c>
      <c r="C170" s="97">
        <v>31</v>
      </c>
      <c r="D170" s="16">
        <v>2405.6</v>
      </c>
      <c r="E170" t="str">
        <f t="shared" si="4"/>
        <v>メトトレキサート（２）</v>
      </c>
      <c r="F170" t="str">
        <f t="shared" si="5"/>
        <v>メトトレキ</v>
      </c>
    </row>
    <row r="171" spans="1:6" x14ac:dyDescent="0.2">
      <c r="A171" s="17" t="s">
        <v>263</v>
      </c>
      <c r="B171" s="18">
        <v>71</v>
      </c>
      <c r="C171" s="97">
        <v>34</v>
      </c>
      <c r="D171" s="16">
        <v>2414</v>
      </c>
      <c r="E171" t="str">
        <f t="shared" si="4"/>
        <v>デルモベ－ト軟膏０．０５％　５ｇ／本</v>
      </c>
      <c r="F171" t="str">
        <f t="shared" si="5"/>
        <v>デルモベ－</v>
      </c>
    </row>
    <row r="172" spans="1:6" x14ac:dyDescent="0.2">
      <c r="A172" s="17" t="s">
        <v>70</v>
      </c>
      <c r="B172" s="18">
        <v>8.99</v>
      </c>
      <c r="C172" s="97">
        <v>269.23076923076923</v>
      </c>
      <c r="D172" s="16">
        <v>2420.3846153846152</v>
      </c>
      <c r="E172" t="str">
        <f t="shared" si="4"/>
        <v>ア－チスト錠１．２５ｍｇ</v>
      </c>
      <c r="F172" t="str">
        <f t="shared" si="5"/>
        <v>ア－チスト</v>
      </c>
    </row>
    <row r="173" spans="1:6" x14ac:dyDescent="0.2">
      <c r="A173" s="17" t="s">
        <v>267</v>
      </c>
      <c r="B173" s="18">
        <v>348</v>
      </c>
      <c r="C173" s="97">
        <v>7</v>
      </c>
      <c r="D173" s="16">
        <v>2436</v>
      </c>
      <c r="E173" t="str">
        <f t="shared" si="4"/>
        <v>ビダラビン軟膏３％「ＭＥＥＫ」　５ｇ／本</v>
      </c>
      <c r="F173" t="str">
        <f t="shared" si="5"/>
        <v>ビダラビン</v>
      </c>
    </row>
    <row r="174" spans="1:6" x14ac:dyDescent="0.2">
      <c r="A174" s="53" t="s">
        <v>806</v>
      </c>
      <c r="B174" s="72">
        <v>2437</v>
      </c>
      <c r="C174" s="98">
        <v>1</v>
      </c>
      <c r="D174" s="16">
        <v>2437</v>
      </c>
      <c r="E174" t="str">
        <f t="shared" si="4"/>
        <v>トルリシティ皮下注０．７５ｍｇアテオス</v>
      </c>
      <c r="F174" t="str">
        <f t="shared" si="5"/>
        <v>トルリシテ</v>
      </c>
    </row>
    <row r="175" spans="1:6" x14ac:dyDescent="0.2">
      <c r="A175" s="17" t="s">
        <v>864</v>
      </c>
      <c r="B175" s="74">
        <v>66.3</v>
      </c>
      <c r="C175" s="97">
        <v>37</v>
      </c>
      <c r="D175" s="16">
        <v>2453.1</v>
      </c>
      <c r="E175" t="str">
        <f t="shared" si="4"/>
        <v>ロコイド軟膏０．１％</v>
      </c>
      <c r="F175" t="str">
        <f t="shared" si="5"/>
        <v>ロコイド軟</v>
      </c>
    </row>
    <row r="176" spans="1:6" x14ac:dyDescent="0.2">
      <c r="A176" s="53" t="s">
        <v>496</v>
      </c>
      <c r="B176" s="18">
        <v>23.13</v>
      </c>
      <c r="C176" s="97">
        <v>107.14285714285715</v>
      </c>
      <c r="D176" s="16">
        <v>2478.2142857142858</v>
      </c>
      <c r="E176" t="str">
        <f t="shared" si="4"/>
        <v>レベチラセタム錠</v>
      </c>
      <c r="F176" t="str">
        <f t="shared" si="5"/>
        <v>レベチラセ</v>
      </c>
    </row>
    <row r="177" spans="1:6" x14ac:dyDescent="0.15">
      <c r="A177" s="57" t="s">
        <v>29</v>
      </c>
      <c r="B177" s="85">
        <v>25.1</v>
      </c>
      <c r="C177" s="98">
        <v>99</v>
      </c>
      <c r="D177" s="55">
        <v>2484.9</v>
      </c>
      <c r="E177" t="str">
        <f t="shared" si="4"/>
        <v>ブロムペリドール細粒１％</v>
      </c>
      <c r="F177" t="str">
        <f t="shared" si="5"/>
        <v>ブロムペリ</v>
      </c>
    </row>
    <row r="178" spans="1:6" x14ac:dyDescent="0.2">
      <c r="A178" s="30" t="s">
        <v>832</v>
      </c>
      <c r="B178" s="18">
        <v>8.4</v>
      </c>
      <c r="C178" s="97">
        <v>296</v>
      </c>
      <c r="D178" s="16">
        <v>2486.4</v>
      </c>
      <c r="E178" t="str">
        <f t="shared" si="4"/>
        <v>ビソプロロールフマル酸（２．５）「トーワ」</v>
      </c>
      <c r="F178" t="str">
        <f t="shared" si="5"/>
        <v>ビソプロロ</v>
      </c>
    </row>
    <row r="179" spans="1:6" x14ac:dyDescent="0.15">
      <c r="A179" s="57" t="s">
        <v>102</v>
      </c>
      <c r="B179" s="22">
        <v>20.58</v>
      </c>
      <c r="C179" s="99">
        <v>121</v>
      </c>
      <c r="D179" s="16">
        <v>2490.1799999999998</v>
      </c>
      <c r="E179" t="str">
        <f t="shared" si="4"/>
        <v>クアゼパム錠１５ｍｇ「アメル」</v>
      </c>
      <c r="F179" t="str">
        <f t="shared" si="5"/>
        <v>クアゼパム</v>
      </c>
    </row>
    <row r="180" spans="1:6" x14ac:dyDescent="0.2">
      <c r="A180" s="53" t="s">
        <v>828</v>
      </c>
      <c r="B180" s="27">
        <v>5.19</v>
      </c>
      <c r="C180" s="97">
        <v>480</v>
      </c>
      <c r="D180" s="16">
        <v>2491.2000000000003</v>
      </c>
      <c r="E180" t="str">
        <f t="shared" si="4"/>
        <v>フロセミド錠２０「ＮＩＧ」</v>
      </c>
      <c r="F180" t="str">
        <f t="shared" si="5"/>
        <v>フロセミド</v>
      </c>
    </row>
    <row r="181" spans="1:6" x14ac:dyDescent="0.15">
      <c r="A181" s="57" t="s">
        <v>682</v>
      </c>
      <c r="B181" s="85">
        <v>9.99</v>
      </c>
      <c r="C181" s="98">
        <v>250</v>
      </c>
      <c r="D181" s="55">
        <v>2497.5</v>
      </c>
      <c r="E181" t="str">
        <f t="shared" si="4"/>
        <v>ハロペリドール細粒１％　「ヨシトミ」</v>
      </c>
      <c r="F181" t="str">
        <f t="shared" si="5"/>
        <v>ハロペリド</v>
      </c>
    </row>
    <row r="182" spans="1:6" x14ac:dyDescent="0.2">
      <c r="A182" s="53" t="s">
        <v>761</v>
      </c>
      <c r="B182" s="18">
        <v>6.26</v>
      </c>
      <c r="C182" s="97">
        <v>400</v>
      </c>
      <c r="D182" s="16">
        <v>2504</v>
      </c>
      <c r="E182" t="str">
        <f t="shared" si="4"/>
        <v>フェノーバール錠</v>
      </c>
      <c r="F182" t="str">
        <f t="shared" si="5"/>
        <v>フェノーバ</v>
      </c>
    </row>
    <row r="183" spans="1:6" x14ac:dyDescent="0.15">
      <c r="A183" s="57" t="s">
        <v>354</v>
      </c>
      <c r="B183" s="58">
        <v>1261.5999999999999</v>
      </c>
      <c r="C183" s="98">
        <v>2</v>
      </c>
      <c r="D183" s="16">
        <v>2523.1999999999998</v>
      </c>
      <c r="E183" t="str">
        <f t="shared" si="4"/>
        <v>フルデカシン筋注２５ｍｇ　１ｍＬＸ５瓶</v>
      </c>
      <c r="F183" t="str">
        <f t="shared" si="5"/>
        <v>フルデカシ</v>
      </c>
    </row>
    <row r="184" spans="1:6" x14ac:dyDescent="0.2">
      <c r="A184" s="17" t="s">
        <v>876</v>
      </c>
      <c r="B184" s="52">
        <v>2527</v>
      </c>
      <c r="C184" s="97">
        <v>1</v>
      </c>
      <c r="D184" s="16">
        <v>2527</v>
      </c>
      <c r="E184" t="str">
        <f t="shared" si="4"/>
        <v>グラアルファ配合点眼液　５ｍｌ／本</v>
      </c>
      <c r="F184" t="str">
        <f t="shared" si="5"/>
        <v>グラアルフ</v>
      </c>
    </row>
    <row r="185" spans="1:6" x14ac:dyDescent="0.15">
      <c r="A185" s="20" t="s">
        <v>507</v>
      </c>
      <c r="B185" s="22">
        <v>40.700000000000003</v>
      </c>
      <c r="C185" s="97">
        <v>63</v>
      </c>
      <c r="D185" s="16">
        <v>2564.1000000000004</v>
      </c>
      <c r="E185" t="str">
        <f t="shared" si="4"/>
        <v>オーグメンチン配合錠２５０ｍｇ</v>
      </c>
      <c r="F185" t="str">
        <f t="shared" si="5"/>
        <v>オーグメン</v>
      </c>
    </row>
    <row r="186" spans="1:6" x14ac:dyDescent="0.2">
      <c r="A186" s="53" t="s">
        <v>446</v>
      </c>
      <c r="B186" s="18">
        <v>8.6</v>
      </c>
      <c r="C186" s="97">
        <v>300</v>
      </c>
      <c r="D186" s="16">
        <v>2580</v>
      </c>
      <c r="E186" t="str">
        <f t="shared" si="4"/>
        <v>ワーファリン</v>
      </c>
      <c r="F186" t="str">
        <f t="shared" si="5"/>
        <v>ワーファリ</v>
      </c>
    </row>
    <row r="187" spans="1:6" x14ac:dyDescent="0.2">
      <c r="A187" s="17" t="s">
        <v>282</v>
      </c>
      <c r="B187" s="18">
        <v>864</v>
      </c>
      <c r="C187" s="97">
        <v>3.3</v>
      </c>
      <c r="D187" s="16">
        <v>2592</v>
      </c>
      <c r="E187" t="str">
        <f t="shared" si="4"/>
        <v>スクロ－ドパスタ　１００ｇ／個</v>
      </c>
      <c r="F187" t="str">
        <f t="shared" si="5"/>
        <v>スクロ－ド</v>
      </c>
    </row>
    <row r="188" spans="1:6" x14ac:dyDescent="0.2">
      <c r="A188" s="57" t="s">
        <v>823</v>
      </c>
      <c r="B188" s="52">
        <v>288</v>
      </c>
      <c r="C188" s="98">
        <v>9</v>
      </c>
      <c r="D188" s="16">
        <v>2592</v>
      </c>
      <c r="E188" t="str">
        <f t="shared" si="4"/>
        <v>ラコールＮＦ配合経腸用半固形剤</v>
      </c>
      <c r="F188" t="str">
        <f t="shared" si="5"/>
        <v>ラコールＮ</v>
      </c>
    </row>
    <row r="189" spans="1:6" x14ac:dyDescent="0.2">
      <c r="A189" s="53" t="s">
        <v>677</v>
      </c>
      <c r="B189" s="52">
        <v>2598</v>
      </c>
      <c r="C189" s="98">
        <v>1</v>
      </c>
      <c r="D189" s="16">
        <v>2598</v>
      </c>
      <c r="E189" t="str">
        <f t="shared" si="4"/>
        <v>オリーブ油</v>
      </c>
      <c r="F189" t="str">
        <f t="shared" si="5"/>
        <v>オリーブ油</v>
      </c>
    </row>
    <row r="190" spans="1:6" x14ac:dyDescent="0.15">
      <c r="A190" s="57" t="s">
        <v>684</v>
      </c>
      <c r="B190" s="85">
        <v>6.5</v>
      </c>
      <c r="C190" s="98">
        <v>400</v>
      </c>
      <c r="D190" s="55">
        <v>2600</v>
      </c>
      <c r="E190" t="str">
        <f t="shared" si="4"/>
        <v>フェノバルビタール散１０％「ホエイ」　</v>
      </c>
      <c r="F190" t="str">
        <f t="shared" si="5"/>
        <v>フェノバル</v>
      </c>
    </row>
    <row r="191" spans="1:6" x14ac:dyDescent="0.2">
      <c r="A191" s="53" t="s">
        <v>822</v>
      </c>
      <c r="B191" s="52">
        <v>261</v>
      </c>
      <c r="C191" s="98">
        <v>10</v>
      </c>
      <c r="D191" s="16">
        <v>2610</v>
      </c>
      <c r="E191" t="str">
        <f t="shared" si="4"/>
        <v>ロイコボリン注３ｍｇ</v>
      </c>
      <c r="F191" t="str">
        <f t="shared" si="5"/>
        <v>ロイコボリ</v>
      </c>
    </row>
    <row r="192" spans="1:6" x14ac:dyDescent="0.15">
      <c r="A192" s="20" t="s">
        <v>110</v>
      </c>
      <c r="B192" s="22">
        <v>15.77</v>
      </c>
      <c r="C192" s="97">
        <v>166</v>
      </c>
      <c r="D192" s="16">
        <v>2617.8199999999997</v>
      </c>
      <c r="E192" t="str">
        <f t="shared" si="4"/>
        <v>クロフェクトン錠２５ｍｇ</v>
      </c>
      <c r="F192" t="str">
        <f t="shared" si="5"/>
        <v>クロフェク</v>
      </c>
    </row>
    <row r="193" spans="1:6" x14ac:dyDescent="0.2">
      <c r="A193" s="17" t="s">
        <v>287</v>
      </c>
      <c r="B193" s="18">
        <v>84.66</v>
      </c>
      <c r="C193" s="97">
        <v>31</v>
      </c>
      <c r="D193" s="16">
        <v>2624.46</v>
      </c>
      <c r="E193" t="str">
        <f t="shared" si="4"/>
        <v>ポピドンヨードガーグル７％　３０ｍｌ</v>
      </c>
      <c r="F193" t="str">
        <f t="shared" si="5"/>
        <v>ポピドンヨ</v>
      </c>
    </row>
    <row r="194" spans="1:6" x14ac:dyDescent="0.15">
      <c r="A194" s="39" t="s">
        <v>636</v>
      </c>
      <c r="B194" s="180">
        <v>2.1800000000000002</v>
      </c>
      <c r="C194" s="178">
        <v>1210</v>
      </c>
      <c r="D194" s="119">
        <v>2637.8</v>
      </c>
      <c r="E194" t="str">
        <f t="shared" si="4"/>
        <v>白色ワセリン</v>
      </c>
      <c r="F194" t="str">
        <f t="shared" si="5"/>
        <v>白色ワセリ</v>
      </c>
    </row>
    <row r="195" spans="1:6" x14ac:dyDescent="0.2">
      <c r="A195" s="31" t="s">
        <v>527</v>
      </c>
      <c r="B195" s="18">
        <v>16.72</v>
      </c>
      <c r="C195" s="97">
        <v>163</v>
      </c>
      <c r="D195" s="16">
        <v>2725.3599999999997</v>
      </c>
      <c r="E195" t="str">
        <f t="shared" si="4"/>
        <v>プレガバリンＯＤ（７５）</v>
      </c>
      <c r="F195" t="str">
        <f t="shared" si="5"/>
        <v>プレガバリ</v>
      </c>
    </row>
    <row r="196" spans="1:6" x14ac:dyDescent="0.15">
      <c r="A196" s="57" t="s">
        <v>681</v>
      </c>
      <c r="B196" s="85">
        <v>8.73</v>
      </c>
      <c r="C196" s="98">
        <v>313</v>
      </c>
      <c r="D196" s="55">
        <v>2732.4900000000002</v>
      </c>
      <c r="E196" t="str">
        <f t="shared" si="4"/>
        <v>テプレノン細粒１０％　</v>
      </c>
      <c r="F196" t="str">
        <f t="shared" si="5"/>
        <v>テプレノン</v>
      </c>
    </row>
    <row r="197" spans="1:6" x14ac:dyDescent="0.2">
      <c r="A197" s="53" t="s">
        <v>689</v>
      </c>
      <c r="B197" s="85">
        <v>56.75</v>
      </c>
      <c r="C197" s="98">
        <v>49</v>
      </c>
      <c r="D197" s="55">
        <v>2780.75</v>
      </c>
      <c r="E197" t="str">
        <f t="shared" ref="E197:E260" si="6">DBCS(A197)</f>
        <v>レベチラセタムドライシロップ５０％「明治」</v>
      </c>
      <c r="F197" t="str">
        <f t="shared" ref="F197:F260" si="7">LEFT(E197,5)</f>
        <v>レベチラセ</v>
      </c>
    </row>
    <row r="198" spans="1:6" x14ac:dyDescent="0.15">
      <c r="A198" s="57" t="s">
        <v>346</v>
      </c>
      <c r="B198" s="58">
        <v>52.56</v>
      </c>
      <c r="C198" s="98">
        <v>53</v>
      </c>
      <c r="D198" s="16">
        <v>2785.6800000000003</v>
      </c>
      <c r="E198" t="str">
        <f t="shared" si="6"/>
        <v>ヒベルナ注２５ｍｇ　１ｍＬＸ５０管</v>
      </c>
      <c r="F198" t="str">
        <f t="shared" si="7"/>
        <v>ヒベルナ注</v>
      </c>
    </row>
    <row r="199" spans="1:6" x14ac:dyDescent="0.2">
      <c r="A199" s="17" t="s">
        <v>254</v>
      </c>
      <c r="B199" s="18">
        <v>77.5</v>
      </c>
      <c r="C199" s="97">
        <v>36</v>
      </c>
      <c r="D199" s="16">
        <v>2790</v>
      </c>
      <c r="E199" t="str">
        <f t="shared" si="6"/>
        <v>ゲンタマイシン軟膏０．１％　１０ｇ／本</v>
      </c>
      <c r="F199" t="str">
        <f t="shared" si="7"/>
        <v>ゲンタマイ</v>
      </c>
    </row>
    <row r="200" spans="1:6" x14ac:dyDescent="0.15">
      <c r="A200" s="20" t="s">
        <v>252</v>
      </c>
      <c r="B200" s="58">
        <v>73.7</v>
      </c>
      <c r="C200" s="97">
        <v>38</v>
      </c>
      <c r="D200" s="55">
        <v>2800.6</v>
      </c>
      <c r="E200" t="str">
        <f t="shared" si="6"/>
        <v>オイラックスクリーム１０％　１０ｇＸ１０</v>
      </c>
      <c r="F200" t="str">
        <f t="shared" si="7"/>
        <v>オイラック</v>
      </c>
    </row>
    <row r="201" spans="1:6" x14ac:dyDescent="0.2">
      <c r="A201" s="17" t="s">
        <v>221</v>
      </c>
      <c r="B201" s="18">
        <v>8.07</v>
      </c>
      <c r="C201" s="98">
        <v>350</v>
      </c>
      <c r="D201" s="55">
        <v>2824.5</v>
      </c>
      <c r="E201" t="str">
        <f t="shared" si="6"/>
        <v>ユ－ロジン　２ＭＧ錠</v>
      </c>
      <c r="F201" t="str">
        <f t="shared" si="7"/>
        <v>ユ－ロジン</v>
      </c>
    </row>
    <row r="202" spans="1:6" x14ac:dyDescent="0.2">
      <c r="A202" s="17" t="s">
        <v>456</v>
      </c>
      <c r="B202" s="27">
        <v>5.94</v>
      </c>
      <c r="C202" s="98">
        <v>476</v>
      </c>
      <c r="D202" s="55">
        <v>2827.44</v>
      </c>
      <c r="E202" t="str">
        <f t="shared" si="6"/>
        <v>リンゼス錠０．２５ｍｇ</v>
      </c>
      <c r="F202" t="str">
        <f t="shared" si="7"/>
        <v>リンゼス錠</v>
      </c>
    </row>
    <row r="203" spans="1:6" x14ac:dyDescent="0.15">
      <c r="A203" s="57" t="s">
        <v>333</v>
      </c>
      <c r="B203" s="58">
        <v>81.06</v>
      </c>
      <c r="C203" s="98">
        <v>35</v>
      </c>
      <c r="D203" s="16">
        <v>2837.1</v>
      </c>
      <c r="E203" t="str">
        <f t="shared" si="6"/>
        <v>セレネース注５ｍｇ　１ｍＬＸ５０管</v>
      </c>
      <c r="F203" t="str">
        <f t="shared" si="7"/>
        <v>セレネース</v>
      </c>
    </row>
    <row r="204" spans="1:6" x14ac:dyDescent="0.15">
      <c r="A204" s="20" t="s">
        <v>856</v>
      </c>
      <c r="B204" s="22">
        <v>51.73</v>
      </c>
      <c r="C204" s="97">
        <v>55</v>
      </c>
      <c r="D204" s="16">
        <v>2845.1499999999996</v>
      </c>
      <c r="E204" t="str">
        <f t="shared" si="6"/>
        <v>レトロゾール錠２．５ｍｇ</v>
      </c>
      <c r="F204" t="str">
        <f t="shared" si="7"/>
        <v>レトロゾー</v>
      </c>
    </row>
    <row r="205" spans="1:6" x14ac:dyDescent="0.2">
      <c r="A205" s="53" t="s">
        <v>758</v>
      </c>
      <c r="B205" s="18">
        <v>47.72</v>
      </c>
      <c r="C205" s="97">
        <v>60</v>
      </c>
      <c r="D205" s="16">
        <v>2863.2</v>
      </c>
      <c r="E205" t="str">
        <f t="shared" si="6"/>
        <v>ビプレッソ徐放５０ｍｇ</v>
      </c>
      <c r="F205" t="str">
        <f t="shared" si="7"/>
        <v>ビプレッソ</v>
      </c>
    </row>
    <row r="206" spans="1:6" x14ac:dyDescent="0.15">
      <c r="A206" s="20" t="s">
        <v>161</v>
      </c>
      <c r="B206" s="22">
        <v>8.9</v>
      </c>
      <c r="C206" s="97">
        <v>330.76923076923077</v>
      </c>
      <c r="D206" s="16">
        <v>2943.8461538461538</v>
      </c>
      <c r="E206" t="str">
        <f t="shared" si="6"/>
        <v>トリプタノール錠２５　</v>
      </c>
      <c r="F206" t="str">
        <f t="shared" si="7"/>
        <v>トリプタノ</v>
      </c>
    </row>
    <row r="207" spans="1:6" x14ac:dyDescent="0.2">
      <c r="A207" s="17" t="s">
        <v>248</v>
      </c>
      <c r="B207" s="18">
        <v>196.5</v>
      </c>
      <c r="C207" s="97">
        <v>15</v>
      </c>
      <c r="D207" s="55">
        <v>2947.5</v>
      </c>
      <c r="E207" t="str">
        <f t="shared" si="6"/>
        <v>アクアチム　クリ－ム１％　１０ｇ／本</v>
      </c>
      <c r="F207" t="str">
        <f t="shared" si="7"/>
        <v>アクアチム</v>
      </c>
    </row>
    <row r="208" spans="1:6" x14ac:dyDescent="0.2">
      <c r="A208" s="53" t="s">
        <v>207</v>
      </c>
      <c r="B208" s="27">
        <v>12.02</v>
      </c>
      <c r="C208" s="97">
        <v>246</v>
      </c>
      <c r="D208" s="16">
        <v>2956.92</v>
      </c>
      <c r="E208" t="str">
        <f t="shared" si="6"/>
        <v>ベラプロスト錠２０μｇ</v>
      </c>
      <c r="F208" t="str">
        <f t="shared" si="7"/>
        <v>ベラプロス</v>
      </c>
    </row>
    <row r="209" spans="1:6" x14ac:dyDescent="0.2">
      <c r="A209" s="17" t="s">
        <v>272</v>
      </c>
      <c r="B209" s="18">
        <v>82.3</v>
      </c>
      <c r="C209" s="97">
        <v>36</v>
      </c>
      <c r="D209" s="16">
        <v>2962.7999999999997</v>
      </c>
      <c r="E209" t="str">
        <f t="shared" si="6"/>
        <v>リンデロン－Ｖ　クリ－ム０．１２％　５ｇ／本</v>
      </c>
      <c r="F209" t="str">
        <f t="shared" si="7"/>
        <v>リンデロン</v>
      </c>
    </row>
    <row r="210" spans="1:6" x14ac:dyDescent="0.2">
      <c r="A210" s="20" t="s">
        <v>585</v>
      </c>
      <c r="B210" s="25">
        <v>4.93</v>
      </c>
      <c r="C210" s="101">
        <v>607.69230769230762</v>
      </c>
      <c r="D210" s="16">
        <v>2995.9230769230762</v>
      </c>
      <c r="E210" t="str">
        <f t="shared" si="6"/>
        <v>フェブキソスタット錠１０ｍｇ</v>
      </c>
      <c r="F210" t="str">
        <f t="shared" si="7"/>
        <v>フェブキソ</v>
      </c>
    </row>
    <row r="211" spans="1:6" x14ac:dyDescent="0.2">
      <c r="A211" s="53" t="s">
        <v>302</v>
      </c>
      <c r="B211" s="52">
        <v>52.6</v>
      </c>
      <c r="C211" s="98">
        <v>57</v>
      </c>
      <c r="D211" s="16">
        <v>2998.2000000000003</v>
      </c>
      <c r="E211" t="str">
        <f t="shared" si="6"/>
        <v>アキネトン注射液５ｍｇ</v>
      </c>
      <c r="F211" t="str">
        <f t="shared" si="7"/>
        <v>アキネトン</v>
      </c>
    </row>
    <row r="212" spans="1:6" x14ac:dyDescent="0.2">
      <c r="A212" s="17" t="s">
        <v>544</v>
      </c>
      <c r="B212" s="18">
        <v>53.54</v>
      </c>
      <c r="C212" s="97">
        <v>56</v>
      </c>
      <c r="D212" s="16">
        <v>2998.24</v>
      </c>
      <c r="E212" t="str">
        <f t="shared" si="6"/>
        <v>ビソノテープ４ｍｇ</v>
      </c>
      <c r="F212" t="str">
        <f t="shared" si="7"/>
        <v>ビソノテー</v>
      </c>
    </row>
    <row r="213" spans="1:6" x14ac:dyDescent="0.15">
      <c r="A213" s="57" t="s">
        <v>319</v>
      </c>
      <c r="B213" s="58">
        <v>272.60000000000002</v>
      </c>
      <c r="C213" s="98">
        <v>11</v>
      </c>
      <c r="D213" s="16">
        <v>2998.6000000000004</v>
      </c>
      <c r="E213" t="str">
        <f t="shared" si="6"/>
        <v>グリセオール注　２００ｍＬＸ１０袋</v>
      </c>
      <c r="F213" t="str">
        <f t="shared" si="7"/>
        <v>グリセオー</v>
      </c>
    </row>
    <row r="214" spans="1:6" x14ac:dyDescent="0.2">
      <c r="A214" s="32" t="s">
        <v>563</v>
      </c>
      <c r="B214" s="18">
        <v>16.3</v>
      </c>
      <c r="C214" s="97">
        <v>184</v>
      </c>
      <c r="D214" s="16">
        <v>2999.2000000000003</v>
      </c>
      <c r="E214" t="str">
        <f t="shared" si="6"/>
        <v>トラマールＯＤ錠２５</v>
      </c>
      <c r="F214" t="str">
        <f t="shared" si="7"/>
        <v>トラマール</v>
      </c>
    </row>
    <row r="215" spans="1:6" x14ac:dyDescent="0.2">
      <c r="A215" s="17" t="s">
        <v>637</v>
      </c>
      <c r="B215" s="18">
        <v>251.3</v>
      </c>
      <c r="C215" s="97">
        <v>12</v>
      </c>
      <c r="D215" s="16">
        <v>3015.6000000000004</v>
      </c>
      <c r="E215" t="str">
        <f t="shared" si="6"/>
        <v>チモロール点眼液０．５％　５ｍｌ／本</v>
      </c>
      <c r="F215" t="str">
        <f t="shared" si="7"/>
        <v>チモロール</v>
      </c>
    </row>
    <row r="216" spans="1:6" x14ac:dyDescent="0.15">
      <c r="A216" s="20" t="s">
        <v>17</v>
      </c>
      <c r="B216" s="85">
        <v>30.2</v>
      </c>
      <c r="C216" s="98">
        <v>100</v>
      </c>
      <c r="D216" s="55">
        <v>3020</v>
      </c>
      <c r="E216" t="str">
        <f t="shared" si="6"/>
        <v>アドナ散</v>
      </c>
      <c r="F216" t="str">
        <f t="shared" si="7"/>
        <v>アドナ散</v>
      </c>
    </row>
    <row r="217" spans="1:6" x14ac:dyDescent="0.15">
      <c r="A217" s="75" t="s">
        <v>789</v>
      </c>
      <c r="B217" s="22">
        <v>379.5</v>
      </c>
      <c r="C217" s="97">
        <v>8</v>
      </c>
      <c r="D217" s="16">
        <v>3036</v>
      </c>
      <c r="E217" t="str">
        <f t="shared" si="6"/>
        <v>ラタノプロスト点眼液０．００５％「ニットー」２．５ｍｌ／本</v>
      </c>
      <c r="F217" t="str">
        <f t="shared" si="7"/>
        <v>ラタノプロ</v>
      </c>
    </row>
    <row r="218" spans="1:6" x14ac:dyDescent="0.2">
      <c r="A218" s="17" t="s">
        <v>850</v>
      </c>
      <c r="B218" s="18">
        <v>16.5</v>
      </c>
      <c r="C218" s="97">
        <v>184</v>
      </c>
      <c r="D218" s="16">
        <v>3036</v>
      </c>
      <c r="E218" t="str">
        <f t="shared" si="6"/>
        <v>ビ・シフロール錠０．１２５ｍｇ</v>
      </c>
      <c r="F218" t="str">
        <f t="shared" si="7"/>
        <v>ビ・シフロ</v>
      </c>
    </row>
    <row r="219" spans="1:6" x14ac:dyDescent="0.2">
      <c r="A219" s="17" t="s">
        <v>301</v>
      </c>
      <c r="B219" s="18">
        <v>234.3</v>
      </c>
      <c r="C219" s="97">
        <v>13</v>
      </c>
      <c r="D219" s="16">
        <v>3045.9</v>
      </c>
      <c r="E219" t="str">
        <f t="shared" si="6"/>
        <v>リンデロン点眼点鼻液　５ｍｌ／本</v>
      </c>
      <c r="F219" t="str">
        <f t="shared" si="7"/>
        <v>リンデロン</v>
      </c>
    </row>
    <row r="220" spans="1:6" x14ac:dyDescent="0.2">
      <c r="A220" s="17" t="s">
        <v>630</v>
      </c>
      <c r="B220" s="18">
        <v>89.9</v>
      </c>
      <c r="C220" s="97">
        <v>34</v>
      </c>
      <c r="D220" s="16">
        <v>3056.6000000000004</v>
      </c>
      <c r="E220" t="str">
        <f t="shared" si="6"/>
        <v>テルビナフィンクリ－ム１％　１０ｇ／本</v>
      </c>
      <c r="F220" t="str">
        <f t="shared" si="7"/>
        <v>テルビナフ</v>
      </c>
    </row>
    <row r="221" spans="1:6" x14ac:dyDescent="0.2">
      <c r="A221" s="53" t="s">
        <v>783</v>
      </c>
      <c r="B221" s="52">
        <v>8.1999999999999993</v>
      </c>
      <c r="C221" s="99">
        <v>377.77777777777777</v>
      </c>
      <c r="D221" s="16">
        <v>3097.7777777777774</v>
      </c>
      <c r="E221" t="str">
        <f t="shared" si="6"/>
        <v>グリメピリドＯＤ錠１ｍｇ</v>
      </c>
      <c r="F221" t="str">
        <f t="shared" si="7"/>
        <v>グリメピリ</v>
      </c>
    </row>
    <row r="222" spans="1:6" x14ac:dyDescent="0.2">
      <c r="A222" s="53" t="s">
        <v>304</v>
      </c>
      <c r="B222" s="52">
        <v>163.69999999999999</v>
      </c>
      <c r="C222" s="98">
        <v>19</v>
      </c>
      <c r="D222" s="16">
        <v>3110.2999999999997</v>
      </c>
      <c r="E222" t="str">
        <f t="shared" si="6"/>
        <v>アスパラギンサンカリウム注１０ＭＥＱキット「テル</v>
      </c>
      <c r="F222" t="str">
        <f t="shared" si="7"/>
        <v>アスパラギ</v>
      </c>
    </row>
    <row r="223" spans="1:6" x14ac:dyDescent="0.2">
      <c r="A223" s="31" t="s">
        <v>594</v>
      </c>
      <c r="B223" s="18">
        <v>33.5</v>
      </c>
      <c r="C223" s="97">
        <v>93</v>
      </c>
      <c r="D223" s="16">
        <v>3115.5</v>
      </c>
      <c r="E223" t="str">
        <f t="shared" si="6"/>
        <v>ベプリコール錠</v>
      </c>
      <c r="F223" t="str">
        <f t="shared" si="7"/>
        <v>ベプリコー</v>
      </c>
    </row>
    <row r="224" spans="1:6" x14ac:dyDescent="0.2">
      <c r="A224" s="17" t="s">
        <v>62</v>
      </c>
      <c r="B224" s="18">
        <v>24.17</v>
      </c>
      <c r="C224" s="101">
        <v>129</v>
      </c>
      <c r="D224" s="55">
        <v>3117.9300000000003</v>
      </c>
      <c r="E224" t="str">
        <f t="shared" si="6"/>
        <v>クラシエ黄連解毒湯　ＫＢ－１５　３．０ｇ／包</v>
      </c>
      <c r="F224" t="str">
        <f t="shared" si="7"/>
        <v>クラシエ黄</v>
      </c>
    </row>
    <row r="225" spans="1:6" x14ac:dyDescent="0.2">
      <c r="A225" s="53" t="s">
        <v>862</v>
      </c>
      <c r="B225" s="52">
        <v>111.8</v>
      </c>
      <c r="C225" s="97">
        <v>28</v>
      </c>
      <c r="D225" s="16">
        <v>3130.4</v>
      </c>
      <c r="E225" t="str">
        <f t="shared" si="6"/>
        <v>レペタン坐０．２ｍｇ</v>
      </c>
      <c r="F225" t="str">
        <f t="shared" si="7"/>
        <v>レペタン坐</v>
      </c>
    </row>
    <row r="226" spans="1:6" x14ac:dyDescent="0.2">
      <c r="A226" s="53" t="s">
        <v>369</v>
      </c>
      <c r="B226" s="52">
        <v>210</v>
      </c>
      <c r="C226" s="98">
        <v>15</v>
      </c>
      <c r="D226" s="16">
        <v>3150</v>
      </c>
      <c r="E226" t="str">
        <f t="shared" si="6"/>
        <v>大塚生食注　細口開栓</v>
      </c>
      <c r="F226" t="str">
        <f t="shared" si="7"/>
        <v>大塚生食注</v>
      </c>
    </row>
    <row r="227" spans="1:6" x14ac:dyDescent="0.2">
      <c r="A227" s="17" t="s">
        <v>285</v>
      </c>
      <c r="B227" s="18">
        <v>38.200000000000003</v>
      </c>
      <c r="C227" s="97">
        <v>83</v>
      </c>
      <c r="D227" s="16">
        <v>3170.6000000000004</v>
      </c>
      <c r="E227" t="str">
        <f t="shared" si="6"/>
        <v>フランドル　テ－プ　４０ＭＧ</v>
      </c>
      <c r="F227" t="str">
        <f t="shared" si="7"/>
        <v>フランドル</v>
      </c>
    </row>
    <row r="228" spans="1:6" x14ac:dyDescent="0.2">
      <c r="A228" s="17" t="s">
        <v>586</v>
      </c>
      <c r="B228" s="18">
        <v>10.61</v>
      </c>
      <c r="C228" s="101">
        <v>300</v>
      </c>
      <c r="D228" s="16">
        <v>3183</v>
      </c>
      <c r="E228" t="str">
        <f t="shared" si="6"/>
        <v>フェロジピン錠（５）</v>
      </c>
      <c r="F228" t="str">
        <f t="shared" si="7"/>
        <v>フェロジピ</v>
      </c>
    </row>
    <row r="229" spans="1:6" x14ac:dyDescent="0.2">
      <c r="A229" s="53" t="s">
        <v>334</v>
      </c>
      <c r="B229" s="52">
        <v>107</v>
      </c>
      <c r="C229" s="98">
        <v>30</v>
      </c>
      <c r="D229" s="16">
        <v>3210</v>
      </c>
      <c r="E229" t="str">
        <f t="shared" si="6"/>
        <v>ソルデム　１輸液２００</v>
      </c>
      <c r="F229" t="str">
        <f t="shared" si="7"/>
        <v>ソルデム　</v>
      </c>
    </row>
    <row r="230" spans="1:6" x14ac:dyDescent="0.2">
      <c r="A230" s="17" t="s">
        <v>475</v>
      </c>
      <c r="B230" s="84">
        <v>5.79</v>
      </c>
      <c r="C230" s="98">
        <v>557</v>
      </c>
      <c r="D230" s="55">
        <v>3225.03</v>
      </c>
      <c r="E230" t="str">
        <f t="shared" si="6"/>
        <v>アスパラカリウム散５０％</v>
      </c>
      <c r="F230" t="str">
        <f t="shared" si="7"/>
        <v>アスパラカ</v>
      </c>
    </row>
    <row r="231" spans="1:6" x14ac:dyDescent="0.2">
      <c r="A231" s="17" t="s">
        <v>730</v>
      </c>
      <c r="B231" s="74">
        <v>26.9</v>
      </c>
      <c r="C231" s="101">
        <v>120</v>
      </c>
      <c r="D231" s="55">
        <v>3228</v>
      </c>
      <c r="E231" t="str">
        <f t="shared" si="6"/>
        <v>クラシエ猪苓湯ＥＫ－４０　２．０ｇ／包</v>
      </c>
      <c r="F231" t="str">
        <f t="shared" si="7"/>
        <v>クラシエ猪</v>
      </c>
    </row>
    <row r="232" spans="1:6" x14ac:dyDescent="0.2">
      <c r="A232" s="53" t="s">
        <v>557</v>
      </c>
      <c r="B232" s="18">
        <v>4.84</v>
      </c>
      <c r="C232" s="97">
        <v>672.72727272727263</v>
      </c>
      <c r="D232" s="16">
        <v>3255.9999999999995</v>
      </c>
      <c r="E232" t="str">
        <f t="shared" si="6"/>
        <v>チザニジン錠１ｍｇ</v>
      </c>
      <c r="F232" t="str">
        <f t="shared" si="7"/>
        <v>チザニジン</v>
      </c>
    </row>
    <row r="233" spans="1:6" x14ac:dyDescent="0.2">
      <c r="A233" s="15" t="s">
        <v>403</v>
      </c>
      <c r="B233" s="18">
        <v>26.46</v>
      </c>
      <c r="C233" s="97">
        <v>124</v>
      </c>
      <c r="D233" s="16">
        <v>3281.04</v>
      </c>
      <c r="E233" t="str">
        <f t="shared" si="6"/>
        <v>アザルフィジンＥＮ（５００）</v>
      </c>
      <c r="F233" t="str">
        <f t="shared" si="7"/>
        <v>アザルフィ</v>
      </c>
    </row>
    <row r="234" spans="1:6" x14ac:dyDescent="0.2">
      <c r="A234" s="15" t="s">
        <v>530</v>
      </c>
      <c r="B234" s="18">
        <v>49.09</v>
      </c>
      <c r="C234" s="97">
        <v>67</v>
      </c>
      <c r="D234" s="16">
        <v>3289.03</v>
      </c>
      <c r="E234" t="str">
        <f t="shared" si="6"/>
        <v>アジルバ（１０）</v>
      </c>
      <c r="F234" t="str">
        <f t="shared" si="7"/>
        <v>アジルバ（</v>
      </c>
    </row>
    <row r="235" spans="1:6" x14ac:dyDescent="0.15">
      <c r="A235" s="57" t="s">
        <v>776</v>
      </c>
      <c r="B235" s="58">
        <v>16.54</v>
      </c>
      <c r="C235" s="99">
        <v>200</v>
      </c>
      <c r="D235" s="16">
        <v>3308</v>
      </c>
      <c r="E235" t="str">
        <f t="shared" si="6"/>
        <v>エバスチンＯＤ錠５ｍｇ</v>
      </c>
      <c r="F235" t="str">
        <f t="shared" si="7"/>
        <v>エバスチン</v>
      </c>
    </row>
    <row r="236" spans="1:6" x14ac:dyDescent="0.2">
      <c r="A236" s="31" t="s">
        <v>865</v>
      </c>
      <c r="B236" s="18">
        <v>21.72</v>
      </c>
      <c r="C236" s="97">
        <v>153</v>
      </c>
      <c r="D236" s="16">
        <v>3323.16</v>
      </c>
      <c r="E236" t="str">
        <f t="shared" si="6"/>
        <v>ホーリンＶ膣用錠１ｍｇ</v>
      </c>
      <c r="F236" t="str">
        <f t="shared" si="7"/>
        <v>ホーリンＶ</v>
      </c>
    </row>
    <row r="237" spans="1:6" x14ac:dyDescent="0.2">
      <c r="A237" s="53" t="s">
        <v>497</v>
      </c>
      <c r="B237" s="18">
        <v>5.36</v>
      </c>
      <c r="C237" s="97">
        <v>622.22222222222217</v>
      </c>
      <c r="D237" s="16">
        <v>3335.1111111111109</v>
      </c>
      <c r="E237" t="str">
        <f t="shared" si="6"/>
        <v>硝酸イソソルビド徐放カプセル</v>
      </c>
      <c r="F237" t="str">
        <f t="shared" si="7"/>
        <v>硝酸イソソ</v>
      </c>
    </row>
    <row r="238" spans="1:6" x14ac:dyDescent="0.2">
      <c r="A238" s="53" t="s">
        <v>303</v>
      </c>
      <c r="B238" s="52">
        <v>303.75</v>
      </c>
      <c r="C238" s="98">
        <v>11</v>
      </c>
      <c r="D238" s="16">
        <v>3341.25</v>
      </c>
      <c r="E238" t="str">
        <f t="shared" si="6"/>
        <v>アクチット輸液</v>
      </c>
      <c r="F238" t="str">
        <f t="shared" si="7"/>
        <v>アクチット</v>
      </c>
    </row>
    <row r="239" spans="1:6" x14ac:dyDescent="0.2">
      <c r="A239" s="53" t="s">
        <v>305</v>
      </c>
      <c r="B239" s="52">
        <v>80</v>
      </c>
      <c r="C239" s="98">
        <v>42</v>
      </c>
      <c r="D239" s="16">
        <v>3360</v>
      </c>
      <c r="E239" t="str">
        <f t="shared" si="6"/>
        <v>アドナ注（静脈用）５０ｍｇ</v>
      </c>
      <c r="F239" t="str">
        <f t="shared" si="7"/>
        <v>アドナ注（</v>
      </c>
    </row>
    <row r="240" spans="1:6" x14ac:dyDescent="0.2">
      <c r="A240" s="53" t="s">
        <v>376</v>
      </c>
      <c r="B240" s="52">
        <v>28.5</v>
      </c>
      <c r="C240" s="98">
        <v>118</v>
      </c>
      <c r="D240" s="16">
        <v>3363</v>
      </c>
      <c r="E240" t="str">
        <f t="shared" si="6"/>
        <v>カロナール坐剤２００</v>
      </c>
      <c r="F240" t="str">
        <f t="shared" si="7"/>
        <v>カロナール</v>
      </c>
    </row>
    <row r="241" spans="1:6" x14ac:dyDescent="0.2">
      <c r="A241" s="20" t="s">
        <v>478</v>
      </c>
      <c r="B241" s="22">
        <v>32.86</v>
      </c>
      <c r="C241" s="101">
        <v>103</v>
      </c>
      <c r="D241" s="55">
        <v>3384.58</v>
      </c>
      <c r="E241" t="str">
        <f t="shared" si="6"/>
        <v>０１６ツムラ　ハンゲコウボクトウ２．５ｇ／包</v>
      </c>
      <c r="F241" t="str">
        <f t="shared" si="7"/>
        <v>０１６ツム</v>
      </c>
    </row>
    <row r="242" spans="1:6" x14ac:dyDescent="0.15">
      <c r="A242" s="20" t="s">
        <v>279</v>
      </c>
      <c r="B242" s="22">
        <v>63.88</v>
      </c>
      <c r="C242" s="97">
        <v>53</v>
      </c>
      <c r="D242" s="16">
        <v>3385.6400000000003</v>
      </c>
      <c r="E242" t="str">
        <f t="shared" si="6"/>
        <v>クロマイ膣錠１００ｍｇ　ＳＰ　１００錠</v>
      </c>
      <c r="F242" t="str">
        <f t="shared" si="7"/>
        <v>クロマイ膣</v>
      </c>
    </row>
    <row r="243" spans="1:6" x14ac:dyDescent="0.2">
      <c r="A243" s="53" t="s">
        <v>716</v>
      </c>
      <c r="B243" s="52">
        <v>12.59</v>
      </c>
      <c r="C243" s="97">
        <v>270</v>
      </c>
      <c r="D243" s="16">
        <v>3399.3</v>
      </c>
      <c r="E243" t="str">
        <f t="shared" si="6"/>
        <v>アルダクトンＡ錠２５ｍｇ</v>
      </c>
      <c r="F243" t="str">
        <f t="shared" si="7"/>
        <v>アルダクト</v>
      </c>
    </row>
    <row r="244" spans="1:6" x14ac:dyDescent="0.2">
      <c r="A244" s="17" t="s">
        <v>626</v>
      </c>
      <c r="B244" s="18">
        <v>310</v>
      </c>
      <c r="C244" s="97">
        <v>11</v>
      </c>
      <c r="D244" s="16">
        <v>3410</v>
      </c>
      <c r="E244" t="str">
        <f t="shared" si="6"/>
        <v>ブロナック点眼０．１％</v>
      </c>
      <c r="F244" t="str">
        <f t="shared" si="7"/>
        <v>ブロナック</v>
      </c>
    </row>
    <row r="245" spans="1:6" x14ac:dyDescent="0.2">
      <c r="A245" s="53" t="s">
        <v>803</v>
      </c>
      <c r="B245" s="52">
        <v>1717</v>
      </c>
      <c r="C245" s="98">
        <v>2</v>
      </c>
      <c r="D245" s="16">
        <v>3434</v>
      </c>
      <c r="E245" t="str">
        <f t="shared" si="6"/>
        <v>ダルベポエチンアルファ３０μシリンジ</v>
      </c>
      <c r="F245" t="str">
        <f t="shared" si="7"/>
        <v>ダルベポエ</v>
      </c>
    </row>
    <row r="246" spans="1:6" x14ac:dyDescent="0.2">
      <c r="A246" s="17" t="s">
        <v>519</v>
      </c>
      <c r="B246" s="18">
        <v>69.069999999999993</v>
      </c>
      <c r="C246" s="97">
        <v>50</v>
      </c>
      <c r="D246" s="16">
        <v>3453.4999999999995</v>
      </c>
      <c r="E246" t="str">
        <f t="shared" si="6"/>
        <v>シクロスポリンカプセル５０ｍｇ</v>
      </c>
      <c r="F246" t="str">
        <f t="shared" si="7"/>
        <v>シクロスポ</v>
      </c>
    </row>
    <row r="247" spans="1:6" x14ac:dyDescent="0.2">
      <c r="A247" s="53" t="s">
        <v>320</v>
      </c>
      <c r="B247" s="52">
        <v>247.2</v>
      </c>
      <c r="C247" s="98">
        <v>14</v>
      </c>
      <c r="D247" s="16">
        <v>3460.7999999999997</v>
      </c>
      <c r="E247" t="str">
        <f t="shared" si="6"/>
        <v>クリンダマイシンリン酸エステル注射液３００</v>
      </c>
      <c r="F247" t="str">
        <f t="shared" si="7"/>
        <v>クリンダマ</v>
      </c>
    </row>
    <row r="248" spans="1:6" x14ac:dyDescent="0.15">
      <c r="A248" s="57" t="s">
        <v>476</v>
      </c>
      <c r="B248" s="58">
        <v>50.03</v>
      </c>
      <c r="C248" s="97">
        <v>70</v>
      </c>
      <c r="D248" s="16">
        <v>3502.1</v>
      </c>
      <c r="E248" t="str">
        <f t="shared" si="6"/>
        <v>カリメートドライシロップ</v>
      </c>
      <c r="F248" t="str">
        <f t="shared" si="7"/>
        <v>カリメート</v>
      </c>
    </row>
    <row r="249" spans="1:6" x14ac:dyDescent="0.2">
      <c r="A249" s="53" t="s">
        <v>485</v>
      </c>
      <c r="B249" s="18">
        <v>8.64</v>
      </c>
      <c r="C249" s="97">
        <v>410</v>
      </c>
      <c r="D249" s="16">
        <v>3542.4</v>
      </c>
      <c r="E249" t="str">
        <f t="shared" si="6"/>
        <v>メキシチール塩酸塩カプセル５０</v>
      </c>
      <c r="F249" t="str">
        <f t="shared" si="7"/>
        <v>メキシチー</v>
      </c>
    </row>
    <row r="250" spans="1:6" x14ac:dyDescent="0.2">
      <c r="A250" s="20" t="s">
        <v>50</v>
      </c>
      <c r="B250" s="22">
        <v>13.18</v>
      </c>
      <c r="C250" s="101">
        <v>271</v>
      </c>
      <c r="D250" s="55">
        <v>3571.7799999999997</v>
      </c>
      <c r="E250" t="str">
        <f t="shared" si="6"/>
        <v>リスペリドン内用液分包０．５ｍｇ／０．５ｍｌ</v>
      </c>
      <c r="F250" t="str">
        <f t="shared" si="7"/>
        <v>リスペリド</v>
      </c>
    </row>
    <row r="251" spans="1:6" x14ac:dyDescent="0.15">
      <c r="A251" s="20" t="s">
        <v>300</v>
      </c>
      <c r="B251" s="22">
        <v>81.3</v>
      </c>
      <c r="C251" s="97">
        <v>44</v>
      </c>
      <c r="D251" s="16">
        <v>3577.2</v>
      </c>
      <c r="E251" t="str">
        <f t="shared" si="6"/>
        <v>フルオロメトロン０．１％点眼液Ｔ　５ｍＬＸ５</v>
      </c>
      <c r="F251" t="str">
        <f t="shared" si="7"/>
        <v>フルオロメ</v>
      </c>
    </row>
    <row r="252" spans="1:6" x14ac:dyDescent="0.2">
      <c r="A252" s="53" t="s">
        <v>373</v>
      </c>
      <c r="B252" s="52">
        <v>55.2</v>
      </c>
      <c r="C252" s="98">
        <v>65</v>
      </c>
      <c r="D252" s="16">
        <v>3588</v>
      </c>
      <c r="E252" t="str">
        <f t="shared" si="6"/>
        <v>注射用水ＰＬ「フソー」２０ｍｌ</v>
      </c>
      <c r="F252" t="str">
        <f t="shared" si="7"/>
        <v>注射用水Ｐ</v>
      </c>
    </row>
    <row r="253" spans="1:6" x14ac:dyDescent="0.2">
      <c r="A253" s="30" t="s">
        <v>415</v>
      </c>
      <c r="B253" s="18">
        <v>9.8000000000000007</v>
      </c>
      <c r="C253" s="97">
        <v>367</v>
      </c>
      <c r="D253" s="16">
        <v>3596.6000000000004</v>
      </c>
      <c r="E253" t="str">
        <f t="shared" si="6"/>
        <v>リオレサール（５）</v>
      </c>
      <c r="F253" t="str">
        <f t="shared" si="7"/>
        <v>リオレサー</v>
      </c>
    </row>
    <row r="254" spans="1:6" x14ac:dyDescent="0.2">
      <c r="A254" s="53" t="s">
        <v>796</v>
      </c>
      <c r="B254" s="52">
        <v>1800.6</v>
      </c>
      <c r="C254" s="98">
        <v>2</v>
      </c>
      <c r="D254" s="16">
        <v>3601.2</v>
      </c>
      <c r="E254" t="str">
        <f t="shared" si="6"/>
        <v>アネキセート注射液０．５ＭＧ</v>
      </c>
      <c r="F254" t="str">
        <f t="shared" si="7"/>
        <v>アネキセー</v>
      </c>
    </row>
    <row r="255" spans="1:6" x14ac:dyDescent="0.2">
      <c r="A255" s="17" t="s">
        <v>123</v>
      </c>
      <c r="B255" s="27">
        <v>8.99</v>
      </c>
      <c r="C255" s="99">
        <v>400.69230769230768</v>
      </c>
      <c r="D255" s="16">
        <v>3602.2238461538459</v>
      </c>
      <c r="E255" t="str">
        <f t="shared" si="6"/>
        <v>ジスチグミン錠５㎎　　　　　　【毒薬】</v>
      </c>
      <c r="F255" t="str">
        <f t="shared" si="7"/>
        <v>ジスチグミ</v>
      </c>
    </row>
    <row r="256" spans="1:6" x14ac:dyDescent="0.2">
      <c r="A256" s="53" t="s">
        <v>352</v>
      </c>
      <c r="B256" s="52">
        <v>133.6</v>
      </c>
      <c r="C256" s="98">
        <v>27</v>
      </c>
      <c r="D256" s="16">
        <v>3607.2</v>
      </c>
      <c r="E256" t="str">
        <f t="shared" si="6"/>
        <v>ブドウ糖注５％ＰＬ「フソー」１００ｍｌ</v>
      </c>
      <c r="F256" t="str">
        <f t="shared" si="7"/>
        <v>ブドウ糖注</v>
      </c>
    </row>
    <row r="257" spans="1:6" x14ac:dyDescent="0.15">
      <c r="A257" s="57" t="s">
        <v>236</v>
      </c>
      <c r="B257" s="58">
        <v>9.5500000000000007</v>
      </c>
      <c r="C257" s="98">
        <v>379</v>
      </c>
      <c r="D257" s="55">
        <v>3619.4500000000003</v>
      </c>
      <c r="E257" t="str">
        <f t="shared" si="6"/>
        <v>レスプレン錠　２０ｍｇ　</v>
      </c>
      <c r="F257" t="str">
        <f t="shared" si="7"/>
        <v>レスプレン</v>
      </c>
    </row>
    <row r="258" spans="1:6" x14ac:dyDescent="0.2">
      <c r="A258" s="53" t="s">
        <v>561</v>
      </c>
      <c r="B258" s="18">
        <v>31.6</v>
      </c>
      <c r="C258" s="97">
        <v>115</v>
      </c>
      <c r="D258" s="16">
        <v>3634</v>
      </c>
      <c r="E258" t="str">
        <f t="shared" si="6"/>
        <v>ドプスＯＤ１００ｍｇ</v>
      </c>
      <c r="F258" t="str">
        <f t="shared" si="7"/>
        <v>ドプスＯＤ</v>
      </c>
    </row>
    <row r="259" spans="1:6" x14ac:dyDescent="0.15">
      <c r="A259" s="20" t="s">
        <v>18</v>
      </c>
      <c r="B259" s="85">
        <v>10.79</v>
      </c>
      <c r="C259" s="98">
        <v>339</v>
      </c>
      <c r="D259" s="55">
        <v>3657.8099999999995</v>
      </c>
      <c r="E259" t="str">
        <f t="shared" si="6"/>
        <v>アレビアチン散１０％　</v>
      </c>
      <c r="F259" t="str">
        <f t="shared" si="7"/>
        <v>アレビアチ</v>
      </c>
    </row>
    <row r="260" spans="1:6" x14ac:dyDescent="0.2">
      <c r="A260" s="20" t="s">
        <v>44</v>
      </c>
      <c r="B260" s="22">
        <v>5.6</v>
      </c>
      <c r="C260" s="101">
        <v>654</v>
      </c>
      <c r="D260" s="55">
        <v>3662.3999999999996</v>
      </c>
      <c r="E260" t="str">
        <f t="shared" si="6"/>
        <v>トーワチーム配合顆粒（分包品１ｇ）</v>
      </c>
      <c r="F260" t="str">
        <f t="shared" si="7"/>
        <v>トーワチー</v>
      </c>
    </row>
    <row r="261" spans="1:6" x14ac:dyDescent="0.2">
      <c r="A261" s="53" t="s">
        <v>852</v>
      </c>
      <c r="B261" s="52">
        <v>5.44</v>
      </c>
      <c r="C261" s="101">
        <v>674</v>
      </c>
      <c r="D261" s="16">
        <v>3666.5600000000004</v>
      </c>
      <c r="E261" t="str">
        <f t="shared" ref="E261:E324" si="8">DBCS(A261)</f>
        <v>フェロミア錠５０ｍｇ</v>
      </c>
      <c r="F261" t="str">
        <f t="shared" ref="F261:F324" si="9">LEFT(E261,5)</f>
        <v>フェロミア</v>
      </c>
    </row>
    <row r="262" spans="1:6" x14ac:dyDescent="0.2">
      <c r="A262" s="20" t="s">
        <v>871</v>
      </c>
      <c r="B262" s="22">
        <v>16.68</v>
      </c>
      <c r="C262" s="101">
        <v>221</v>
      </c>
      <c r="D262" s="55">
        <v>3686.2799999999997</v>
      </c>
      <c r="E262" t="str">
        <f t="shared" si="8"/>
        <v>リスパダール内用液分包０．５ｍｇ／０．５ｍｌ</v>
      </c>
      <c r="F262" t="str">
        <f t="shared" si="9"/>
        <v>リスパダー</v>
      </c>
    </row>
    <row r="263" spans="1:6" x14ac:dyDescent="0.2">
      <c r="A263" s="53" t="s">
        <v>691</v>
      </c>
      <c r="B263" s="86">
        <v>26.63</v>
      </c>
      <c r="C263" s="98">
        <v>139</v>
      </c>
      <c r="D263" s="55">
        <v>3701.5699999999997</v>
      </c>
      <c r="E263" t="str">
        <f t="shared" si="8"/>
        <v>レボフロキサシン細粒１０％「ＤＳＥＰ］</v>
      </c>
      <c r="F263" t="str">
        <f t="shared" si="9"/>
        <v>レボフロキ</v>
      </c>
    </row>
    <row r="264" spans="1:6" x14ac:dyDescent="0.15">
      <c r="A264" s="57" t="s">
        <v>583</v>
      </c>
      <c r="B264" s="22">
        <v>8.08</v>
      </c>
      <c r="C264" s="97">
        <v>460</v>
      </c>
      <c r="D264" s="16">
        <v>3716.8</v>
      </c>
      <c r="E264" t="str">
        <f t="shared" si="8"/>
        <v>ヒルナミン錠５０ｍｇ</v>
      </c>
      <c r="F264" t="str">
        <f t="shared" si="9"/>
        <v>ヒルナミン</v>
      </c>
    </row>
    <row r="265" spans="1:6" x14ac:dyDescent="0.2">
      <c r="A265" s="53" t="s">
        <v>355</v>
      </c>
      <c r="B265" s="69">
        <v>48.14</v>
      </c>
      <c r="C265" s="98">
        <v>78</v>
      </c>
      <c r="D265" s="16">
        <v>3754.92</v>
      </c>
      <c r="E265" t="str">
        <f t="shared" si="8"/>
        <v>フロセミド注２０㎎「トーワ」</v>
      </c>
      <c r="F265" t="str">
        <f t="shared" si="9"/>
        <v>フロセミド</v>
      </c>
    </row>
    <row r="266" spans="1:6" x14ac:dyDescent="0.15">
      <c r="A266" s="57" t="s">
        <v>602</v>
      </c>
      <c r="B266" s="58">
        <v>10.78</v>
      </c>
      <c r="C266" s="98">
        <v>350</v>
      </c>
      <c r="D266" s="55">
        <v>3773</v>
      </c>
      <c r="E266" t="str">
        <f t="shared" si="8"/>
        <v>ラモトリギン錠２５ｍｇ</v>
      </c>
      <c r="F266" t="str">
        <f t="shared" si="9"/>
        <v>ラモトリギ</v>
      </c>
    </row>
    <row r="267" spans="1:6" x14ac:dyDescent="0.2">
      <c r="A267" s="53" t="s">
        <v>212</v>
      </c>
      <c r="B267" s="18">
        <v>7.03</v>
      </c>
      <c r="C267" s="97">
        <v>536.84210526315792</v>
      </c>
      <c r="D267" s="16">
        <v>3774.0000000000005</v>
      </c>
      <c r="E267" t="str">
        <f t="shared" si="8"/>
        <v>ヘルベッサー錠　３０</v>
      </c>
      <c r="F267" t="str">
        <f t="shared" si="9"/>
        <v>ヘルベッサ</v>
      </c>
    </row>
    <row r="268" spans="1:6" x14ac:dyDescent="0.2">
      <c r="A268" s="17" t="s">
        <v>641</v>
      </c>
      <c r="B268" s="18">
        <v>1098</v>
      </c>
      <c r="C268" s="97">
        <v>3.5</v>
      </c>
      <c r="D268" s="16">
        <v>3843</v>
      </c>
      <c r="E268" t="str">
        <f t="shared" si="8"/>
        <v>ボアラ軟膏</v>
      </c>
      <c r="F268" t="str">
        <f t="shared" si="9"/>
        <v>ボアラ軟膏</v>
      </c>
    </row>
    <row r="269" spans="1:6" x14ac:dyDescent="0.15">
      <c r="A269" s="20" t="s">
        <v>245</v>
      </c>
      <c r="B269" s="22">
        <v>4.3099999999999996</v>
      </c>
      <c r="C269" s="98">
        <v>900</v>
      </c>
      <c r="D269" s="55">
        <v>3878.9999999999995</v>
      </c>
      <c r="E269" t="str">
        <f t="shared" si="8"/>
        <v>ロラゼパム錠０．５ｍｇ</v>
      </c>
      <c r="F269" t="str">
        <f t="shared" si="9"/>
        <v>ロラゼパム</v>
      </c>
    </row>
    <row r="270" spans="1:6" x14ac:dyDescent="0.2">
      <c r="A270" s="53" t="s">
        <v>638</v>
      </c>
      <c r="B270" s="18">
        <v>195</v>
      </c>
      <c r="C270" s="97">
        <v>20</v>
      </c>
      <c r="D270" s="16">
        <v>3900</v>
      </c>
      <c r="E270" t="str">
        <f t="shared" si="8"/>
        <v>デキサメタゾン口腔用軟膏</v>
      </c>
      <c r="F270" t="str">
        <f t="shared" si="9"/>
        <v>デキサメタ</v>
      </c>
    </row>
    <row r="271" spans="1:6" x14ac:dyDescent="0.2">
      <c r="A271" s="53" t="s">
        <v>439</v>
      </c>
      <c r="B271" s="52">
        <v>305.10000000000002</v>
      </c>
      <c r="C271" s="98">
        <v>13</v>
      </c>
      <c r="D271" s="16">
        <v>3966.3</v>
      </c>
      <c r="E271" t="str">
        <f t="shared" si="8"/>
        <v>ドパストン静注（５０）</v>
      </c>
      <c r="F271" t="str">
        <f t="shared" si="9"/>
        <v>ドパストン</v>
      </c>
    </row>
    <row r="272" spans="1:6" x14ac:dyDescent="0.15">
      <c r="A272" s="20" t="s">
        <v>135</v>
      </c>
      <c r="B272" s="22">
        <v>5.19</v>
      </c>
      <c r="C272" s="97">
        <v>775</v>
      </c>
      <c r="D272" s="16">
        <v>4022.2500000000005</v>
      </c>
      <c r="E272" t="str">
        <f t="shared" si="8"/>
        <v>スルピリド錠１００ｍｇ「アメル」　</v>
      </c>
      <c r="F272" t="str">
        <f t="shared" si="9"/>
        <v>スルピリド</v>
      </c>
    </row>
    <row r="273" spans="1:6" x14ac:dyDescent="0.2">
      <c r="A273" s="53" t="s">
        <v>309</v>
      </c>
      <c r="B273" s="52">
        <v>4032</v>
      </c>
      <c r="C273" s="98">
        <v>1</v>
      </c>
      <c r="D273" s="16">
        <v>4032</v>
      </c>
      <c r="E273" t="str">
        <f t="shared" si="8"/>
        <v>アルブミナ－　２５％静注１２．５Ｇ／５０ＭＬ</v>
      </c>
      <c r="F273" t="str">
        <f t="shared" si="9"/>
        <v>アルブミナ</v>
      </c>
    </row>
    <row r="274" spans="1:6" x14ac:dyDescent="0.2">
      <c r="A274" s="17" t="s">
        <v>792</v>
      </c>
      <c r="B274" s="18">
        <v>64.099999999999994</v>
      </c>
      <c r="C274" s="101">
        <v>63</v>
      </c>
      <c r="D274" s="55">
        <v>4038.2999999999997</v>
      </c>
      <c r="E274" t="str">
        <f t="shared" si="8"/>
        <v>ポリスチレンスルホン酸ゼリー</v>
      </c>
      <c r="F274" t="str">
        <f t="shared" si="9"/>
        <v>ポリスチレ</v>
      </c>
    </row>
    <row r="275" spans="1:6" x14ac:dyDescent="0.15">
      <c r="A275" s="57" t="s">
        <v>690</v>
      </c>
      <c r="B275" s="85">
        <v>12.73</v>
      </c>
      <c r="C275" s="98">
        <v>319</v>
      </c>
      <c r="D275" s="55">
        <v>4060.8700000000003</v>
      </c>
      <c r="E275" t="str">
        <f t="shared" si="8"/>
        <v>レボトミン顆粒　１０％</v>
      </c>
      <c r="F275" t="str">
        <f t="shared" si="9"/>
        <v>レボトミン</v>
      </c>
    </row>
    <row r="276" spans="1:6" x14ac:dyDescent="0.15">
      <c r="A276" s="20" t="s">
        <v>746</v>
      </c>
      <c r="B276" s="22">
        <v>15.39</v>
      </c>
      <c r="C276" s="97">
        <v>264</v>
      </c>
      <c r="D276" s="16">
        <v>4062.96</v>
      </c>
      <c r="E276" t="str">
        <f t="shared" si="8"/>
        <v>ムコスタ点眼液</v>
      </c>
      <c r="F276" t="str">
        <f t="shared" si="9"/>
        <v>ムコスタ点</v>
      </c>
    </row>
    <row r="277" spans="1:6" x14ac:dyDescent="0.2">
      <c r="A277" s="17" t="s">
        <v>69</v>
      </c>
      <c r="B277" s="18">
        <v>5.44</v>
      </c>
      <c r="C277" s="97">
        <v>752.1052631578948</v>
      </c>
      <c r="D277" s="16">
        <v>4091.4526315789481</v>
      </c>
      <c r="E277" t="str">
        <f t="shared" si="8"/>
        <v>アタラックス錠２５ＭＧ</v>
      </c>
      <c r="F277" t="str">
        <f t="shared" si="9"/>
        <v>アタラック</v>
      </c>
    </row>
    <row r="278" spans="1:6" x14ac:dyDescent="0.2">
      <c r="A278" s="53" t="s">
        <v>338</v>
      </c>
      <c r="B278" s="52">
        <v>57.5</v>
      </c>
      <c r="C278" s="98">
        <v>72</v>
      </c>
      <c r="D278" s="16">
        <v>4140</v>
      </c>
      <c r="E278" t="str">
        <f t="shared" si="8"/>
        <v>トランサミン注　５％</v>
      </c>
      <c r="F278" t="str">
        <f t="shared" si="9"/>
        <v>トランサミ</v>
      </c>
    </row>
    <row r="279" spans="1:6" x14ac:dyDescent="0.15">
      <c r="A279" s="57" t="s">
        <v>564</v>
      </c>
      <c r="B279" s="22">
        <v>7.9</v>
      </c>
      <c r="C279" s="97">
        <v>525</v>
      </c>
      <c r="D279" s="16">
        <v>4147.5</v>
      </c>
      <c r="E279" t="str">
        <f t="shared" si="8"/>
        <v>トリヘキシフェニジル塩酸塩錠２ｍｇ</v>
      </c>
      <c r="F279" t="str">
        <f t="shared" si="9"/>
        <v>トリヘキシ</v>
      </c>
    </row>
    <row r="280" spans="1:6" x14ac:dyDescent="0.2">
      <c r="A280" s="53" t="s">
        <v>219</v>
      </c>
      <c r="B280" s="52">
        <v>8.4700000000000006</v>
      </c>
      <c r="C280" s="98">
        <v>496</v>
      </c>
      <c r="D280" s="55">
        <v>4201.12</v>
      </c>
      <c r="E280" t="str">
        <f t="shared" si="8"/>
        <v>マプロチリン錠２５ＭＧ</v>
      </c>
      <c r="F280" t="str">
        <f t="shared" si="9"/>
        <v>マプロチリ</v>
      </c>
    </row>
    <row r="281" spans="1:6" x14ac:dyDescent="0.2">
      <c r="A281" s="17" t="s">
        <v>528</v>
      </c>
      <c r="B281" s="22">
        <v>4226</v>
      </c>
      <c r="C281" s="97">
        <v>1</v>
      </c>
      <c r="D281" s="16">
        <v>4226</v>
      </c>
      <c r="E281" t="str">
        <f t="shared" si="8"/>
        <v>レルベア１００エリプタ</v>
      </c>
      <c r="F281" t="str">
        <f t="shared" si="9"/>
        <v>レルベア１</v>
      </c>
    </row>
    <row r="282" spans="1:6" x14ac:dyDescent="0.15">
      <c r="A282" s="20" t="s">
        <v>220</v>
      </c>
      <c r="B282" s="22">
        <v>6.47</v>
      </c>
      <c r="C282" s="98">
        <v>654.78260869565224</v>
      </c>
      <c r="D282" s="55">
        <v>4236.4434782608696</v>
      </c>
      <c r="E282" t="str">
        <f t="shared" si="8"/>
        <v>ユベラＮソフトカプセル２００ｍｇ</v>
      </c>
      <c r="F282" t="str">
        <f t="shared" si="9"/>
        <v>ユベラＮソ</v>
      </c>
    </row>
    <row r="283" spans="1:6" x14ac:dyDescent="0.15">
      <c r="A283" s="20" t="s">
        <v>22</v>
      </c>
      <c r="B283" s="85">
        <v>6.5</v>
      </c>
      <c r="C283" s="98">
        <v>652</v>
      </c>
      <c r="D283" s="55">
        <v>4238</v>
      </c>
      <c r="E283" t="str">
        <f t="shared" si="8"/>
        <v>センブリ・重曹散「ヨシダ」</v>
      </c>
      <c r="F283" t="str">
        <f t="shared" si="9"/>
        <v>センブリ・</v>
      </c>
    </row>
    <row r="284" spans="1:6" x14ac:dyDescent="0.2">
      <c r="A284" s="17" t="s">
        <v>857</v>
      </c>
      <c r="B284" s="18">
        <v>70.959999999999994</v>
      </c>
      <c r="C284" s="97">
        <v>60</v>
      </c>
      <c r="D284" s="16">
        <v>4257.5999999999995</v>
      </c>
      <c r="E284" t="str">
        <f t="shared" si="8"/>
        <v>レボカルニチンＦＦ錠２５０ｍｇ</v>
      </c>
      <c r="F284" t="str">
        <f t="shared" si="9"/>
        <v>レボカルニ</v>
      </c>
    </row>
    <row r="285" spans="1:6" x14ac:dyDescent="0.15">
      <c r="A285" s="57" t="s">
        <v>809</v>
      </c>
      <c r="B285" s="58">
        <v>2129</v>
      </c>
      <c r="C285" s="98">
        <v>2</v>
      </c>
      <c r="D285" s="16">
        <v>4258</v>
      </c>
      <c r="E285" t="str">
        <f t="shared" si="8"/>
        <v>ヒューマリンＲ注Ｕ１００単位／ｍｌ　１０ｍｌ</v>
      </c>
      <c r="F285" t="str">
        <f t="shared" si="9"/>
        <v>ヒューマリ</v>
      </c>
    </row>
    <row r="286" spans="1:6" x14ac:dyDescent="0.2">
      <c r="A286" s="53" t="s">
        <v>661</v>
      </c>
      <c r="B286" s="52">
        <v>612</v>
      </c>
      <c r="C286" s="98">
        <v>7</v>
      </c>
      <c r="D286" s="16">
        <v>4284</v>
      </c>
      <c r="E286" t="str">
        <f t="shared" si="8"/>
        <v>レベチラセタム点滴静注</v>
      </c>
      <c r="F286" t="str">
        <f t="shared" si="9"/>
        <v>レベチラセ</v>
      </c>
    </row>
    <row r="287" spans="1:6" x14ac:dyDescent="0.15">
      <c r="A287" s="57" t="s">
        <v>81</v>
      </c>
      <c r="B287" s="22">
        <v>7.9</v>
      </c>
      <c r="C287" s="97">
        <v>543.33333333333326</v>
      </c>
      <c r="D287" s="16">
        <v>4292.333333333333</v>
      </c>
      <c r="E287" t="str">
        <f t="shared" si="8"/>
        <v>ウルソデオキシコール酸錠１００ｍｇ　</v>
      </c>
      <c r="F287" t="str">
        <f t="shared" si="9"/>
        <v>ウルソデオ</v>
      </c>
    </row>
    <row r="288" spans="1:6" x14ac:dyDescent="0.2">
      <c r="A288" s="20" t="s">
        <v>471</v>
      </c>
      <c r="B288" s="22">
        <v>5.62</v>
      </c>
      <c r="C288" s="101">
        <v>767</v>
      </c>
      <c r="D288" s="55">
        <v>4310.54</v>
      </c>
      <c r="E288" t="str">
        <f t="shared" si="8"/>
        <v>シーピー配合顆粒　１ｇＸ１００８包</v>
      </c>
      <c r="F288" t="str">
        <f t="shared" si="9"/>
        <v>シーピー配</v>
      </c>
    </row>
    <row r="289" spans="1:6" x14ac:dyDescent="0.15">
      <c r="A289" s="57" t="s">
        <v>651</v>
      </c>
      <c r="B289" s="58">
        <v>51.8</v>
      </c>
      <c r="C289" s="98">
        <v>84</v>
      </c>
      <c r="D289" s="16">
        <v>4351.2</v>
      </c>
      <c r="E289" t="str">
        <f t="shared" si="8"/>
        <v>塩酸メトクロプラミド注射注１０ｍｇ</v>
      </c>
      <c r="F289" t="str">
        <f t="shared" si="9"/>
        <v>塩酸メトク</v>
      </c>
    </row>
    <row r="290" spans="1:6" x14ac:dyDescent="0.15">
      <c r="A290" s="57" t="s">
        <v>182</v>
      </c>
      <c r="B290" s="22">
        <v>5.44</v>
      </c>
      <c r="C290" s="97">
        <v>800.33333333333326</v>
      </c>
      <c r="D290" s="16">
        <v>4353.8133333333335</v>
      </c>
      <c r="E290" t="str">
        <f t="shared" si="8"/>
        <v>ハロペリドール錠　３ｍｇ</v>
      </c>
      <c r="F290" t="str">
        <f t="shared" si="9"/>
        <v>ハロペリド</v>
      </c>
    </row>
    <row r="291" spans="1:6" x14ac:dyDescent="0.2">
      <c r="A291" s="53" t="s">
        <v>648</v>
      </c>
      <c r="B291" s="52">
        <v>69.239999999999995</v>
      </c>
      <c r="C291" s="97">
        <v>63</v>
      </c>
      <c r="D291" s="16">
        <v>4362.12</v>
      </c>
      <c r="E291" t="str">
        <f t="shared" si="8"/>
        <v>ポリスチレンスルホン酸ゼリー</v>
      </c>
      <c r="F291" t="str">
        <f t="shared" si="9"/>
        <v>ポリスチレ</v>
      </c>
    </row>
    <row r="292" spans="1:6" x14ac:dyDescent="0.2">
      <c r="A292" s="53" t="s">
        <v>829</v>
      </c>
      <c r="B292" s="18">
        <v>8.6999999999999993</v>
      </c>
      <c r="C292" s="101">
        <v>502.5</v>
      </c>
      <c r="D292" s="16">
        <v>4371.75</v>
      </c>
      <c r="E292" t="str">
        <f t="shared" si="8"/>
        <v>プレドニゾロン錠５「ＶＴＲＳ」</v>
      </c>
      <c r="F292" t="str">
        <f t="shared" si="9"/>
        <v>プレドニゾ</v>
      </c>
    </row>
    <row r="293" spans="1:6" x14ac:dyDescent="0.15">
      <c r="A293" s="57" t="s">
        <v>73</v>
      </c>
      <c r="B293" s="22">
        <v>4.96</v>
      </c>
      <c r="C293" s="97">
        <v>890.66666666666674</v>
      </c>
      <c r="D293" s="16">
        <v>4417.7066666666669</v>
      </c>
      <c r="E293" t="str">
        <f t="shared" si="8"/>
        <v>アマンタジン塩酸塩錠　５０</v>
      </c>
      <c r="F293" t="str">
        <f t="shared" si="9"/>
        <v>アマンタジ</v>
      </c>
    </row>
    <row r="294" spans="1:6" x14ac:dyDescent="0.2">
      <c r="A294" s="53" t="s">
        <v>344</v>
      </c>
      <c r="B294" s="52">
        <v>50.78</v>
      </c>
      <c r="C294" s="98">
        <v>87</v>
      </c>
      <c r="D294" s="16">
        <v>4417.8599999999997</v>
      </c>
      <c r="E294" t="str">
        <f t="shared" si="8"/>
        <v>パント－ル注射液５００ＭＧ</v>
      </c>
      <c r="F294" t="str">
        <f t="shared" si="9"/>
        <v>パント－ル</v>
      </c>
    </row>
    <row r="295" spans="1:6" x14ac:dyDescent="0.2">
      <c r="A295" s="53" t="s">
        <v>750</v>
      </c>
      <c r="B295" s="72">
        <v>1483</v>
      </c>
      <c r="C295" s="98">
        <v>3</v>
      </c>
      <c r="D295" s="16">
        <v>4449</v>
      </c>
      <c r="E295" t="str">
        <f t="shared" si="8"/>
        <v>アセレンド注</v>
      </c>
      <c r="F295" t="str">
        <f t="shared" si="9"/>
        <v>アセレンド</v>
      </c>
    </row>
    <row r="296" spans="1:6" x14ac:dyDescent="0.2">
      <c r="A296" s="17" t="s">
        <v>465</v>
      </c>
      <c r="B296" s="86">
        <v>34</v>
      </c>
      <c r="C296" s="98">
        <v>131</v>
      </c>
      <c r="D296" s="55">
        <v>4454</v>
      </c>
      <c r="E296" t="str">
        <f t="shared" si="8"/>
        <v>デパス細粒１％</v>
      </c>
      <c r="F296" t="str">
        <f t="shared" si="9"/>
        <v>デパス細粒</v>
      </c>
    </row>
    <row r="297" spans="1:6" x14ac:dyDescent="0.2">
      <c r="A297" s="20" t="s">
        <v>51</v>
      </c>
      <c r="B297" s="22">
        <v>27.04</v>
      </c>
      <c r="C297" s="101">
        <v>165</v>
      </c>
      <c r="D297" s="55">
        <v>4461.5999999999995</v>
      </c>
      <c r="E297" t="str">
        <f t="shared" si="8"/>
        <v>リスペリドン内用液分包１ｍｇ／１ｍｌ</v>
      </c>
      <c r="F297" t="str">
        <f t="shared" si="9"/>
        <v>リスペリド</v>
      </c>
    </row>
    <row r="298" spans="1:6" x14ac:dyDescent="0.2">
      <c r="A298" s="57" t="s">
        <v>392</v>
      </c>
      <c r="B298" s="52">
        <v>15.2</v>
      </c>
      <c r="C298" s="98">
        <v>49</v>
      </c>
      <c r="D298" s="16">
        <v>4468.8</v>
      </c>
      <c r="E298" t="str">
        <f t="shared" si="8"/>
        <v>フルルバンパップ４０ｍｇ　６００枚</v>
      </c>
      <c r="F298" t="str">
        <f t="shared" si="9"/>
        <v>フルルバン</v>
      </c>
    </row>
    <row r="299" spans="1:6" x14ac:dyDescent="0.2">
      <c r="A299" s="53" t="s">
        <v>749</v>
      </c>
      <c r="B299" s="72">
        <v>83</v>
      </c>
      <c r="C299" s="98">
        <v>54</v>
      </c>
      <c r="D299" s="16">
        <v>4482</v>
      </c>
      <c r="E299" t="str">
        <f t="shared" si="8"/>
        <v>ボスミン注</v>
      </c>
      <c r="F299" t="str">
        <f t="shared" si="9"/>
        <v>ボスミン注</v>
      </c>
    </row>
    <row r="300" spans="1:6" x14ac:dyDescent="0.2">
      <c r="A300" s="53" t="s">
        <v>184</v>
      </c>
      <c r="B300" s="52">
        <v>4.79</v>
      </c>
      <c r="C300" s="101">
        <v>947.75862068965523</v>
      </c>
      <c r="D300" s="16">
        <v>4539.7637931034487</v>
      </c>
      <c r="E300" t="str">
        <f t="shared" si="8"/>
        <v>ビオフェルミン錠剤</v>
      </c>
      <c r="F300" t="str">
        <f t="shared" si="9"/>
        <v>ビオフェル</v>
      </c>
    </row>
    <row r="301" spans="1:6" x14ac:dyDescent="0.2">
      <c r="A301" s="63" t="s">
        <v>23</v>
      </c>
      <c r="B301" s="88">
        <v>10.7</v>
      </c>
      <c r="C301" s="98">
        <v>426</v>
      </c>
      <c r="D301" s="55">
        <v>4558.2</v>
      </c>
      <c r="E301" t="str">
        <f t="shared" si="8"/>
        <v>ニコチン酸アミド散１０％「ゾンネ」</v>
      </c>
      <c r="F301" t="str">
        <f t="shared" si="9"/>
        <v>ニコチン酸</v>
      </c>
    </row>
    <row r="302" spans="1:6" x14ac:dyDescent="0.2">
      <c r="A302" s="15" t="s">
        <v>401</v>
      </c>
      <c r="B302" s="18">
        <v>57.33</v>
      </c>
      <c r="C302" s="97">
        <v>80</v>
      </c>
      <c r="D302" s="16">
        <v>4586.3999999999996</v>
      </c>
      <c r="E302" t="str">
        <f t="shared" si="8"/>
        <v>アナストロゾール（１）</v>
      </c>
      <c r="F302" t="str">
        <f t="shared" si="9"/>
        <v>アナストロ</v>
      </c>
    </row>
    <row r="303" spans="1:6" x14ac:dyDescent="0.2">
      <c r="A303" s="53" t="s">
        <v>680</v>
      </c>
      <c r="B303" s="86">
        <v>6.36</v>
      </c>
      <c r="C303" s="98">
        <v>730</v>
      </c>
      <c r="D303" s="55">
        <v>4642.8</v>
      </c>
      <c r="E303" t="str">
        <f t="shared" si="8"/>
        <v>タンニン酸アルブミン「ＶＴＲＳ］</v>
      </c>
      <c r="F303" t="str">
        <f t="shared" si="9"/>
        <v>タンニン酸</v>
      </c>
    </row>
    <row r="304" spans="1:6" x14ac:dyDescent="0.2">
      <c r="A304" s="53" t="s">
        <v>199</v>
      </c>
      <c r="B304" s="18">
        <v>20</v>
      </c>
      <c r="C304" s="97">
        <v>233</v>
      </c>
      <c r="D304" s="16">
        <v>4660</v>
      </c>
      <c r="E304" t="str">
        <f t="shared" si="8"/>
        <v>プロタノールＳ錠１５ｍｇ</v>
      </c>
      <c r="F304" t="str">
        <f t="shared" si="9"/>
        <v>プロタノー</v>
      </c>
    </row>
    <row r="305" spans="1:6" x14ac:dyDescent="0.2">
      <c r="A305" s="53" t="s">
        <v>597</v>
      </c>
      <c r="B305" s="18">
        <v>467.5</v>
      </c>
      <c r="C305" s="97">
        <v>10</v>
      </c>
      <c r="D305" s="16">
        <v>4675</v>
      </c>
      <c r="E305" t="str">
        <f t="shared" si="8"/>
        <v>ミノドロン酸</v>
      </c>
      <c r="F305" t="str">
        <f t="shared" si="9"/>
        <v>ミノドロン</v>
      </c>
    </row>
    <row r="306" spans="1:6" x14ac:dyDescent="0.15">
      <c r="A306" s="57" t="s">
        <v>685</v>
      </c>
      <c r="B306" s="85">
        <v>9.02</v>
      </c>
      <c r="C306" s="98">
        <v>523</v>
      </c>
      <c r="D306" s="55">
        <v>4717.46</v>
      </c>
      <c r="E306" t="str">
        <f t="shared" si="8"/>
        <v>フェロミア顆粒８．３％　</v>
      </c>
      <c r="F306" t="str">
        <f t="shared" si="9"/>
        <v>フェロミア</v>
      </c>
    </row>
    <row r="307" spans="1:6" x14ac:dyDescent="0.15">
      <c r="A307" s="57" t="s">
        <v>180</v>
      </c>
      <c r="B307" s="22">
        <v>5.19</v>
      </c>
      <c r="C307" s="97">
        <v>912</v>
      </c>
      <c r="D307" s="16">
        <v>4733.2800000000007</v>
      </c>
      <c r="E307" t="str">
        <f t="shared" si="8"/>
        <v>ハロペリドール錠　１．５ｍｇ</v>
      </c>
      <c r="F307" t="str">
        <f t="shared" si="9"/>
        <v>ハロペリド</v>
      </c>
    </row>
    <row r="308" spans="1:6" x14ac:dyDescent="0.2">
      <c r="A308" s="53" t="s">
        <v>503</v>
      </c>
      <c r="B308" s="52">
        <v>159.6</v>
      </c>
      <c r="C308" s="97">
        <v>30</v>
      </c>
      <c r="D308" s="16">
        <v>4788</v>
      </c>
      <c r="E308" t="str">
        <f t="shared" si="8"/>
        <v>エフィエント錠２．５ｍｇ</v>
      </c>
      <c r="F308" t="str">
        <f t="shared" si="9"/>
        <v>エフィエン</v>
      </c>
    </row>
    <row r="309" spans="1:6" x14ac:dyDescent="0.2">
      <c r="A309" s="17" t="s">
        <v>264</v>
      </c>
      <c r="B309" s="18">
        <v>154.55000000000001</v>
      </c>
      <c r="C309" s="97">
        <v>31</v>
      </c>
      <c r="D309" s="16">
        <v>4791.05</v>
      </c>
      <c r="E309" t="str">
        <f t="shared" si="8"/>
        <v>ニゾラールクリーム２％　１０ｇ／本</v>
      </c>
      <c r="F309" t="str">
        <f t="shared" si="9"/>
        <v>ニゾラール</v>
      </c>
    </row>
    <row r="310" spans="1:6" x14ac:dyDescent="0.2">
      <c r="A310" s="53" t="s">
        <v>97</v>
      </c>
      <c r="B310" s="18">
        <v>5.18</v>
      </c>
      <c r="C310" s="99">
        <v>928.57142857142867</v>
      </c>
      <c r="D310" s="16">
        <v>4810</v>
      </c>
      <c r="E310" t="str">
        <f t="shared" si="8"/>
        <v>カルバマゼピン錠　１００ｍｇ「アメル」</v>
      </c>
      <c r="F310" t="str">
        <f t="shared" si="9"/>
        <v>カルバマゼ</v>
      </c>
    </row>
    <row r="311" spans="1:6" x14ac:dyDescent="0.2">
      <c r="A311" s="53" t="s">
        <v>510</v>
      </c>
      <c r="B311" s="18">
        <v>17.89</v>
      </c>
      <c r="C311" s="97">
        <v>270</v>
      </c>
      <c r="D311" s="16">
        <v>4830.3</v>
      </c>
      <c r="E311" t="str">
        <f t="shared" si="8"/>
        <v>オルメテックＯＤ錠１０ｍｇ</v>
      </c>
      <c r="F311" t="str">
        <f t="shared" si="9"/>
        <v>オルメテッ</v>
      </c>
    </row>
    <row r="312" spans="1:6" x14ac:dyDescent="0.2">
      <c r="A312" s="17" t="s">
        <v>481</v>
      </c>
      <c r="B312" s="18">
        <v>5.26</v>
      </c>
      <c r="C312" s="97">
        <v>920</v>
      </c>
      <c r="D312" s="16">
        <v>4839.2</v>
      </c>
      <c r="E312" t="str">
        <f t="shared" si="8"/>
        <v>アスパラカリウム錠３００ｍｇ</v>
      </c>
      <c r="F312" t="str">
        <f t="shared" si="9"/>
        <v>アスパラカ</v>
      </c>
    </row>
    <row r="313" spans="1:6" x14ac:dyDescent="0.2">
      <c r="A313" s="53" t="s">
        <v>170</v>
      </c>
      <c r="B313" s="18">
        <v>8.9</v>
      </c>
      <c r="C313" s="97">
        <v>555.55555555555554</v>
      </c>
      <c r="D313" s="16">
        <v>4944.4444444444443</v>
      </c>
      <c r="E313" t="str">
        <f t="shared" si="8"/>
        <v>ニルバジピン錠２ｍｇ</v>
      </c>
      <c r="F313" t="str">
        <f t="shared" si="9"/>
        <v>ニルバジピ</v>
      </c>
    </row>
    <row r="314" spans="1:6" x14ac:dyDescent="0.2">
      <c r="A314" s="20" t="s">
        <v>592</v>
      </c>
      <c r="B314" s="22">
        <v>15.4</v>
      </c>
      <c r="C314" s="101">
        <v>322.30769230769232</v>
      </c>
      <c r="D314" s="16">
        <v>4963.5384615384619</v>
      </c>
      <c r="E314" t="str">
        <f t="shared" si="8"/>
        <v>プロマックＤ錠７５　</v>
      </c>
      <c r="F314" t="str">
        <f t="shared" si="9"/>
        <v>プロマック</v>
      </c>
    </row>
    <row r="315" spans="1:6" x14ac:dyDescent="0.2">
      <c r="A315" s="39" t="s">
        <v>575</v>
      </c>
      <c r="B315" s="180">
        <v>4.28</v>
      </c>
      <c r="C315" s="179">
        <v>1166.6666666666667</v>
      </c>
      <c r="D315" s="119">
        <v>4993.3333333333339</v>
      </c>
      <c r="E315" t="str">
        <f t="shared" si="8"/>
        <v>ブロムヘキシン４ｍｇ</v>
      </c>
      <c r="F315" t="str">
        <f t="shared" si="9"/>
        <v>ブロムヘキ</v>
      </c>
    </row>
    <row r="316" spans="1:6" x14ac:dyDescent="0.2">
      <c r="A316" s="53" t="s">
        <v>773</v>
      </c>
      <c r="B316" s="52">
        <v>5.3</v>
      </c>
      <c r="C316" s="99">
        <v>944</v>
      </c>
      <c r="D316" s="16">
        <v>5003.2</v>
      </c>
      <c r="E316" t="str">
        <f t="shared" si="8"/>
        <v>アリピプラゾール錠１ｍｇ「サワイ」</v>
      </c>
      <c r="F316" t="str">
        <f t="shared" si="9"/>
        <v>アリピプラ</v>
      </c>
    </row>
    <row r="317" spans="1:6" x14ac:dyDescent="0.2">
      <c r="A317" s="53" t="s">
        <v>67</v>
      </c>
      <c r="B317" s="18">
        <v>5.26</v>
      </c>
      <c r="C317" s="97">
        <v>959</v>
      </c>
      <c r="D317" s="16">
        <v>5044.34</v>
      </c>
      <c r="E317" t="str">
        <f t="shared" si="8"/>
        <v>２５ＭＧ　アリナミン　Ｆ糖衣錠</v>
      </c>
      <c r="F317" t="str">
        <f t="shared" si="9"/>
        <v>２５ＭＧ　</v>
      </c>
    </row>
    <row r="318" spans="1:6" x14ac:dyDescent="0.2">
      <c r="A318" s="17" t="s">
        <v>65</v>
      </c>
      <c r="B318" s="18">
        <v>33.26</v>
      </c>
      <c r="C318" s="101">
        <v>152</v>
      </c>
      <c r="D318" s="55">
        <v>5055.5199999999995</v>
      </c>
      <c r="E318" t="str">
        <f t="shared" si="8"/>
        <v>クラシエ加味逍遥散ＫＢ－２４　３．０ｇ／包</v>
      </c>
      <c r="F318" t="str">
        <f t="shared" si="9"/>
        <v>クラシエ加</v>
      </c>
    </row>
    <row r="319" spans="1:6" x14ac:dyDescent="0.2">
      <c r="A319" s="30" t="s">
        <v>616</v>
      </c>
      <c r="B319" s="18">
        <v>31.72</v>
      </c>
      <c r="C319" s="97">
        <v>161</v>
      </c>
      <c r="D319" s="16">
        <v>5106.92</v>
      </c>
      <c r="E319" t="str">
        <f t="shared" si="8"/>
        <v>ピモペンダン錠</v>
      </c>
      <c r="F319" t="str">
        <f t="shared" si="9"/>
        <v>ピモペンダ</v>
      </c>
    </row>
    <row r="320" spans="1:6" x14ac:dyDescent="0.15">
      <c r="A320" s="20" t="s">
        <v>116</v>
      </c>
      <c r="B320" s="25">
        <v>13.82</v>
      </c>
      <c r="C320" s="99">
        <v>372</v>
      </c>
      <c r="D320" s="16">
        <v>5141.04</v>
      </c>
      <c r="E320" t="str">
        <f t="shared" si="8"/>
        <v>サワシリン錠２５０　ＳＰ　　　　　　　　　１００錠</v>
      </c>
      <c r="F320" t="str">
        <f t="shared" si="9"/>
        <v>サワシリン</v>
      </c>
    </row>
    <row r="321" spans="1:6" x14ac:dyDescent="0.15">
      <c r="A321" s="39" t="s">
        <v>118</v>
      </c>
      <c r="B321" s="180">
        <v>4.9800000000000004</v>
      </c>
      <c r="C321" s="181">
        <v>1038</v>
      </c>
      <c r="D321" s="119">
        <v>5169.2400000000007</v>
      </c>
      <c r="E321" t="str">
        <f t="shared" si="8"/>
        <v>ジアゼパム錠５ｍｇ「アメル」　</v>
      </c>
      <c r="F321" t="str">
        <f t="shared" si="9"/>
        <v>ジアゼパム</v>
      </c>
    </row>
    <row r="322" spans="1:6" x14ac:dyDescent="0.2">
      <c r="A322" s="17" t="s">
        <v>88</v>
      </c>
      <c r="B322" s="18">
        <v>51.7</v>
      </c>
      <c r="C322" s="99">
        <v>100</v>
      </c>
      <c r="D322" s="16">
        <v>5170</v>
      </c>
      <c r="E322" t="str">
        <f t="shared" si="8"/>
        <v>エビスタ錠６０ｍｇ</v>
      </c>
      <c r="F322" t="str">
        <f t="shared" si="9"/>
        <v>エビスタ錠</v>
      </c>
    </row>
    <row r="323" spans="1:6" x14ac:dyDescent="0.2">
      <c r="A323" s="17" t="s">
        <v>259</v>
      </c>
      <c r="B323" s="18">
        <v>345</v>
      </c>
      <c r="C323" s="97">
        <v>15</v>
      </c>
      <c r="D323" s="16">
        <v>5175</v>
      </c>
      <c r="E323" t="str">
        <f t="shared" si="8"/>
        <v>タリビッド眼軟膏０．３％　３．５ｇ／本</v>
      </c>
      <c r="F323" t="str">
        <f t="shared" si="9"/>
        <v>タリビッド</v>
      </c>
    </row>
    <row r="324" spans="1:6" x14ac:dyDescent="0.15">
      <c r="A324" s="57" t="s">
        <v>337</v>
      </c>
      <c r="B324" s="58">
        <v>130</v>
      </c>
      <c r="C324" s="98">
        <v>40</v>
      </c>
      <c r="D324" s="16">
        <v>5200</v>
      </c>
      <c r="E324" t="str">
        <f t="shared" si="8"/>
        <v>ドパミン塩酸塩点滴静注　１００ｍｇ「ＫＮ」　５Ｘ１０管</v>
      </c>
      <c r="F324" t="str">
        <f t="shared" si="9"/>
        <v>ドパミン塩</v>
      </c>
    </row>
    <row r="325" spans="1:6" x14ac:dyDescent="0.2">
      <c r="A325" s="53" t="s">
        <v>795</v>
      </c>
      <c r="B325" s="52">
        <v>274</v>
      </c>
      <c r="C325" s="98">
        <v>19</v>
      </c>
      <c r="D325" s="16">
        <v>5206</v>
      </c>
      <c r="E325" t="str">
        <f t="shared" ref="E325:E388" si="10">DBCS(A325)</f>
        <v>アセリオ靜注液１０００ｍｇバッグ</v>
      </c>
      <c r="F325" t="str">
        <f t="shared" ref="F325:F388" si="11">LEFT(E325,5)</f>
        <v>アセリオ靜</v>
      </c>
    </row>
    <row r="326" spans="1:6" x14ac:dyDescent="0.15">
      <c r="A326" s="57" t="s">
        <v>223</v>
      </c>
      <c r="B326" s="58">
        <v>5.63</v>
      </c>
      <c r="C326" s="98">
        <v>925.11111111111109</v>
      </c>
      <c r="D326" s="55">
        <v>5208.3755555555554</v>
      </c>
      <c r="E326" t="str">
        <f t="shared" si="10"/>
        <v>リーゼ錠５ｍｇ</v>
      </c>
      <c r="F326" t="str">
        <f t="shared" si="11"/>
        <v>リーゼ錠５</v>
      </c>
    </row>
    <row r="327" spans="1:6" x14ac:dyDescent="0.15">
      <c r="A327" s="20" t="s">
        <v>136</v>
      </c>
      <c r="B327" s="22">
        <v>7.13</v>
      </c>
      <c r="C327" s="97">
        <v>736</v>
      </c>
      <c r="D327" s="16">
        <v>5247.68</v>
      </c>
      <c r="E327" t="str">
        <f t="shared" si="10"/>
        <v>スルピリド錠２００ｍｇ「アメル」　</v>
      </c>
      <c r="F327" t="str">
        <f t="shared" si="11"/>
        <v>スルピリド</v>
      </c>
    </row>
    <row r="328" spans="1:6" x14ac:dyDescent="0.15">
      <c r="A328" s="20" t="s">
        <v>284</v>
      </c>
      <c r="B328" s="22">
        <v>20.6</v>
      </c>
      <c r="C328" s="97">
        <v>258</v>
      </c>
      <c r="D328" s="16">
        <v>5314.8</v>
      </c>
      <c r="E328" t="str">
        <f t="shared" si="10"/>
        <v>ツロブテロールテープ１ｍｇ「サワイ」　７０枚</v>
      </c>
      <c r="F328" t="str">
        <f t="shared" si="11"/>
        <v>ツロブテロ</v>
      </c>
    </row>
    <row r="329" spans="1:6" x14ac:dyDescent="0.2">
      <c r="A329" s="17" t="s">
        <v>78</v>
      </c>
      <c r="B329" s="18">
        <v>11.35</v>
      </c>
      <c r="C329" s="99">
        <v>469</v>
      </c>
      <c r="D329" s="16">
        <v>5323.15</v>
      </c>
      <c r="E329" t="str">
        <f t="shared" si="10"/>
        <v>イコサペント酸エチルカプセル　３００</v>
      </c>
      <c r="F329" t="str">
        <f t="shared" si="11"/>
        <v>イコサペン</v>
      </c>
    </row>
    <row r="330" spans="1:6" x14ac:dyDescent="0.2">
      <c r="A330" s="17" t="s">
        <v>875</v>
      </c>
      <c r="B330" s="18">
        <v>106.66</v>
      </c>
      <c r="C330" s="97">
        <v>50</v>
      </c>
      <c r="D330" s="16">
        <v>5333</v>
      </c>
      <c r="E330" t="str">
        <f t="shared" si="10"/>
        <v>アドフィードパップ（７枚／袋）</v>
      </c>
      <c r="F330" t="str">
        <f t="shared" si="11"/>
        <v>アドフィー</v>
      </c>
    </row>
    <row r="331" spans="1:6" x14ac:dyDescent="0.2">
      <c r="A331" s="17" t="s">
        <v>205</v>
      </c>
      <c r="B331" s="18">
        <v>8.75</v>
      </c>
      <c r="C331" s="100">
        <v>610.18181818181824</v>
      </c>
      <c r="D331" s="55">
        <v>5339.0909090909099</v>
      </c>
      <c r="E331" t="str">
        <f t="shared" si="10"/>
        <v>ベザフィブラートＳＲ錠２００ｍｇ</v>
      </c>
      <c r="F331" t="str">
        <f t="shared" si="11"/>
        <v>ベザフィブ</v>
      </c>
    </row>
    <row r="332" spans="1:6" x14ac:dyDescent="0.2">
      <c r="A332" s="40" t="s">
        <v>521</v>
      </c>
      <c r="B332" s="177">
        <v>5.24</v>
      </c>
      <c r="C332" s="179">
        <v>1022.5</v>
      </c>
      <c r="D332" s="119">
        <v>5357.9000000000005</v>
      </c>
      <c r="E332" t="str">
        <f t="shared" si="10"/>
        <v>ピコスルファートナトリウム錠２．５</v>
      </c>
      <c r="F332" t="str">
        <f t="shared" si="11"/>
        <v>ピコスルフ</v>
      </c>
    </row>
    <row r="333" spans="1:6" x14ac:dyDescent="0.2">
      <c r="A333" s="17" t="s">
        <v>250</v>
      </c>
      <c r="B333" s="18">
        <v>94.4</v>
      </c>
      <c r="C333" s="97">
        <v>57</v>
      </c>
      <c r="D333" s="55">
        <v>5380.8</v>
      </c>
      <c r="E333" t="str">
        <f t="shared" si="10"/>
        <v>アズノール軟膏　２０ｇ／本</v>
      </c>
      <c r="F333" t="str">
        <f t="shared" si="11"/>
        <v>アズノール</v>
      </c>
    </row>
    <row r="334" spans="1:6" x14ac:dyDescent="0.15">
      <c r="A334" s="57" t="s">
        <v>732</v>
      </c>
      <c r="B334" s="22">
        <v>51.25</v>
      </c>
      <c r="C334" s="97">
        <v>105</v>
      </c>
      <c r="D334" s="16">
        <v>5381.25</v>
      </c>
      <c r="E334" t="str">
        <f t="shared" si="10"/>
        <v>アジスロマイシン錠２５０ｍｇ</v>
      </c>
      <c r="F334" t="str">
        <f t="shared" si="11"/>
        <v>アジスロマ</v>
      </c>
    </row>
    <row r="335" spans="1:6" x14ac:dyDescent="0.2">
      <c r="A335" s="17" t="s">
        <v>163</v>
      </c>
      <c r="B335" s="18">
        <v>9.5</v>
      </c>
      <c r="C335" s="97">
        <v>570</v>
      </c>
      <c r="D335" s="16">
        <v>5415</v>
      </c>
      <c r="E335" t="str">
        <f t="shared" si="10"/>
        <v>トレドミン錠１５ｍｇ</v>
      </c>
      <c r="F335" t="str">
        <f t="shared" si="11"/>
        <v>トレドミン</v>
      </c>
    </row>
    <row r="336" spans="1:6" x14ac:dyDescent="0.2">
      <c r="A336" s="40" t="s">
        <v>41</v>
      </c>
      <c r="B336" s="177">
        <v>5.14</v>
      </c>
      <c r="C336" s="179">
        <v>1056</v>
      </c>
      <c r="D336" s="119">
        <v>5427.8399999999992</v>
      </c>
      <c r="E336" t="str">
        <f t="shared" si="10"/>
        <v>ＳＰトローチ</v>
      </c>
      <c r="F336" t="str">
        <f t="shared" si="11"/>
        <v>ＳＰトロー</v>
      </c>
    </row>
    <row r="337" spans="1:6" x14ac:dyDescent="0.2">
      <c r="A337" s="17" t="s">
        <v>276</v>
      </c>
      <c r="B337" s="18">
        <v>164.8</v>
      </c>
      <c r="C337" s="97">
        <v>33</v>
      </c>
      <c r="D337" s="16">
        <v>5438.4000000000005</v>
      </c>
      <c r="E337" t="str">
        <f t="shared" si="10"/>
        <v>インテバン外用液１％　５０ｇ／本</v>
      </c>
      <c r="F337" t="str">
        <f t="shared" si="11"/>
        <v>インテバン</v>
      </c>
    </row>
    <row r="338" spans="1:6" x14ac:dyDescent="0.2">
      <c r="A338" s="53" t="s">
        <v>486</v>
      </c>
      <c r="B338" s="18">
        <v>8.16</v>
      </c>
      <c r="C338" s="97">
        <v>666.66666666666663</v>
      </c>
      <c r="D338" s="16">
        <v>5440</v>
      </c>
      <c r="E338" t="str">
        <f t="shared" si="10"/>
        <v>メトホルミン錠２５０ｍｇ</v>
      </c>
      <c r="F338" t="str">
        <f t="shared" si="11"/>
        <v>メトホルミ</v>
      </c>
    </row>
    <row r="339" spans="1:6" x14ac:dyDescent="0.15">
      <c r="A339" s="20" t="s">
        <v>27</v>
      </c>
      <c r="B339" s="89">
        <v>39.5</v>
      </c>
      <c r="C339" s="98">
        <v>139</v>
      </c>
      <c r="D339" s="55">
        <v>5490.5</v>
      </c>
      <c r="E339" t="str">
        <f t="shared" si="10"/>
        <v>ファモチジン散１０％　　　　　　　　　　　</v>
      </c>
      <c r="F339" t="str">
        <f t="shared" si="11"/>
        <v>ファモチジ</v>
      </c>
    </row>
    <row r="340" spans="1:6" x14ac:dyDescent="0.15">
      <c r="A340" s="57" t="s">
        <v>768</v>
      </c>
      <c r="B340" s="58">
        <v>552</v>
      </c>
      <c r="C340" s="98">
        <v>10</v>
      </c>
      <c r="D340" s="16">
        <v>5520</v>
      </c>
      <c r="E340" t="str">
        <f t="shared" si="10"/>
        <v>フサン注５０</v>
      </c>
      <c r="F340" t="str">
        <f t="shared" si="11"/>
        <v>フサン注５</v>
      </c>
    </row>
    <row r="341" spans="1:6" x14ac:dyDescent="0.2">
      <c r="A341" s="17" t="s">
        <v>588</v>
      </c>
      <c r="B341" s="27">
        <v>8.2799999999999994</v>
      </c>
      <c r="C341" s="101">
        <v>676.33333333333337</v>
      </c>
      <c r="D341" s="16">
        <v>5600.04</v>
      </c>
      <c r="E341" t="str">
        <f t="shared" si="10"/>
        <v>ブロナンセリン錠２ｍｇ</v>
      </c>
      <c r="F341" t="str">
        <f t="shared" si="11"/>
        <v>ブロナンセ</v>
      </c>
    </row>
    <row r="342" spans="1:6" x14ac:dyDescent="0.2">
      <c r="A342" s="32" t="s">
        <v>556</v>
      </c>
      <c r="B342" s="18">
        <v>41.39</v>
      </c>
      <c r="C342" s="97">
        <v>136</v>
      </c>
      <c r="D342" s="16">
        <v>5629.04</v>
      </c>
      <c r="E342" t="str">
        <f t="shared" si="10"/>
        <v>タンボコール錠５０ｍｇ</v>
      </c>
      <c r="F342" t="str">
        <f t="shared" si="11"/>
        <v>タンボコー</v>
      </c>
    </row>
    <row r="343" spans="1:6" x14ac:dyDescent="0.2">
      <c r="A343" s="53" t="s">
        <v>374</v>
      </c>
      <c r="B343" s="72">
        <v>5639</v>
      </c>
      <c r="C343" s="98">
        <v>1</v>
      </c>
      <c r="D343" s="16">
        <v>5639</v>
      </c>
      <c r="E343" t="str">
        <f t="shared" si="10"/>
        <v>ラピアクタ</v>
      </c>
      <c r="F343" t="str">
        <f t="shared" si="11"/>
        <v>ラピアクタ</v>
      </c>
    </row>
    <row r="344" spans="1:6" x14ac:dyDescent="0.2">
      <c r="A344" s="53" t="s">
        <v>642</v>
      </c>
      <c r="B344" s="52">
        <v>72.400000000000006</v>
      </c>
      <c r="C344" s="101">
        <v>78</v>
      </c>
      <c r="D344" s="16">
        <v>5647.2000000000007</v>
      </c>
      <c r="E344" t="str">
        <f t="shared" si="10"/>
        <v>ピコスルファートナトリウム内用液</v>
      </c>
      <c r="F344" t="str">
        <f t="shared" si="11"/>
        <v>ピコスルフ</v>
      </c>
    </row>
    <row r="345" spans="1:6" x14ac:dyDescent="0.15">
      <c r="A345" s="39" t="s">
        <v>181</v>
      </c>
      <c r="B345" s="180">
        <v>5.19</v>
      </c>
      <c r="C345" s="178">
        <v>1092</v>
      </c>
      <c r="D345" s="119">
        <v>5667.4800000000005</v>
      </c>
      <c r="E345" t="str">
        <f t="shared" si="10"/>
        <v>ハロペリドール錠　１ｍｇ　</v>
      </c>
      <c r="F345" t="str">
        <f t="shared" si="11"/>
        <v>ハロペリド</v>
      </c>
    </row>
    <row r="346" spans="1:6" x14ac:dyDescent="0.2">
      <c r="A346" s="17" t="s">
        <v>271</v>
      </c>
      <c r="B346" s="18">
        <v>37.94</v>
      </c>
      <c r="C346" s="97">
        <v>151</v>
      </c>
      <c r="D346" s="16">
        <v>5728.94</v>
      </c>
      <c r="E346" t="str">
        <f t="shared" si="10"/>
        <v>ヘモレックス軟膏　２ｇ／本</v>
      </c>
      <c r="F346" t="str">
        <f t="shared" si="11"/>
        <v>ヘモレック</v>
      </c>
    </row>
    <row r="347" spans="1:6" x14ac:dyDescent="0.2">
      <c r="A347" s="53" t="s">
        <v>790</v>
      </c>
      <c r="B347" s="18">
        <v>93.14</v>
      </c>
      <c r="C347" s="101">
        <v>62</v>
      </c>
      <c r="D347" s="55">
        <v>5774.68</v>
      </c>
      <c r="E347" t="str">
        <f t="shared" si="10"/>
        <v>エビリファイ内用液分包３ｍｇ</v>
      </c>
      <c r="F347" t="str">
        <f t="shared" si="11"/>
        <v>エビリファ</v>
      </c>
    </row>
    <row r="348" spans="1:6" x14ac:dyDescent="0.2">
      <c r="A348" s="53" t="s">
        <v>400</v>
      </c>
      <c r="B348" s="52">
        <v>2930</v>
      </c>
      <c r="C348" s="98">
        <v>2</v>
      </c>
      <c r="D348" s="16">
        <v>5860</v>
      </c>
      <c r="E348" t="str">
        <f t="shared" si="10"/>
        <v>スワブスティックヘキシジンＭ６０包入</v>
      </c>
      <c r="F348" t="str">
        <f t="shared" si="11"/>
        <v>スワブステ</v>
      </c>
    </row>
    <row r="349" spans="1:6" x14ac:dyDescent="0.2">
      <c r="A349" s="53" t="s">
        <v>399</v>
      </c>
      <c r="B349" s="52">
        <v>2930</v>
      </c>
      <c r="C349" s="98">
        <v>2</v>
      </c>
      <c r="D349" s="16">
        <v>5860</v>
      </c>
      <c r="E349" t="str">
        <f t="shared" si="10"/>
        <v>スワブスティックポピドンヨードＭ６０包入</v>
      </c>
      <c r="F349" t="str">
        <f t="shared" si="11"/>
        <v>スワブステ</v>
      </c>
    </row>
    <row r="350" spans="1:6" x14ac:dyDescent="0.2">
      <c r="A350" s="53" t="s">
        <v>547</v>
      </c>
      <c r="B350" s="18">
        <v>146.6</v>
      </c>
      <c r="C350" s="97">
        <v>40</v>
      </c>
      <c r="D350" s="16">
        <v>5864</v>
      </c>
      <c r="E350" t="str">
        <f t="shared" si="10"/>
        <v>リアルダ錠１２００ｍｇ</v>
      </c>
      <c r="F350" t="str">
        <f t="shared" si="11"/>
        <v>リアルダ錠</v>
      </c>
    </row>
    <row r="351" spans="1:6" x14ac:dyDescent="0.15">
      <c r="A351" s="57" t="s">
        <v>379</v>
      </c>
      <c r="B351" s="58">
        <v>1177</v>
      </c>
      <c r="C351" s="98">
        <v>5</v>
      </c>
      <c r="D351" s="16">
        <v>5885</v>
      </c>
      <c r="E351" t="str">
        <f t="shared" si="10"/>
        <v>トロンビン液モチダソフトボトル　１万　５本</v>
      </c>
      <c r="F351" t="str">
        <f t="shared" si="11"/>
        <v>トロンビン</v>
      </c>
    </row>
    <row r="352" spans="1:6" x14ac:dyDescent="0.2">
      <c r="A352" s="40" t="s">
        <v>158</v>
      </c>
      <c r="B352" s="177">
        <v>5.26</v>
      </c>
      <c r="C352" s="178">
        <v>1121</v>
      </c>
      <c r="D352" s="119">
        <v>5896.46</v>
      </c>
      <c r="E352" t="str">
        <f t="shared" si="10"/>
        <v>トラゾドン錠２５ｍｇ</v>
      </c>
      <c r="F352" t="str">
        <f t="shared" si="11"/>
        <v>トラゾドン</v>
      </c>
    </row>
    <row r="353" spans="1:6" x14ac:dyDescent="0.2">
      <c r="A353" s="40" t="s">
        <v>428</v>
      </c>
      <c r="B353" s="177">
        <v>5.2</v>
      </c>
      <c r="C353" s="179">
        <v>1139</v>
      </c>
      <c r="D353" s="119">
        <v>5922.8</v>
      </c>
      <c r="E353" t="str">
        <f t="shared" si="10"/>
        <v>フルニトラゼパム錠２ｍｇ「アメル」</v>
      </c>
      <c r="F353" t="str">
        <f t="shared" si="11"/>
        <v>フルニトラ</v>
      </c>
    </row>
    <row r="354" spans="1:6" x14ac:dyDescent="0.2">
      <c r="A354" s="17" t="s">
        <v>854</v>
      </c>
      <c r="B354" s="18">
        <v>29.26</v>
      </c>
      <c r="C354" s="97">
        <v>204</v>
      </c>
      <c r="D354" s="16">
        <v>5969.04</v>
      </c>
      <c r="E354" t="str">
        <f t="shared" si="10"/>
        <v>リマチル錠１００ｍｇ</v>
      </c>
      <c r="F354" t="str">
        <f t="shared" si="11"/>
        <v>リマチル錠</v>
      </c>
    </row>
    <row r="355" spans="1:6" x14ac:dyDescent="0.2">
      <c r="A355" s="53" t="s">
        <v>96</v>
      </c>
      <c r="B355" s="18">
        <v>9.09</v>
      </c>
      <c r="C355" s="99">
        <v>669.23076923076928</v>
      </c>
      <c r="D355" s="16">
        <v>6083.3076923076924</v>
      </c>
      <c r="E355" t="str">
        <f t="shared" si="10"/>
        <v>カモスタットメシル酸塩錠１００ｍｇ</v>
      </c>
      <c r="F355" t="str">
        <f t="shared" si="11"/>
        <v>カモスタッ</v>
      </c>
    </row>
    <row r="356" spans="1:6" x14ac:dyDescent="0.2">
      <c r="A356" s="53" t="s">
        <v>591</v>
      </c>
      <c r="B356" s="27">
        <v>11.31</v>
      </c>
      <c r="C356" s="97">
        <v>555.55555555555554</v>
      </c>
      <c r="D356" s="16">
        <v>6283.333333333333</v>
      </c>
      <c r="E356" t="str">
        <f t="shared" si="10"/>
        <v>プロピベリン錠（１０）</v>
      </c>
      <c r="F356" t="str">
        <f t="shared" si="11"/>
        <v>プロピベリ</v>
      </c>
    </row>
    <row r="357" spans="1:6" x14ac:dyDescent="0.2">
      <c r="A357" s="53" t="s">
        <v>615</v>
      </c>
      <c r="B357" s="52">
        <v>9.1</v>
      </c>
      <c r="C357" s="98">
        <v>700</v>
      </c>
      <c r="D357" s="55">
        <v>6370</v>
      </c>
      <c r="E357" t="str">
        <f t="shared" si="10"/>
        <v>メイラックス１ｍｇ</v>
      </c>
      <c r="F357" t="str">
        <f t="shared" si="11"/>
        <v>メイラック</v>
      </c>
    </row>
    <row r="358" spans="1:6" x14ac:dyDescent="0.2">
      <c r="A358" s="40" t="s">
        <v>482</v>
      </c>
      <c r="B358" s="177">
        <v>5.07</v>
      </c>
      <c r="C358" s="178">
        <v>1256.4285714285716</v>
      </c>
      <c r="D358" s="119">
        <v>6370.0928571428585</v>
      </c>
      <c r="E358" t="str">
        <f t="shared" si="10"/>
        <v>アスパラＣＡ錠２００ｍｇ</v>
      </c>
      <c r="F358" t="str">
        <f t="shared" si="11"/>
        <v>アスパラＣ</v>
      </c>
    </row>
    <row r="359" spans="1:6" x14ac:dyDescent="0.2">
      <c r="A359" s="53" t="s">
        <v>394</v>
      </c>
      <c r="B359" s="52">
        <v>220</v>
      </c>
      <c r="C359" s="98">
        <v>29</v>
      </c>
      <c r="D359" s="16">
        <v>6380</v>
      </c>
      <c r="E359" t="str">
        <f t="shared" si="10"/>
        <v>イソプロパノ－ル消毒液７０％ヨシタ　５００ｍｌ゛</v>
      </c>
      <c r="F359" t="str">
        <f t="shared" si="11"/>
        <v>イソプロパ</v>
      </c>
    </row>
    <row r="360" spans="1:6" x14ac:dyDescent="0.15">
      <c r="A360" s="39" t="s">
        <v>101</v>
      </c>
      <c r="B360" s="180">
        <v>6.09</v>
      </c>
      <c r="C360" s="181">
        <v>1053.3333333333333</v>
      </c>
      <c r="D360" s="119">
        <v>6414.7999999999993</v>
      </c>
      <c r="E360" t="str">
        <f t="shared" si="10"/>
        <v>カロナール錠２００ｍｇ</v>
      </c>
      <c r="F360" t="str">
        <f t="shared" si="11"/>
        <v>カロナール</v>
      </c>
    </row>
    <row r="361" spans="1:6" x14ac:dyDescent="0.2">
      <c r="A361" s="15" t="s">
        <v>755</v>
      </c>
      <c r="B361" s="18">
        <v>62.98</v>
      </c>
      <c r="C361" s="97">
        <v>102</v>
      </c>
      <c r="D361" s="16">
        <v>6423.96</v>
      </c>
      <c r="E361" t="str">
        <f t="shared" si="10"/>
        <v>ソタロール（８０）</v>
      </c>
      <c r="F361" t="str">
        <f t="shared" si="11"/>
        <v>ソタロール</v>
      </c>
    </row>
    <row r="362" spans="1:6" x14ac:dyDescent="0.2">
      <c r="A362" s="53" t="s">
        <v>717</v>
      </c>
      <c r="B362" s="52">
        <v>8.9</v>
      </c>
      <c r="C362" s="97">
        <v>723.07692307692309</v>
      </c>
      <c r="D362" s="16">
        <v>6435.3846153846162</v>
      </c>
      <c r="E362" t="str">
        <f t="shared" si="10"/>
        <v>トロペロン錠１ｍｇ</v>
      </c>
      <c r="F362" t="str">
        <f t="shared" si="11"/>
        <v>トロペロン</v>
      </c>
    </row>
    <row r="363" spans="1:6" x14ac:dyDescent="0.2">
      <c r="A363" s="40" t="s">
        <v>126</v>
      </c>
      <c r="B363" s="182">
        <v>4.9000000000000004</v>
      </c>
      <c r="C363" s="181">
        <v>1317</v>
      </c>
      <c r="D363" s="119">
        <v>6453.3</v>
      </c>
      <c r="E363" t="str">
        <f t="shared" si="10"/>
        <v>ジフェニドール塩酸塩錠２５㎎「タイヨ</v>
      </c>
      <c r="F363" t="str">
        <f t="shared" si="11"/>
        <v>ジフェニド</v>
      </c>
    </row>
    <row r="364" spans="1:6" x14ac:dyDescent="0.2">
      <c r="A364" s="20" t="s">
        <v>870</v>
      </c>
      <c r="B364" s="22">
        <v>45.2</v>
      </c>
      <c r="C364" s="101">
        <v>145</v>
      </c>
      <c r="D364" s="55">
        <v>6554</v>
      </c>
      <c r="E364" t="str">
        <f t="shared" si="10"/>
        <v>０１２ツムラサイコカリュウコツボレイトウ２．５ｇ／包</v>
      </c>
      <c r="F364" t="str">
        <f t="shared" si="11"/>
        <v>０１２ツム</v>
      </c>
    </row>
    <row r="365" spans="1:6" x14ac:dyDescent="0.2">
      <c r="A365" s="17" t="s">
        <v>633</v>
      </c>
      <c r="B365" s="18">
        <v>730.5</v>
      </c>
      <c r="C365" s="97">
        <v>9</v>
      </c>
      <c r="D365" s="16">
        <v>6574.5</v>
      </c>
      <c r="E365" t="str">
        <f t="shared" si="10"/>
        <v>ヘパリン類似外用泡スプレー</v>
      </c>
      <c r="F365" t="str">
        <f t="shared" si="11"/>
        <v>ヘパリン類</v>
      </c>
    </row>
    <row r="366" spans="1:6" x14ac:dyDescent="0.2">
      <c r="A366" s="40" t="s">
        <v>109</v>
      </c>
      <c r="B366" s="177">
        <v>5.08</v>
      </c>
      <c r="C366" s="178">
        <v>1308</v>
      </c>
      <c r="D366" s="119">
        <v>6644.64</v>
      </c>
      <c r="E366" t="str">
        <f t="shared" si="10"/>
        <v>グリチロン配合錠</v>
      </c>
      <c r="F366" t="str">
        <f t="shared" si="11"/>
        <v>グリチロン</v>
      </c>
    </row>
    <row r="367" spans="1:6" x14ac:dyDescent="0.2">
      <c r="A367" s="40" t="s">
        <v>162</v>
      </c>
      <c r="B367" s="177">
        <v>4.96</v>
      </c>
      <c r="C367" s="178">
        <v>1341.1764705882354</v>
      </c>
      <c r="D367" s="119">
        <v>6652.2352941176478</v>
      </c>
      <c r="E367" t="str">
        <f t="shared" si="10"/>
        <v>トリメブチン錠１００ｍｇ</v>
      </c>
      <c r="F367" t="str">
        <f t="shared" si="11"/>
        <v>トリメブチ</v>
      </c>
    </row>
    <row r="368" spans="1:6" x14ac:dyDescent="0.2">
      <c r="A368" s="53" t="s">
        <v>794</v>
      </c>
      <c r="B368" s="52">
        <v>72.2</v>
      </c>
      <c r="C368" s="98">
        <v>93</v>
      </c>
      <c r="D368" s="16">
        <v>6714.6</v>
      </c>
      <c r="E368" t="str">
        <f t="shared" si="10"/>
        <v>アスコルビン酸注射液５００ｍｇ「トーワ」</v>
      </c>
      <c r="F368" t="str">
        <f t="shared" si="11"/>
        <v>アスコルビ</v>
      </c>
    </row>
    <row r="369" spans="1:6" x14ac:dyDescent="0.15">
      <c r="A369" s="57" t="s">
        <v>704</v>
      </c>
      <c r="B369" s="25">
        <v>7.12</v>
      </c>
      <c r="C369" s="99">
        <v>944</v>
      </c>
      <c r="D369" s="16">
        <v>6721.28</v>
      </c>
      <c r="E369" t="str">
        <f t="shared" si="10"/>
        <v>エスゾピクロン錠１ｍｇ「トーワ」</v>
      </c>
      <c r="F369" t="str">
        <f t="shared" si="11"/>
        <v>エスゾピク</v>
      </c>
    </row>
    <row r="370" spans="1:6" x14ac:dyDescent="0.2">
      <c r="A370" s="40" t="s">
        <v>25</v>
      </c>
      <c r="B370" s="184">
        <v>5.26</v>
      </c>
      <c r="C370" s="181">
        <v>1286</v>
      </c>
      <c r="D370" s="119">
        <v>6764.36</v>
      </c>
      <c r="E370" t="str">
        <f t="shared" si="10"/>
        <v>ビオフェルミン配合散</v>
      </c>
      <c r="F370" t="str">
        <f t="shared" si="11"/>
        <v>ビオフェル</v>
      </c>
    </row>
    <row r="371" spans="1:6" x14ac:dyDescent="0.2">
      <c r="A371" s="17" t="s">
        <v>620</v>
      </c>
      <c r="B371" s="18">
        <v>848.3</v>
      </c>
      <c r="C371" s="97">
        <v>8</v>
      </c>
      <c r="D371" s="16">
        <v>6786.4</v>
      </c>
      <c r="E371" t="str">
        <f t="shared" si="10"/>
        <v>デタントール点眼０．０１％</v>
      </c>
      <c r="F371" t="str">
        <f t="shared" si="11"/>
        <v>デタントー</v>
      </c>
    </row>
    <row r="372" spans="1:6" x14ac:dyDescent="0.15">
      <c r="A372" s="57" t="s">
        <v>692</v>
      </c>
      <c r="B372" s="85">
        <v>13.21</v>
      </c>
      <c r="C372" s="98">
        <v>519</v>
      </c>
      <c r="D372" s="55">
        <v>6855.9900000000007</v>
      </c>
      <c r="E372" t="str">
        <f t="shared" si="10"/>
        <v>ロキソニン細粒１０％　</v>
      </c>
      <c r="F372" t="str">
        <f t="shared" si="11"/>
        <v>ロキソニン</v>
      </c>
    </row>
    <row r="373" spans="1:6" x14ac:dyDescent="0.2">
      <c r="A373" s="53" t="s">
        <v>774</v>
      </c>
      <c r="B373" s="52">
        <v>8.7899999999999991</v>
      </c>
      <c r="C373" s="99">
        <v>780</v>
      </c>
      <c r="D373" s="16">
        <v>6856.1999999999989</v>
      </c>
      <c r="E373" t="str">
        <f t="shared" si="10"/>
        <v>インデラル錠１０ｍｇ</v>
      </c>
      <c r="F373" t="str">
        <f t="shared" si="11"/>
        <v>インデラル</v>
      </c>
    </row>
    <row r="374" spans="1:6" x14ac:dyDescent="0.15">
      <c r="A374" s="57" t="s">
        <v>388</v>
      </c>
      <c r="B374" s="58">
        <v>6877</v>
      </c>
      <c r="C374" s="98">
        <v>1</v>
      </c>
      <c r="D374" s="16">
        <v>6877</v>
      </c>
      <c r="E374" t="str">
        <f t="shared" si="10"/>
        <v>セレネース内服液０．２％　　　　　</v>
      </c>
      <c r="F374" t="str">
        <f t="shared" si="11"/>
        <v>セレネース</v>
      </c>
    </row>
    <row r="375" spans="1:6" x14ac:dyDescent="0.2">
      <c r="A375" s="23" t="s">
        <v>31</v>
      </c>
      <c r="B375" s="86">
        <v>88.41</v>
      </c>
      <c r="C375" s="98">
        <v>78</v>
      </c>
      <c r="D375" s="55">
        <v>6895.98</v>
      </c>
      <c r="E375" t="str">
        <f t="shared" si="10"/>
        <v>リスパダール細粒１％</v>
      </c>
      <c r="F375" t="str">
        <f t="shared" si="11"/>
        <v>リスパダー</v>
      </c>
    </row>
    <row r="376" spans="1:6" x14ac:dyDescent="0.2">
      <c r="A376" s="53" t="s">
        <v>670</v>
      </c>
      <c r="B376" s="52">
        <v>55.2</v>
      </c>
      <c r="C376" s="98">
        <v>125</v>
      </c>
      <c r="D376" s="16">
        <v>6900</v>
      </c>
      <c r="E376" t="str">
        <f t="shared" si="10"/>
        <v>生食ＶＴＲＳ２０ｍｌ</v>
      </c>
      <c r="F376" t="str">
        <f t="shared" si="11"/>
        <v>生食ＶＴＲ</v>
      </c>
    </row>
    <row r="377" spans="1:6" x14ac:dyDescent="0.2">
      <c r="A377" s="53" t="s">
        <v>718</v>
      </c>
      <c r="B377" s="18">
        <v>23.97</v>
      </c>
      <c r="C377" s="97">
        <v>290</v>
      </c>
      <c r="D377" s="16">
        <v>6951.2999999999993</v>
      </c>
      <c r="E377" t="str">
        <f t="shared" si="10"/>
        <v>トロペロン錠３ｍｇ</v>
      </c>
      <c r="F377" t="str">
        <f t="shared" si="11"/>
        <v>トロペロン</v>
      </c>
    </row>
    <row r="378" spans="1:6" x14ac:dyDescent="0.2">
      <c r="A378" s="53" t="s">
        <v>353</v>
      </c>
      <c r="B378" s="52">
        <v>88.1</v>
      </c>
      <c r="C378" s="98">
        <v>79</v>
      </c>
      <c r="D378" s="16">
        <v>6959.9</v>
      </c>
      <c r="E378" t="str">
        <f t="shared" si="10"/>
        <v>ブドウ糖注５０％ＰＬ「フソー」２０ｍｌ</v>
      </c>
      <c r="F378" t="str">
        <f t="shared" si="11"/>
        <v>ブドウ糖注</v>
      </c>
    </row>
    <row r="379" spans="1:6" x14ac:dyDescent="0.2">
      <c r="A379" s="53" t="s">
        <v>777</v>
      </c>
      <c r="B379" s="52">
        <v>8.6999999999999993</v>
      </c>
      <c r="C379" s="99">
        <v>801.11111111111109</v>
      </c>
      <c r="D379" s="16">
        <v>6969.6666666666661</v>
      </c>
      <c r="E379" t="str">
        <f t="shared" si="10"/>
        <v>オロパタジンＯＤ錠５ｍｇ</v>
      </c>
      <c r="F379" t="str">
        <f t="shared" si="11"/>
        <v>オロパタジ</v>
      </c>
    </row>
    <row r="380" spans="1:6" x14ac:dyDescent="0.15">
      <c r="A380" s="57" t="s">
        <v>735</v>
      </c>
      <c r="B380" s="58">
        <v>47.23</v>
      </c>
      <c r="C380" s="97">
        <v>148</v>
      </c>
      <c r="D380" s="16">
        <v>6990.04</v>
      </c>
      <c r="E380" t="str">
        <f t="shared" si="10"/>
        <v>トスキサシン錠１５０ｍｇ</v>
      </c>
      <c r="F380" t="str">
        <f t="shared" si="11"/>
        <v>トスキサシ</v>
      </c>
    </row>
    <row r="381" spans="1:6" x14ac:dyDescent="0.2">
      <c r="A381" s="40" t="s">
        <v>166</v>
      </c>
      <c r="B381" s="177">
        <v>5.07</v>
      </c>
      <c r="C381" s="178">
        <v>1380</v>
      </c>
      <c r="D381" s="119">
        <v>6996.6</v>
      </c>
      <c r="E381" t="str">
        <f t="shared" si="10"/>
        <v>ニコランジル錠　５ｍｇ</v>
      </c>
      <c r="F381" t="str">
        <f t="shared" si="11"/>
        <v>ニコランジ</v>
      </c>
    </row>
    <row r="382" spans="1:6" x14ac:dyDescent="0.15">
      <c r="A382" s="57" t="s">
        <v>797</v>
      </c>
      <c r="B382" s="58">
        <v>637</v>
      </c>
      <c r="C382" s="98">
        <v>11</v>
      </c>
      <c r="D382" s="16">
        <v>7007</v>
      </c>
      <c r="E382" t="str">
        <f t="shared" si="10"/>
        <v>アミノレバン点滴静注</v>
      </c>
      <c r="F382" t="str">
        <f t="shared" si="11"/>
        <v>アミノレバ</v>
      </c>
    </row>
    <row r="383" spans="1:6" x14ac:dyDescent="0.15">
      <c r="A383" s="57" t="s">
        <v>71</v>
      </c>
      <c r="B383" s="22">
        <v>7.28</v>
      </c>
      <c r="C383" s="97">
        <v>970</v>
      </c>
      <c r="D383" s="16">
        <v>7061.6</v>
      </c>
      <c r="E383" t="str">
        <f t="shared" si="10"/>
        <v>アドナ錠３０ｍｇ</v>
      </c>
      <c r="F383" t="str">
        <f t="shared" si="11"/>
        <v>アドナ錠３</v>
      </c>
    </row>
    <row r="384" spans="1:6" x14ac:dyDescent="0.15">
      <c r="A384" s="39" t="s">
        <v>100</v>
      </c>
      <c r="B384" s="180">
        <v>5.97</v>
      </c>
      <c r="C384" s="181">
        <v>1185.9459459459461</v>
      </c>
      <c r="D384" s="119">
        <v>7080.0972972972977</v>
      </c>
      <c r="E384" t="str">
        <f t="shared" si="10"/>
        <v>カルボシステイン錠２５０ｍｇ</v>
      </c>
      <c r="F384" t="str">
        <f t="shared" si="11"/>
        <v>カルボシス</v>
      </c>
    </row>
    <row r="385" spans="1:6" x14ac:dyDescent="0.2">
      <c r="A385" s="53" t="s">
        <v>89</v>
      </c>
      <c r="B385" s="18">
        <v>14.7</v>
      </c>
      <c r="C385" s="97">
        <v>483.33333333333337</v>
      </c>
      <c r="D385" s="16">
        <v>7105</v>
      </c>
      <c r="E385" t="str">
        <f t="shared" si="10"/>
        <v>エブランチルカプセル１５ｍｇ</v>
      </c>
      <c r="F385" t="str">
        <f t="shared" si="11"/>
        <v>エブランチ</v>
      </c>
    </row>
    <row r="386" spans="1:6" x14ac:dyDescent="0.2">
      <c r="A386" s="31" t="s">
        <v>724</v>
      </c>
      <c r="B386" s="18">
        <v>142.88</v>
      </c>
      <c r="C386" s="97">
        <v>50</v>
      </c>
      <c r="D386" s="16">
        <v>7144</v>
      </c>
      <c r="E386" t="str">
        <f t="shared" si="10"/>
        <v>フルコナゾール（１００）</v>
      </c>
      <c r="F386" t="str">
        <f t="shared" si="11"/>
        <v>フルコナゾ</v>
      </c>
    </row>
    <row r="387" spans="1:6" x14ac:dyDescent="0.15">
      <c r="A387" s="39" t="s">
        <v>139</v>
      </c>
      <c r="B387" s="180">
        <v>4.95</v>
      </c>
      <c r="C387" s="178">
        <v>1449</v>
      </c>
      <c r="D387" s="119">
        <v>7172.55</v>
      </c>
      <c r="E387" t="str">
        <f t="shared" si="10"/>
        <v>セパゾン錠１　</v>
      </c>
      <c r="F387" t="str">
        <f t="shared" si="11"/>
        <v>セパゾン錠</v>
      </c>
    </row>
    <row r="388" spans="1:6" x14ac:dyDescent="0.2">
      <c r="A388" s="53" t="s">
        <v>387</v>
      </c>
      <c r="B388" s="52">
        <v>63.08</v>
      </c>
      <c r="C388" s="98">
        <v>114</v>
      </c>
      <c r="D388" s="16">
        <v>7191.12</v>
      </c>
      <c r="E388" t="str">
        <f t="shared" si="10"/>
        <v>新レシカルボン坐剤</v>
      </c>
      <c r="F388" t="str">
        <f t="shared" si="11"/>
        <v>新レシカル</v>
      </c>
    </row>
    <row r="389" spans="1:6" x14ac:dyDescent="0.2">
      <c r="A389" s="17" t="s">
        <v>838</v>
      </c>
      <c r="B389" s="18">
        <v>80.88</v>
      </c>
      <c r="C389" s="97">
        <v>89</v>
      </c>
      <c r="D389" s="16">
        <v>7198.32</v>
      </c>
      <c r="E389" t="str">
        <f t="shared" ref="E389:E452" si="12">DBCS(A389)</f>
        <v>ク―ビビック錠５０ｍｇ</v>
      </c>
      <c r="F389" t="str">
        <f t="shared" ref="F389:F452" si="13">LEFT(E389,5)</f>
        <v>ク―ビビッ</v>
      </c>
    </row>
    <row r="390" spans="1:6" x14ac:dyDescent="0.2">
      <c r="A390" s="30" t="s">
        <v>437</v>
      </c>
      <c r="B390" s="18">
        <v>362.2</v>
      </c>
      <c r="C390" s="97">
        <v>20</v>
      </c>
      <c r="D390" s="16">
        <v>7244</v>
      </c>
      <c r="E390" t="str">
        <f t="shared" si="12"/>
        <v>レルパックス</v>
      </c>
      <c r="F390" t="str">
        <f t="shared" si="13"/>
        <v>レルパック</v>
      </c>
    </row>
    <row r="391" spans="1:6" x14ac:dyDescent="0.15">
      <c r="A391" s="57" t="s">
        <v>366</v>
      </c>
      <c r="B391" s="58">
        <v>454.4</v>
      </c>
      <c r="C391" s="98">
        <v>16</v>
      </c>
      <c r="D391" s="16">
        <v>7270.4</v>
      </c>
      <c r="E391" t="str">
        <f t="shared" si="12"/>
        <v>水溶性ハイドロコートン注射１００ｍｇ　２ｍＬＸ１０瓶</v>
      </c>
      <c r="F391" t="str">
        <f t="shared" si="13"/>
        <v>水溶性ハイ</v>
      </c>
    </row>
    <row r="392" spans="1:6" x14ac:dyDescent="0.15">
      <c r="A392" s="57" t="s">
        <v>841</v>
      </c>
      <c r="B392" s="58">
        <v>14.26</v>
      </c>
      <c r="C392" s="97">
        <v>510</v>
      </c>
      <c r="D392" s="16">
        <v>7272.5999999999995</v>
      </c>
      <c r="E392" t="str">
        <f t="shared" si="12"/>
        <v>セルトラリン錠２５㎎</v>
      </c>
      <c r="F392" t="str">
        <f t="shared" si="13"/>
        <v>セルトラリ</v>
      </c>
    </row>
    <row r="393" spans="1:6" x14ac:dyDescent="0.15">
      <c r="A393" s="20" t="s">
        <v>275</v>
      </c>
      <c r="B393" s="22">
        <v>3641</v>
      </c>
      <c r="C393" s="97">
        <v>2</v>
      </c>
      <c r="D393" s="16">
        <v>7282</v>
      </c>
      <c r="E393" t="str">
        <f t="shared" si="12"/>
        <v>アドエア５００ディスカス６０吸入用　６０ブリスターＸ１</v>
      </c>
      <c r="F393" t="str">
        <f t="shared" si="13"/>
        <v>アドエア５</v>
      </c>
    </row>
    <row r="394" spans="1:6" x14ac:dyDescent="0.15">
      <c r="A394" s="20" t="s">
        <v>539</v>
      </c>
      <c r="B394" s="22">
        <v>68.53</v>
      </c>
      <c r="C394" s="97">
        <v>108</v>
      </c>
      <c r="D394" s="16">
        <v>7401.24</v>
      </c>
      <c r="E394" t="str">
        <f t="shared" si="12"/>
        <v>リバスチグミンテープ４．５ｍｇ　２８枚</v>
      </c>
      <c r="F394" t="str">
        <f t="shared" si="13"/>
        <v>リバスチグ</v>
      </c>
    </row>
    <row r="395" spans="1:6" x14ac:dyDescent="0.2">
      <c r="A395" s="40" t="s">
        <v>426</v>
      </c>
      <c r="B395" s="177">
        <v>5.26</v>
      </c>
      <c r="C395" s="178">
        <v>1411</v>
      </c>
      <c r="D395" s="119">
        <v>7421.86</v>
      </c>
      <c r="E395" t="str">
        <f t="shared" si="12"/>
        <v>ドンペリドン錠１０ｍｇ「トーワ」</v>
      </c>
      <c r="F395" t="str">
        <f t="shared" si="13"/>
        <v>ドンペリド</v>
      </c>
    </row>
    <row r="396" spans="1:6" x14ac:dyDescent="0.15">
      <c r="A396" s="39" t="s">
        <v>140</v>
      </c>
      <c r="B396" s="180">
        <v>5.04</v>
      </c>
      <c r="C396" s="178">
        <v>1472.6666666666667</v>
      </c>
      <c r="D396" s="119">
        <v>7422.2400000000007</v>
      </c>
      <c r="E396" t="str">
        <f t="shared" si="12"/>
        <v>セパゾン錠２　</v>
      </c>
      <c r="F396" t="str">
        <f t="shared" si="13"/>
        <v>セパゾン錠</v>
      </c>
    </row>
    <row r="397" spans="1:6" x14ac:dyDescent="0.2">
      <c r="A397" s="53" t="s">
        <v>858</v>
      </c>
      <c r="B397" s="18">
        <v>247.53</v>
      </c>
      <c r="C397" s="97">
        <v>30</v>
      </c>
      <c r="D397" s="16">
        <v>7425.9</v>
      </c>
      <c r="E397" t="str">
        <f t="shared" si="12"/>
        <v>ゾニサミドＯＤ錠２５ｍｇＴＲＥ</v>
      </c>
      <c r="F397" t="str">
        <f t="shared" si="13"/>
        <v>ゾニサミド</v>
      </c>
    </row>
    <row r="398" spans="1:6" x14ac:dyDescent="0.2">
      <c r="A398" s="57" t="s">
        <v>177</v>
      </c>
      <c r="B398" s="58">
        <v>42.05</v>
      </c>
      <c r="C398" s="101">
        <v>177</v>
      </c>
      <c r="D398" s="16">
        <v>7442.8499999999995</v>
      </c>
      <c r="E398" t="str">
        <f t="shared" si="12"/>
        <v>バナン錠１００ｍｇ　</v>
      </c>
      <c r="F398" t="str">
        <f t="shared" si="13"/>
        <v>バナン錠１</v>
      </c>
    </row>
    <row r="399" spans="1:6" x14ac:dyDescent="0.2">
      <c r="A399" s="17" t="s">
        <v>164</v>
      </c>
      <c r="B399" s="18">
        <v>13.15</v>
      </c>
      <c r="C399" s="97">
        <v>570</v>
      </c>
      <c r="D399" s="16">
        <v>7495.5</v>
      </c>
      <c r="E399" t="str">
        <f t="shared" si="12"/>
        <v>トレドミン錠２５ｍｇ</v>
      </c>
      <c r="F399" t="str">
        <f t="shared" si="13"/>
        <v>トレドミン</v>
      </c>
    </row>
    <row r="400" spans="1:6" x14ac:dyDescent="0.2">
      <c r="A400" s="17" t="s">
        <v>232</v>
      </c>
      <c r="B400" s="27">
        <v>9.27</v>
      </c>
      <c r="C400" s="98">
        <v>820</v>
      </c>
      <c r="D400" s="55">
        <v>7601.4</v>
      </c>
      <c r="E400" t="str">
        <f t="shared" si="12"/>
        <v>リマプロストアルファデクス錠５μｇ</v>
      </c>
      <c r="F400" t="str">
        <f t="shared" si="13"/>
        <v>リマプロス</v>
      </c>
    </row>
    <row r="401" spans="1:6" x14ac:dyDescent="0.2">
      <c r="A401" s="53" t="s">
        <v>372</v>
      </c>
      <c r="B401" s="52">
        <v>381.6</v>
      </c>
      <c r="C401" s="98">
        <v>20</v>
      </c>
      <c r="D401" s="16">
        <v>7632</v>
      </c>
      <c r="E401" t="str">
        <f t="shared" si="12"/>
        <v>注射用水ＰＬ「フソー」１００ｍｌ</v>
      </c>
      <c r="F401" t="str">
        <f t="shared" si="13"/>
        <v>注射用水Ｐ</v>
      </c>
    </row>
    <row r="402" spans="1:6" x14ac:dyDescent="0.2">
      <c r="A402" s="20" t="s">
        <v>243</v>
      </c>
      <c r="B402" s="18">
        <v>38.44</v>
      </c>
      <c r="C402" s="97">
        <v>199</v>
      </c>
      <c r="D402" s="16">
        <v>7649.5599999999995</v>
      </c>
      <c r="E402" t="str">
        <f t="shared" si="12"/>
        <v>ロゼレム錠８ｍｇ</v>
      </c>
      <c r="F402" t="str">
        <f t="shared" si="13"/>
        <v>ロゼレム錠</v>
      </c>
    </row>
    <row r="403" spans="1:6" x14ac:dyDescent="0.2">
      <c r="A403" s="17" t="s">
        <v>210</v>
      </c>
      <c r="B403" s="18">
        <v>77.63</v>
      </c>
      <c r="C403" s="98">
        <v>100</v>
      </c>
      <c r="D403" s="55">
        <v>7763</v>
      </c>
      <c r="E403" t="str">
        <f t="shared" si="12"/>
        <v>ベルソムラ錠１５ｍｇ</v>
      </c>
      <c r="F403" t="str">
        <f t="shared" si="13"/>
        <v>ベルソムラ</v>
      </c>
    </row>
    <row r="404" spans="1:6" x14ac:dyDescent="0.2">
      <c r="A404" s="17" t="s">
        <v>159</v>
      </c>
      <c r="B404" s="18">
        <v>9</v>
      </c>
      <c r="C404" s="97">
        <v>865.42857142857144</v>
      </c>
      <c r="D404" s="16">
        <v>7788.8571428571431</v>
      </c>
      <c r="E404" t="str">
        <f t="shared" si="12"/>
        <v>トランサミンカプセル２５０ｍｇ</v>
      </c>
      <c r="F404" t="str">
        <f t="shared" si="13"/>
        <v>トランサミ</v>
      </c>
    </row>
    <row r="405" spans="1:6" x14ac:dyDescent="0.2">
      <c r="A405" s="20" t="s">
        <v>472</v>
      </c>
      <c r="B405" s="22">
        <v>93.26</v>
      </c>
      <c r="C405" s="101">
        <v>84</v>
      </c>
      <c r="D405" s="55">
        <v>7833.84</v>
      </c>
      <c r="E405" t="str">
        <f t="shared" si="12"/>
        <v>クレメジン細粒２ｇ</v>
      </c>
      <c r="F405" t="str">
        <f t="shared" si="13"/>
        <v>クレメジン</v>
      </c>
    </row>
    <row r="406" spans="1:6" x14ac:dyDescent="0.2">
      <c r="A406" s="53" t="s">
        <v>393</v>
      </c>
      <c r="B406" s="52">
        <v>105</v>
      </c>
      <c r="C406" s="98">
        <v>76</v>
      </c>
      <c r="D406" s="16">
        <v>7980</v>
      </c>
      <c r="E406" t="str">
        <f t="shared" si="12"/>
        <v>ロキソプロフェンＮａ　テ－プ１００ｍｇ</v>
      </c>
      <c r="F406" t="str">
        <f t="shared" si="13"/>
        <v>ロキソプロ</v>
      </c>
    </row>
    <row r="407" spans="1:6" x14ac:dyDescent="0.2">
      <c r="A407" s="53" t="s">
        <v>658</v>
      </c>
      <c r="B407" s="52">
        <v>2014.8</v>
      </c>
      <c r="C407" s="98">
        <v>4</v>
      </c>
      <c r="D407" s="16">
        <v>8059.2</v>
      </c>
      <c r="E407" t="str">
        <f t="shared" si="12"/>
        <v>ハロマンス注１００</v>
      </c>
      <c r="F407" t="str">
        <f t="shared" si="13"/>
        <v>ハロマンス</v>
      </c>
    </row>
    <row r="408" spans="1:6" x14ac:dyDescent="0.15">
      <c r="A408" s="20" t="s">
        <v>537</v>
      </c>
      <c r="B408" s="22">
        <v>82.61</v>
      </c>
      <c r="C408" s="97">
        <v>98</v>
      </c>
      <c r="D408" s="16">
        <v>8095.78</v>
      </c>
      <c r="E408" t="str">
        <f t="shared" si="12"/>
        <v>リバスチグミンテープ１３．５ｍｇ　２８枚</v>
      </c>
      <c r="F408" t="str">
        <f t="shared" si="13"/>
        <v>リバスチグ</v>
      </c>
    </row>
    <row r="409" spans="1:6" x14ac:dyDescent="0.2">
      <c r="A409" s="40" t="s">
        <v>227</v>
      </c>
      <c r="B409" s="177">
        <v>5.96</v>
      </c>
      <c r="C409" s="181">
        <v>1359.5</v>
      </c>
      <c r="D409" s="119">
        <v>8102.62</v>
      </c>
      <c r="E409" t="str">
        <f t="shared" si="12"/>
        <v>リスペリドン錠０．５ｍｇ</v>
      </c>
      <c r="F409" t="str">
        <f t="shared" si="13"/>
        <v>リスペリド</v>
      </c>
    </row>
    <row r="410" spans="1:6" x14ac:dyDescent="0.2">
      <c r="A410" s="57" t="s">
        <v>178</v>
      </c>
      <c r="B410" s="58">
        <v>66.739999999999995</v>
      </c>
      <c r="C410" s="101">
        <v>123</v>
      </c>
      <c r="D410" s="16">
        <v>8209.0199999999986</v>
      </c>
      <c r="E410" t="str">
        <f t="shared" si="12"/>
        <v>バラシクロビル錠５００ｍｇ</v>
      </c>
      <c r="F410" t="str">
        <f t="shared" si="13"/>
        <v>バラシクロ</v>
      </c>
    </row>
    <row r="411" spans="1:6" x14ac:dyDescent="0.2">
      <c r="A411" s="30" t="s">
        <v>435</v>
      </c>
      <c r="B411" s="18">
        <v>109.47</v>
      </c>
      <c r="C411" s="97">
        <v>75</v>
      </c>
      <c r="D411" s="16">
        <v>8210.25</v>
      </c>
      <c r="E411" t="str">
        <f t="shared" si="12"/>
        <v>ビカルタミド</v>
      </c>
      <c r="F411" t="str">
        <f t="shared" si="13"/>
        <v>ビカルタミ</v>
      </c>
    </row>
    <row r="412" spans="1:6" x14ac:dyDescent="0.2">
      <c r="A412" s="17" t="s">
        <v>52</v>
      </c>
      <c r="B412" s="18">
        <v>30.3</v>
      </c>
      <c r="C412" s="101">
        <v>272</v>
      </c>
      <c r="D412" s="55">
        <v>8241.6</v>
      </c>
      <c r="E412" t="str">
        <f t="shared" si="12"/>
        <v>０１７　ツムラ　ゴレイサン　２．５ｇ／包</v>
      </c>
      <c r="F412" t="str">
        <f t="shared" si="13"/>
        <v>０１７　ツ</v>
      </c>
    </row>
    <row r="413" spans="1:6" x14ac:dyDescent="0.2">
      <c r="A413" s="40" t="s">
        <v>522</v>
      </c>
      <c r="B413" s="177">
        <v>5.43</v>
      </c>
      <c r="C413" s="178">
        <v>1526</v>
      </c>
      <c r="D413" s="119">
        <v>8286.18</v>
      </c>
      <c r="E413" t="str">
        <f t="shared" si="12"/>
        <v>セレコキシブ錠１００ｍｇ</v>
      </c>
      <c r="F413" t="str">
        <f t="shared" si="13"/>
        <v>セレコキシ</v>
      </c>
    </row>
    <row r="414" spans="1:6" x14ac:dyDescent="0.15">
      <c r="A414" s="39" t="s">
        <v>610</v>
      </c>
      <c r="B414" s="180">
        <v>5.14</v>
      </c>
      <c r="C414" s="181">
        <v>1628.6666666666667</v>
      </c>
      <c r="D414" s="119">
        <v>8371.3466666666664</v>
      </c>
      <c r="E414" t="str">
        <f t="shared" si="12"/>
        <v>レキソタン錠　２ｍｇ</v>
      </c>
      <c r="F414" t="str">
        <f t="shared" si="13"/>
        <v>レキソタン</v>
      </c>
    </row>
    <row r="415" spans="1:6" x14ac:dyDescent="0.2">
      <c r="A415" s="53" t="s">
        <v>654</v>
      </c>
      <c r="B415" s="52">
        <v>420.5</v>
      </c>
      <c r="C415" s="98">
        <v>20</v>
      </c>
      <c r="D415" s="16">
        <v>8410</v>
      </c>
      <c r="E415" t="str">
        <f t="shared" si="12"/>
        <v>タケプロン注</v>
      </c>
      <c r="F415" t="str">
        <f t="shared" si="13"/>
        <v>タケプロン</v>
      </c>
    </row>
    <row r="416" spans="1:6" x14ac:dyDescent="0.2">
      <c r="A416" s="15" t="s">
        <v>406</v>
      </c>
      <c r="B416" s="18">
        <v>39.200000000000003</v>
      </c>
      <c r="C416" s="97">
        <v>215</v>
      </c>
      <c r="D416" s="16">
        <v>8428</v>
      </c>
      <c r="E416" t="str">
        <f t="shared" si="12"/>
        <v>セララ（５０）</v>
      </c>
      <c r="F416" t="str">
        <f t="shared" si="13"/>
        <v>セララ（５</v>
      </c>
    </row>
    <row r="417" spans="1:6" x14ac:dyDescent="0.2">
      <c r="A417" s="20" t="s">
        <v>872</v>
      </c>
      <c r="B417" s="22">
        <v>32.68</v>
      </c>
      <c r="C417" s="101">
        <v>259</v>
      </c>
      <c r="D417" s="55">
        <v>8464.1200000000008</v>
      </c>
      <c r="E417" t="str">
        <f t="shared" si="12"/>
        <v>リスパダール内用液分包１ｍｇ／１ｍｌ</v>
      </c>
      <c r="F417" t="str">
        <f t="shared" si="13"/>
        <v>リスパダー</v>
      </c>
    </row>
    <row r="418" spans="1:6" x14ac:dyDescent="0.2">
      <c r="A418" s="17" t="s">
        <v>855</v>
      </c>
      <c r="B418" s="27">
        <v>352.89</v>
      </c>
      <c r="C418" s="97">
        <v>24</v>
      </c>
      <c r="D418" s="16">
        <v>8469.36</v>
      </c>
      <c r="E418" t="str">
        <f t="shared" si="12"/>
        <v>リルゾール錠５０ｍｇ</v>
      </c>
      <c r="F418" t="str">
        <f t="shared" si="13"/>
        <v>リルゾール</v>
      </c>
    </row>
    <row r="419" spans="1:6" x14ac:dyDescent="0.15">
      <c r="A419" s="57" t="s">
        <v>786</v>
      </c>
      <c r="B419" s="58">
        <v>8.9</v>
      </c>
      <c r="C419" s="98">
        <v>966.5</v>
      </c>
      <c r="D419" s="55">
        <v>8601.85</v>
      </c>
      <c r="E419" t="str">
        <f t="shared" si="12"/>
        <v>ロスバスタチン錠２．５ｍｇ「トーワ」</v>
      </c>
      <c r="F419" t="str">
        <f t="shared" si="13"/>
        <v>ロスバスタ</v>
      </c>
    </row>
    <row r="420" spans="1:6" x14ac:dyDescent="0.2">
      <c r="A420" s="17" t="s">
        <v>839</v>
      </c>
      <c r="B420" s="18">
        <v>28.63</v>
      </c>
      <c r="C420" s="99">
        <v>301</v>
      </c>
      <c r="D420" s="16">
        <v>8617.6299999999992</v>
      </c>
      <c r="E420" t="str">
        <f t="shared" si="12"/>
        <v>ケフレックスカプセル２５０ｍｇ</v>
      </c>
      <c r="F420" t="str">
        <f t="shared" si="13"/>
        <v>ケフレック</v>
      </c>
    </row>
    <row r="421" spans="1:6" x14ac:dyDescent="0.2">
      <c r="A421" s="40" t="s">
        <v>103</v>
      </c>
      <c r="B421" s="177">
        <v>6.27</v>
      </c>
      <c r="C421" s="181">
        <v>1375.3333333333333</v>
      </c>
      <c r="D421" s="119">
        <v>8623.3399999999983</v>
      </c>
      <c r="E421" t="str">
        <f t="shared" si="12"/>
        <v>クエチアピン錠１２．５ｍｇ</v>
      </c>
      <c r="F421" t="str">
        <f t="shared" si="13"/>
        <v>クエチアピ</v>
      </c>
    </row>
    <row r="422" spans="1:6" x14ac:dyDescent="0.15">
      <c r="A422" s="57" t="s">
        <v>215</v>
      </c>
      <c r="B422" s="58">
        <v>17</v>
      </c>
      <c r="C422" s="98">
        <v>507.44444444444446</v>
      </c>
      <c r="D422" s="55">
        <v>8626.5555555555566</v>
      </c>
      <c r="E422" t="str">
        <f t="shared" si="12"/>
        <v>マイスリー錠５ｍｇ　</v>
      </c>
      <c r="F422" t="str">
        <f t="shared" si="13"/>
        <v>マイスリー</v>
      </c>
    </row>
    <row r="423" spans="1:6" x14ac:dyDescent="0.2">
      <c r="A423" s="17" t="s">
        <v>268</v>
      </c>
      <c r="B423" s="18">
        <v>412</v>
      </c>
      <c r="C423" s="97">
        <v>21</v>
      </c>
      <c r="D423" s="16">
        <v>8652</v>
      </c>
      <c r="E423" t="str">
        <f t="shared" si="12"/>
        <v>ヒルドイド　ソフト軟膏０．３％　２５ｇ／本</v>
      </c>
      <c r="F423" t="str">
        <f t="shared" si="13"/>
        <v>ヒルドイド</v>
      </c>
    </row>
    <row r="424" spans="1:6" x14ac:dyDescent="0.2">
      <c r="A424" s="40" t="s">
        <v>194</v>
      </c>
      <c r="B424" s="177">
        <v>5</v>
      </c>
      <c r="C424" s="179">
        <v>1742</v>
      </c>
      <c r="D424" s="119">
        <v>8710</v>
      </c>
      <c r="E424" t="str">
        <f t="shared" si="12"/>
        <v>フルニトラゼパム錠１ｍｇ「アメル」</v>
      </c>
      <c r="F424" t="str">
        <f t="shared" si="13"/>
        <v>フルニトラ</v>
      </c>
    </row>
    <row r="425" spans="1:6" x14ac:dyDescent="0.2">
      <c r="A425" s="40" t="s">
        <v>495</v>
      </c>
      <c r="B425" s="177">
        <v>4.7699999999999996</v>
      </c>
      <c r="C425" s="181">
        <v>1826.4285714285713</v>
      </c>
      <c r="D425" s="119">
        <v>8712.0642857142848</v>
      </c>
      <c r="E425" t="str">
        <f t="shared" si="12"/>
        <v>ジメチコン錠４０ｍｇ</v>
      </c>
      <c r="F425" t="str">
        <f t="shared" si="13"/>
        <v>ジメチコン</v>
      </c>
    </row>
    <row r="426" spans="1:6" x14ac:dyDescent="0.2">
      <c r="A426" s="39" t="s">
        <v>582</v>
      </c>
      <c r="B426" s="180">
        <v>5.08</v>
      </c>
      <c r="C426" s="179">
        <v>1718</v>
      </c>
      <c r="D426" s="119">
        <v>8727.44</v>
      </c>
      <c r="E426" t="str">
        <f t="shared" si="12"/>
        <v>ヒルナミン錠２５ｍｇ</v>
      </c>
      <c r="F426" t="str">
        <f t="shared" si="13"/>
        <v>ヒルナミン</v>
      </c>
    </row>
    <row r="427" spans="1:6" x14ac:dyDescent="0.2">
      <c r="A427" s="17" t="s">
        <v>59</v>
      </c>
      <c r="B427" s="18">
        <v>32.090000000000003</v>
      </c>
      <c r="C427" s="101">
        <v>273</v>
      </c>
      <c r="D427" s="55">
        <v>8760.5700000000015</v>
      </c>
      <c r="E427" t="str">
        <f t="shared" si="12"/>
        <v>０８３ツムラヨクカンサカチンピハンゲ　２．５ｇ／包</v>
      </c>
      <c r="F427" t="str">
        <f t="shared" si="13"/>
        <v>０８３ツム</v>
      </c>
    </row>
    <row r="428" spans="1:6" x14ac:dyDescent="0.2">
      <c r="A428" s="17" t="s">
        <v>233</v>
      </c>
      <c r="B428" s="18">
        <v>9.5</v>
      </c>
      <c r="C428" s="98">
        <v>925</v>
      </c>
      <c r="D428" s="55">
        <v>8787.5</v>
      </c>
      <c r="E428" t="str">
        <f t="shared" si="12"/>
        <v>ルーラン錠４ｍｇ</v>
      </c>
      <c r="F428" t="str">
        <f t="shared" si="13"/>
        <v>ルーラン錠</v>
      </c>
    </row>
    <row r="429" spans="1:6" x14ac:dyDescent="0.15">
      <c r="A429" s="57" t="s">
        <v>781</v>
      </c>
      <c r="B429" s="58">
        <v>30.95</v>
      </c>
      <c r="C429" s="97">
        <v>285</v>
      </c>
      <c r="D429" s="16">
        <v>8820.75</v>
      </c>
      <c r="E429" t="str">
        <f t="shared" si="12"/>
        <v>ソリフェナシンコハク酸塩ＯＤ錠５ｍｇ</v>
      </c>
      <c r="F429" t="str">
        <f t="shared" si="13"/>
        <v>ソリフェナ</v>
      </c>
    </row>
    <row r="430" spans="1:6" x14ac:dyDescent="0.15">
      <c r="A430" s="57" t="s">
        <v>837</v>
      </c>
      <c r="B430" s="22">
        <v>85.83</v>
      </c>
      <c r="C430" s="97">
        <v>103</v>
      </c>
      <c r="D430" s="16">
        <v>8840.49</v>
      </c>
      <c r="E430" t="str">
        <f t="shared" si="12"/>
        <v>エンレスト錠１００ｍｇ</v>
      </c>
      <c r="F430" t="str">
        <f t="shared" si="13"/>
        <v>エンレスト</v>
      </c>
    </row>
    <row r="431" spans="1:6" x14ac:dyDescent="0.2">
      <c r="A431" s="40" t="s">
        <v>175</v>
      </c>
      <c r="B431" s="182">
        <v>5.18</v>
      </c>
      <c r="C431" s="179">
        <v>1731.578947368421</v>
      </c>
      <c r="D431" s="119">
        <v>8969.5789473684199</v>
      </c>
      <c r="E431" t="str">
        <f t="shared" si="12"/>
        <v>バッサミン配合錠Ａ８１</v>
      </c>
      <c r="F431" t="str">
        <f t="shared" si="13"/>
        <v>バッサミン</v>
      </c>
    </row>
    <row r="432" spans="1:6" x14ac:dyDescent="0.2">
      <c r="A432" s="53" t="s">
        <v>98</v>
      </c>
      <c r="B432" s="18">
        <v>9.09</v>
      </c>
      <c r="C432" s="97">
        <v>992.85714285714289</v>
      </c>
      <c r="D432" s="16">
        <v>9025.0714285714294</v>
      </c>
      <c r="E432" t="str">
        <f t="shared" si="12"/>
        <v>カルバマゼピン錠　２００ｍｇ「アメル」</v>
      </c>
      <c r="F432" t="str">
        <f t="shared" si="13"/>
        <v>カルバマゼ</v>
      </c>
    </row>
    <row r="433" spans="1:6" x14ac:dyDescent="0.15">
      <c r="A433" s="39" t="s">
        <v>114</v>
      </c>
      <c r="B433" s="180">
        <v>7.99</v>
      </c>
      <c r="C433" s="181">
        <v>1132.3636363636363</v>
      </c>
      <c r="D433" s="119">
        <v>9047.5854545454531</v>
      </c>
      <c r="E433" t="str">
        <f t="shared" si="12"/>
        <v>コントミン糖衣錠２５ｍｇ　</v>
      </c>
      <c r="F433" t="str">
        <f t="shared" si="13"/>
        <v>コントミン</v>
      </c>
    </row>
    <row r="434" spans="1:6" x14ac:dyDescent="0.2">
      <c r="A434" s="53" t="s">
        <v>800</v>
      </c>
      <c r="B434" s="52">
        <v>9089</v>
      </c>
      <c r="C434" s="98">
        <v>1</v>
      </c>
      <c r="D434" s="16">
        <v>9089</v>
      </c>
      <c r="E434" t="str">
        <f t="shared" si="12"/>
        <v>エピペン注射液０．３ｍｇ</v>
      </c>
      <c r="F434" t="str">
        <f t="shared" si="13"/>
        <v>エピペン注</v>
      </c>
    </row>
    <row r="435" spans="1:6" x14ac:dyDescent="0.15">
      <c r="A435" s="20" t="s">
        <v>540</v>
      </c>
      <c r="B435" s="22">
        <v>77.099999999999994</v>
      </c>
      <c r="C435" s="97">
        <v>118</v>
      </c>
      <c r="D435" s="16">
        <v>9097.7999999999993</v>
      </c>
      <c r="E435" t="str">
        <f t="shared" si="12"/>
        <v>リバスタッチテープ９ｍｇ　２８枚</v>
      </c>
      <c r="F435" t="str">
        <f t="shared" si="13"/>
        <v>リバスタッ</v>
      </c>
    </row>
    <row r="436" spans="1:6" x14ac:dyDescent="0.15">
      <c r="A436" s="39" t="s">
        <v>611</v>
      </c>
      <c r="B436" s="180">
        <v>6.95</v>
      </c>
      <c r="C436" s="181">
        <v>1309.3333333333333</v>
      </c>
      <c r="D436" s="119">
        <v>9099.8666666666668</v>
      </c>
      <c r="E436" t="str">
        <f t="shared" si="12"/>
        <v>レキソタン錠　５ｍｇ</v>
      </c>
      <c r="F436" t="str">
        <f t="shared" si="13"/>
        <v>レキソタン</v>
      </c>
    </row>
    <row r="437" spans="1:6" x14ac:dyDescent="0.2">
      <c r="A437" s="40" t="s">
        <v>217</v>
      </c>
      <c r="B437" s="177">
        <v>3.42</v>
      </c>
      <c r="C437" s="181">
        <v>2688.9310344827586</v>
      </c>
      <c r="D437" s="119">
        <v>9196.1441379310345</v>
      </c>
      <c r="E437" t="str">
        <f t="shared" si="12"/>
        <v>マグミット錠５００ｍｇ</v>
      </c>
      <c r="F437" t="str">
        <f t="shared" si="13"/>
        <v>マグミット</v>
      </c>
    </row>
    <row r="438" spans="1:6" x14ac:dyDescent="0.2">
      <c r="A438" s="53" t="s">
        <v>778</v>
      </c>
      <c r="B438" s="69">
        <v>10.93</v>
      </c>
      <c r="C438" s="98">
        <v>851.85185185185185</v>
      </c>
      <c r="D438" s="55">
        <v>9310.7407407407409</v>
      </c>
      <c r="E438" t="str">
        <f t="shared" si="12"/>
        <v>シロスタゾールＯＤ錠１００</v>
      </c>
      <c r="F438" t="str">
        <f t="shared" si="13"/>
        <v>シロスタゾ</v>
      </c>
    </row>
    <row r="439" spans="1:6" x14ac:dyDescent="0.2">
      <c r="A439" s="17" t="s">
        <v>289</v>
      </c>
      <c r="B439" s="18">
        <v>4700</v>
      </c>
      <c r="C439" s="97">
        <v>2</v>
      </c>
      <c r="D439" s="16">
        <v>9400</v>
      </c>
      <c r="E439" t="str">
        <f t="shared" si="12"/>
        <v>レルベア２００エリプタ</v>
      </c>
      <c r="F439" t="str">
        <f t="shared" si="13"/>
        <v>レルベア２</v>
      </c>
    </row>
    <row r="440" spans="1:6" x14ac:dyDescent="0.15">
      <c r="A440" s="39" t="s">
        <v>179</v>
      </c>
      <c r="B440" s="180">
        <v>5.0999999999999996</v>
      </c>
      <c r="C440" s="178">
        <v>1854.5</v>
      </c>
      <c r="D440" s="119">
        <v>9457.9499999999989</v>
      </c>
      <c r="E440" t="str">
        <f t="shared" si="12"/>
        <v>ハロペリドール錠　０．７５ｍｇ</v>
      </c>
      <c r="F440" t="str">
        <f t="shared" si="13"/>
        <v>ハロペリド</v>
      </c>
    </row>
    <row r="441" spans="1:6" x14ac:dyDescent="0.15">
      <c r="A441" s="20" t="s">
        <v>842</v>
      </c>
      <c r="B441" s="22">
        <v>143.55000000000001</v>
      </c>
      <c r="C441" s="97">
        <v>66</v>
      </c>
      <c r="D441" s="16">
        <v>9474.3000000000011</v>
      </c>
      <c r="E441" t="str">
        <f t="shared" si="12"/>
        <v>ダーブロック錠２ｍｇ</v>
      </c>
      <c r="F441" t="str">
        <f t="shared" si="13"/>
        <v>ダーブロッ</v>
      </c>
    </row>
    <row r="442" spans="1:6" x14ac:dyDescent="0.2">
      <c r="A442" s="40" t="s">
        <v>712</v>
      </c>
      <c r="B442" s="177">
        <v>4.2300000000000004</v>
      </c>
      <c r="C442" s="178">
        <v>2267</v>
      </c>
      <c r="D442" s="119">
        <v>9589.4100000000017</v>
      </c>
      <c r="E442" t="str">
        <f t="shared" si="12"/>
        <v>センノシド錠　１２ｍｇ「トーワ」</v>
      </c>
      <c r="F442" t="str">
        <f t="shared" si="13"/>
        <v>センノシド</v>
      </c>
    </row>
    <row r="443" spans="1:6" x14ac:dyDescent="0.2">
      <c r="A443" s="20" t="s">
        <v>477</v>
      </c>
      <c r="B443" s="22">
        <v>56.17</v>
      </c>
      <c r="C443" s="101">
        <v>172</v>
      </c>
      <c r="D443" s="55">
        <v>9661.24</v>
      </c>
      <c r="E443" t="str">
        <f t="shared" si="12"/>
        <v>モビコール配合内用剤ＬＤ</v>
      </c>
      <c r="F443" t="str">
        <f t="shared" si="13"/>
        <v>モビコール</v>
      </c>
    </row>
    <row r="444" spans="1:6" x14ac:dyDescent="0.2">
      <c r="A444" s="53" t="s">
        <v>516</v>
      </c>
      <c r="B444" s="52">
        <v>27.69</v>
      </c>
      <c r="C444" s="99">
        <v>350</v>
      </c>
      <c r="D444" s="16">
        <v>9691.5</v>
      </c>
      <c r="E444" t="str">
        <f t="shared" si="12"/>
        <v>クロピトグレル錠７５ｍｇ</v>
      </c>
      <c r="F444" t="str">
        <f t="shared" si="13"/>
        <v>クロピトグ</v>
      </c>
    </row>
    <row r="445" spans="1:6" x14ac:dyDescent="0.2">
      <c r="A445" s="53" t="s">
        <v>371</v>
      </c>
      <c r="B445" s="52">
        <v>295</v>
      </c>
      <c r="C445" s="98">
        <v>33</v>
      </c>
      <c r="D445" s="16">
        <v>9735</v>
      </c>
      <c r="E445" t="str">
        <f t="shared" si="12"/>
        <v>大塚糖液　５％５００ｍｌ</v>
      </c>
      <c r="F445" t="str">
        <f t="shared" si="13"/>
        <v>大塚糖液　</v>
      </c>
    </row>
    <row r="446" spans="1:6" x14ac:dyDescent="0.2">
      <c r="A446" s="53" t="s">
        <v>708</v>
      </c>
      <c r="B446" s="18">
        <v>16.79</v>
      </c>
      <c r="C446" s="99">
        <v>580.22222222222217</v>
      </c>
      <c r="D446" s="16">
        <v>9741.9311111111092</v>
      </c>
      <c r="E446" t="str">
        <f t="shared" si="12"/>
        <v>エピナスチン錠２０ｍｇ「トーワ」</v>
      </c>
      <c r="F446" t="str">
        <f t="shared" si="13"/>
        <v>エピナスチ</v>
      </c>
    </row>
    <row r="447" spans="1:6" x14ac:dyDescent="0.2">
      <c r="A447" s="53" t="s">
        <v>222</v>
      </c>
      <c r="B447" s="52">
        <v>9.92</v>
      </c>
      <c r="C447" s="98">
        <v>983.33333333333337</v>
      </c>
      <c r="D447" s="55">
        <v>9754.6666666666679</v>
      </c>
      <c r="E447" t="str">
        <f t="shared" si="12"/>
        <v>ランソプラゾール　ＯＤ錠１５</v>
      </c>
      <c r="F447" t="str">
        <f t="shared" si="13"/>
        <v>ランソプラ</v>
      </c>
    </row>
    <row r="448" spans="1:6" x14ac:dyDescent="0.2">
      <c r="A448" s="40" t="s">
        <v>91</v>
      </c>
      <c r="B448" s="177">
        <v>8.15</v>
      </c>
      <c r="C448" s="181">
        <v>1200.8571428571429</v>
      </c>
      <c r="D448" s="119">
        <v>9786.9857142857145</v>
      </c>
      <c r="E448" t="str">
        <f t="shared" si="12"/>
        <v>オランザピン錠２．５ｍｇ</v>
      </c>
      <c r="F448" t="str">
        <f t="shared" si="13"/>
        <v>オランザピ</v>
      </c>
    </row>
    <row r="449" spans="1:6" x14ac:dyDescent="0.15">
      <c r="A449" s="57" t="s">
        <v>396</v>
      </c>
      <c r="B449" s="58">
        <v>394</v>
      </c>
      <c r="C449" s="98">
        <v>25</v>
      </c>
      <c r="D449" s="16">
        <v>9850</v>
      </c>
      <c r="E449" t="str">
        <f t="shared" si="12"/>
        <v>ピューラックス　６％　￥５９０　６００ｍＬ</v>
      </c>
      <c r="F449" t="str">
        <f t="shared" si="13"/>
        <v>ピューラッ</v>
      </c>
    </row>
    <row r="450" spans="1:6" x14ac:dyDescent="0.2">
      <c r="A450" s="53" t="s">
        <v>667</v>
      </c>
      <c r="B450" s="52">
        <v>493.55</v>
      </c>
      <c r="C450" s="98">
        <v>20</v>
      </c>
      <c r="D450" s="16">
        <v>9871</v>
      </c>
      <c r="E450" t="str">
        <f t="shared" si="12"/>
        <v>パレプラス輸液</v>
      </c>
      <c r="F450" t="str">
        <f t="shared" si="13"/>
        <v>パレプラス</v>
      </c>
    </row>
    <row r="451" spans="1:6" x14ac:dyDescent="0.2">
      <c r="A451" s="40" t="s">
        <v>160</v>
      </c>
      <c r="B451" s="177">
        <v>5.36</v>
      </c>
      <c r="C451" s="178">
        <v>1846.1111111111111</v>
      </c>
      <c r="D451" s="119">
        <v>9895.1555555555551</v>
      </c>
      <c r="E451" t="str">
        <f t="shared" si="12"/>
        <v>トリアゾラム錠０．２５ｍｇ</v>
      </c>
      <c r="F451" t="str">
        <f t="shared" si="13"/>
        <v>トリアゾラ</v>
      </c>
    </row>
    <row r="452" spans="1:6" x14ac:dyDescent="0.2">
      <c r="A452" s="39" t="s">
        <v>581</v>
      </c>
      <c r="B452" s="180">
        <v>5.08</v>
      </c>
      <c r="C452" s="179">
        <v>1970.090909090909</v>
      </c>
      <c r="D452" s="119">
        <v>10008.061818181817</v>
      </c>
      <c r="E452" t="str">
        <f t="shared" si="12"/>
        <v>ヒルナミン錠５ｍｇ</v>
      </c>
      <c r="F452" t="str">
        <f t="shared" si="13"/>
        <v>ヒルナミン</v>
      </c>
    </row>
    <row r="453" spans="1:6" x14ac:dyDescent="0.15">
      <c r="A453" s="20" t="s">
        <v>292</v>
      </c>
      <c r="B453" s="22">
        <v>834.4</v>
      </c>
      <c r="C453" s="97">
        <v>12</v>
      </c>
      <c r="D453" s="16">
        <v>10012.799999999999</v>
      </c>
      <c r="E453" t="str">
        <f t="shared" ref="E453:E516" si="14">DBCS(A453)</f>
        <v>エイゾプト懸濁性点眼液１％　５ｍＬＸ１０</v>
      </c>
      <c r="F453" t="str">
        <f t="shared" ref="F453:F516" si="15">LEFT(E453,5)</f>
        <v>エイゾプト</v>
      </c>
    </row>
    <row r="454" spans="1:6" x14ac:dyDescent="0.15">
      <c r="A454" s="39" t="s">
        <v>782</v>
      </c>
      <c r="B454" s="180">
        <v>8.2799999999999994</v>
      </c>
      <c r="C454" s="178">
        <v>1219</v>
      </c>
      <c r="D454" s="119">
        <v>10093.32</v>
      </c>
      <c r="E454" t="str">
        <f t="shared" si="14"/>
        <v>テルミサルタンＯＤ錠２０ｍｇ　</v>
      </c>
      <c r="F454" t="str">
        <f t="shared" si="15"/>
        <v>テルミサル</v>
      </c>
    </row>
    <row r="455" spans="1:6" x14ac:dyDescent="0.2">
      <c r="A455" s="31" t="s">
        <v>523</v>
      </c>
      <c r="B455" s="18">
        <v>59.77</v>
      </c>
      <c r="C455" s="97">
        <v>169</v>
      </c>
      <c r="D455" s="16">
        <v>10101.130000000001</v>
      </c>
      <c r="E455" t="str">
        <f t="shared" si="14"/>
        <v>イリボー（５）</v>
      </c>
      <c r="F455" t="str">
        <f t="shared" si="15"/>
        <v>イリボー（</v>
      </c>
    </row>
    <row r="456" spans="1:6" x14ac:dyDescent="0.2">
      <c r="A456" s="39" t="s">
        <v>551</v>
      </c>
      <c r="B456" s="180">
        <v>8.6</v>
      </c>
      <c r="C456" s="185">
        <v>1177</v>
      </c>
      <c r="D456" s="119">
        <v>10122.199999999999</v>
      </c>
      <c r="E456" t="str">
        <f t="shared" si="14"/>
        <v>ファモチジンＤ錠２０㎎</v>
      </c>
      <c r="F456" t="str">
        <f t="shared" si="15"/>
        <v>ファモチジ</v>
      </c>
    </row>
    <row r="457" spans="1:6" x14ac:dyDescent="0.15">
      <c r="A457" s="20" t="s">
        <v>538</v>
      </c>
      <c r="B457" s="22">
        <v>86.71</v>
      </c>
      <c r="C457" s="97">
        <v>117</v>
      </c>
      <c r="D457" s="16">
        <v>10145.07</v>
      </c>
      <c r="E457" t="str">
        <f t="shared" si="14"/>
        <v>リバスチグミンテープ１８ｍｇ　２８枚</v>
      </c>
      <c r="F457" t="str">
        <f t="shared" si="15"/>
        <v>リバスチグ</v>
      </c>
    </row>
    <row r="458" spans="1:6" x14ac:dyDescent="0.2">
      <c r="A458" s="40" t="s">
        <v>82</v>
      </c>
      <c r="B458" s="182">
        <v>8.99</v>
      </c>
      <c r="C458" s="178">
        <v>1145.4545454545453</v>
      </c>
      <c r="D458" s="119">
        <v>10297.636363636362</v>
      </c>
      <c r="E458" t="str">
        <f t="shared" si="14"/>
        <v>エナラプリルマレイン酸塩酸錠５</v>
      </c>
      <c r="F458" t="str">
        <f t="shared" si="15"/>
        <v>エナラプリ</v>
      </c>
    </row>
    <row r="459" spans="1:6" x14ac:dyDescent="0.2">
      <c r="A459" s="17" t="s">
        <v>61</v>
      </c>
      <c r="B459" s="18">
        <v>22.72</v>
      </c>
      <c r="C459" s="101">
        <v>454</v>
      </c>
      <c r="D459" s="55">
        <v>10314.879999999999</v>
      </c>
      <c r="E459" t="str">
        <f t="shared" si="14"/>
        <v>クラシエ葛根湯　ＥＫ－１　２．５ｇ／包</v>
      </c>
      <c r="F459" t="str">
        <f t="shared" si="15"/>
        <v>クラシエ葛</v>
      </c>
    </row>
    <row r="460" spans="1:6" x14ac:dyDescent="0.2">
      <c r="A460" s="17" t="s">
        <v>54</v>
      </c>
      <c r="B460" s="18">
        <v>40.08</v>
      </c>
      <c r="C460" s="101">
        <v>258</v>
      </c>
      <c r="D460" s="55">
        <v>10340.64</v>
      </c>
      <c r="E460" t="str">
        <f t="shared" si="14"/>
        <v>０４３ツムラリックンシトウ　２．５ｇ／包</v>
      </c>
      <c r="F460" t="str">
        <f t="shared" si="15"/>
        <v>０４３ツム</v>
      </c>
    </row>
    <row r="461" spans="1:6" x14ac:dyDescent="0.2">
      <c r="A461" s="53" t="s">
        <v>397</v>
      </c>
      <c r="B461" s="52">
        <v>290</v>
      </c>
      <c r="C461" s="98">
        <v>36</v>
      </c>
      <c r="D461" s="16">
        <v>10440</v>
      </c>
      <c r="E461" t="str">
        <f t="shared" si="14"/>
        <v>逆性石ケン液１０「ヨシダ」　５００ｍｌ</v>
      </c>
      <c r="F461" t="str">
        <f t="shared" si="15"/>
        <v>逆性石ケン</v>
      </c>
    </row>
    <row r="462" spans="1:6" x14ac:dyDescent="0.2">
      <c r="A462" s="63" t="s">
        <v>464</v>
      </c>
      <c r="B462" s="86">
        <v>68.239999999999995</v>
      </c>
      <c r="C462" s="98">
        <v>153</v>
      </c>
      <c r="D462" s="55">
        <v>10440.719999999999</v>
      </c>
      <c r="E462" t="str">
        <f t="shared" si="14"/>
        <v>トロペロン細粒１％</v>
      </c>
      <c r="F462" t="str">
        <f t="shared" si="15"/>
        <v>トロペロン</v>
      </c>
    </row>
    <row r="463" spans="1:6" x14ac:dyDescent="0.2">
      <c r="A463" s="53" t="s">
        <v>432</v>
      </c>
      <c r="B463" s="58">
        <v>72.3</v>
      </c>
      <c r="C463" s="98">
        <v>145</v>
      </c>
      <c r="D463" s="16">
        <v>10483.5</v>
      </c>
      <c r="E463" t="str">
        <f t="shared" si="14"/>
        <v>ケトプロフェンパップ３０（７枚入）</v>
      </c>
      <c r="F463" t="str">
        <f t="shared" si="15"/>
        <v>ケトプロフ</v>
      </c>
    </row>
    <row r="464" spans="1:6" x14ac:dyDescent="0.2">
      <c r="A464" s="53" t="s">
        <v>736</v>
      </c>
      <c r="B464" s="52">
        <v>26.75</v>
      </c>
      <c r="C464" s="97">
        <v>396.57142857142856</v>
      </c>
      <c r="D464" s="16">
        <v>10608.285714285714</v>
      </c>
      <c r="E464" t="str">
        <f t="shared" si="14"/>
        <v>トピロリック</v>
      </c>
      <c r="F464" t="str">
        <f t="shared" si="15"/>
        <v>トピロリッ</v>
      </c>
    </row>
    <row r="465" spans="1:6" x14ac:dyDescent="0.15">
      <c r="A465" s="57" t="s">
        <v>281</v>
      </c>
      <c r="B465" s="22">
        <v>36.6</v>
      </c>
      <c r="C465" s="97">
        <v>290</v>
      </c>
      <c r="D465" s="16">
        <v>10614</v>
      </c>
      <c r="E465" t="str">
        <f t="shared" si="14"/>
        <v>５％　サリチル酸ワセリン　軟膏　５００ｇ</v>
      </c>
      <c r="F465" t="str">
        <f t="shared" si="15"/>
        <v>５％　サリ</v>
      </c>
    </row>
    <row r="466" spans="1:6" x14ac:dyDescent="0.15">
      <c r="A466" s="57" t="s">
        <v>147</v>
      </c>
      <c r="B466" s="22">
        <v>17.43</v>
      </c>
      <c r="C466" s="97">
        <v>612.5</v>
      </c>
      <c r="D466" s="16">
        <v>10675.875</v>
      </c>
      <c r="E466" t="str">
        <f t="shared" si="14"/>
        <v>タムスロシン塩酸塩ＯＤ錠０．２ｍｇ</v>
      </c>
      <c r="F466" t="str">
        <f t="shared" si="15"/>
        <v>タムスロシ</v>
      </c>
    </row>
    <row r="467" spans="1:6" x14ac:dyDescent="0.2">
      <c r="A467" s="53" t="s">
        <v>241</v>
      </c>
      <c r="B467" s="52">
        <v>32.96</v>
      </c>
      <c r="C467" s="98">
        <v>325</v>
      </c>
      <c r="D467" s="55">
        <v>10712</v>
      </c>
      <c r="E467" t="str">
        <f t="shared" si="14"/>
        <v>レボフロキサシン錠２５０ｍｇ</v>
      </c>
      <c r="F467" t="str">
        <f t="shared" si="15"/>
        <v>レボフロキ</v>
      </c>
    </row>
    <row r="468" spans="1:6" x14ac:dyDescent="0.15">
      <c r="A468" s="39" t="s">
        <v>143</v>
      </c>
      <c r="B468" s="180">
        <v>5.22</v>
      </c>
      <c r="C468" s="178">
        <v>2066.3333333333335</v>
      </c>
      <c r="D468" s="119">
        <v>10786.26</v>
      </c>
      <c r="E468" t="str">
        <f t="shared" si="14"/>
        <v>ソラナックス０．４ｍｇ錠　</v>
      </c>
      <c r="F468" t="str">
        <f t="shared" si="15"/>
        <v>ソラナック</v>
      </c>
    </row>
    <row r="469" spans="1:6" x14ac:dyDescent="0.2">
      <c r="A469" s="53" t="s">
        <v>791</v>
      </c>
      <c r="B469" s="18">
        <v>186.25</v>
      </c>
      <c r="C469" s="101">
        <v>58</v>
      </c>
      <c r="D469" s="55">
        <v>10802.5</v>
      </c>
      <c r="E469" t="str">
        <f t="shared" si="14"/>
        <v>エビリファイ内用液分包６ｍｇ</v>
      </c>
      <c r="F469" t="str">
        <f t="shared" si="15"/>
        <v>エビリファ</v>
      </c>
    </row>
    <row r="470" spans="1:6" x14ac:dyDescent="0.15">
      <c r="A470" s="39" t="s">
        <v>113</v>
      </c>
      <c r="B470" s="180">
        <v>7.99</v>
      </c>
      <c r="C470" s="178">
        <v>1358.5</v>
      </c>
      <c r="D470" s="119">
        <v>10854.415000000001</v>
      </c>
      <c r="E470" t="str">
        <f t="shared" si="14"/>
        <v>コントミン糖衣錠１００ｍｇ　</v>
      </c>
      <c r="F470" t="str">
        <f t="shared" si="15"/>
        <v>コントミン</v>
      </c>
    </row>
    <row r="471" spans="1:6" x14ac:dyDescent="0.2">
      <c r="A471" s="17" t="s">
        <v>291</v>
      </c>
      <c r="B471" s="18">
        <v>454</v>
      </c>
      <c r="C471" s="97">
        <v>24</v>
      </c>
      <c r="D471" s="16">
        <v>10896</v>
      </c>
      <c r="E471" t="str">
        <f t="shared" si="14"/>
        <v>アレギサール点眼液０．１％　５ｍｌ／本</v>
      </c>
      <c r="F471" t="str">
        <f t="shared" si="15"/>
        <v>アレギサー</v>
      </c>
    </row>
    <row r="472" spans="1:6" x14ac:dyDescent="0.2">
      <c r="A472" s="40" t="s">
        <v>151</v>
      </c>
      <c r="B472" s="177">
        <v>8.73</v>
      </c>
      <c r="C472" s="178">
        <v>1260</v>
      </c>
      <c r="D472" s="119">
        <v>10999.800000000001</v>
      </c>
      <c r="E472" t="str">
        <f t="shared" si="14"/>
        <v>チラ－ヂン　Ｓ錠５０μＧ</v>
      </c>
      <c r="F472" t="str">
        <f t="shared" si="15"/>
        <v>チラ－ヂン</v>
      </c>
    </row>
    <row r="473" spans="1:6" x14ac:dyDescent="0.15">
      <c r="A473" s="39" t="s">
        <v>765</v>
      </c>
      <c r="B473" s="180">
        <v>5.3</v>
      </c>
      <c r="C473" s="181">
        <v>2083.333333333333</v>
      </c>
      <c r="D473" s="119">
        <v>11041.666666666664</v>
      </c>
      <c r="E473" t="str">
        <f t="shared" si="14"/>
        <v>アルファカルシドール０．５「フソー」</v>
      </c>
      <c r="F473" t="str">
        <f t="shared" si="15"/>
        <v>アルファカ</v>
      </c>
    </row>
    <row r="474" spans="1:6" x14ac:dyDescent="0.15">
      <c r="A474" s="39" t="s">
        <v>167</v>
      </c>
      <c r="B474" s="180">
        <v>8.0399999999999991</v>
      </c>
      <c r="C474" s="178">
        <v>1375</v>
      </c>
      <c r="D474" s="119">
        <v>11054.999999999998</v>
      </c>
      <c r="E474" t="str">
        <f t="shared" si="14"/>
        <v>ニセルゴリン錠５ｍｇ　</v>
      </c>
      <c r="F474" t="str">
        <f t="shared" si="15"/>
        <v>ニセルゴリ</v>
      </c>
    </row>
    <row r="475" spans="1:6" x14ac:dyDescent="0.2">
      <c r="A475" s="17" t="s">
        <v>38</v>
      </c>
      <c r="B475" s="18">
        <v>395.23</v>
      </c>
      <c r="C475" s="101">
        <v>28</v>
      </c>
      <c r="D475" s="55">
        <v>11066.44</v>
      </c>
      <c r="E475" t="str">
        <f t="shared" si="14"/>
        <v>アミノレバンＥＮ配合散　５０ｇ／包</v>
      </c>
      <c r="F475" t="str">
        <f t="shared" si="15"/>
        <v>アミノレバ</v>
      </c>
    </row>
    <row r="476" spans="1:6" x14ac:dyDescent="0.2">
      <c r="A476" s="40" t="s">
        <v>713</v>
      </c>
      <c r="B476" s="177">
        <v>8.24</v>
      </c>
      <c r="C476" s="181">
        <v>1350.1538461538462</v>
      </c>
      <c r="D476" s="119">
        <v>11125.267692307692</v>
      </c>
      <c r="E476" t="str">
        <f t="shared" si="14"/>
        <v>リスペリドン錠２ｍｇ</v>
      </c>
      <c r="F476" t="str">
        <f t="shared" si="15"/>
        <v>リスペリド</v>
      </c>
    </row>
    <row r="477" spans="1:6" x14ac:dyDescent="0.2">
      <c r="A477" s="24" t="s">
        <v>421</v>
      </c>
      <c r="B477" s="86">
        <v>59.7</v>
      </c>
      <c r="C477" s="98">
        <v>191</v>
      </c>
      <c r="D477" s="55">
        <v>11402.7</v>
      </c>
      <c r="E477" t="str">
        <f t="shared" si="14"/>
        <v>オランザピン細粒１％「ヨシトミ」</v>
      </c>
      <c r="F477" t="str">
        <f t="shared" si="15"/>
        <v>オランザピ</v>
      </c>
    </row>
    <row r="478" spans="1:6" x14ac:dyDescent="0.2">
      <c r="A478" s="17" t="s">
        <v>293</v>
      </c>
      <c r="B478" s="18">
        <v>483.1</v>
      </c>
      <c r="C478" s="97">
        <v>24</v>
      </c>
      <c r="D478" s="16">
        <v>11594.400000000001</v>
      </c>
      <c r="E478" t="str">
        <f t="shared" si="14"/>
        <v>オフロキサシン点眼液０．３％「タナベ」　５ｍｌ／本</v>
      </c>
      <c r="F478" t="str">
        <f t="shared" si="15"/>
        <v>オフロキサ</v>
      </c>
    </row>
    <row r="479" spans="1:6" x14ac:dyDescent="0.2">
      <c r="A479" s="40" t="s">
        <v>229</v>
      </c>
      <c r="B479" s="177">
        <v>10.42</v>
      </c>
      <c r="C479" s="181">
        <v>1119.3157894736842</v>
      </c>
      <c r="D479" s="119">
        <v>11663.27052631579</v>
      </c>
      <c r="E479" t="str">
        <f t="shared" si="14"/>
        <v>リスペリドン錠３ｍｇ</v>
      </c>
      <c r="F479" t="str">
        <f t="shared" si="15"/>
        <v>リスペリド</v>
      </c>
    </row>
    <row r="480" spans="1:6" x14ac:dyDescent="0.15">
      <c r="A480" s="20" t="s">
        <v>112</v>
      </c>
      <c r="B480" s="22">
        <v>39.94</v>
      </c>
      <c r="C480" s="99">
        <v>292.33333333333337</v>
      </c>
      <c r="D480" s="16">
        <v>11675.793333333335</v>
      </c>
      <c r="E480" t="str">
        <f t="shared" si="14"/>
        <v>ケルロング錠１０ｍｇ　ＰＴＰ　５００錠</v>
      </c>
      <c r="F480" t="str">
        <f t="shared" si="15"/>
        <v>ケルロング</v>
      </c>
    </row>
    <row r="481" spans="1:6" x14ac:dyDescent="0.15">
      <c r="A481" s="39" t="s">
        <v>99</v>
      </c>
      <c r="B481" s="180">
        <v>9.16</v>
      </c>
      <c r="C481" s="181">
        <v>1291.5384615384614</v>
      </c>
      <c r="D481" s="119">
        <v>11830.492307692308</v>
      </c>
      <c r="E481" t="str">
        <f t="shared" si="14"/>
        <v>カルベジロール錠１０ｍｇ「サワイ」</v>
      </c>
      <c r="F481" t="str">
        <f t="shared" si="15"/>
        <v>カルベジロ</v>
      </c>
    </row>
    <row r="482" spans="1:6" x14ac:dyDescent="0.2">
      <c r="A482" s="40" t="s">
        <v>558</v>
      </c>
      <c r="B482" s="177">
        <v>8.73</v>
      </c>
      <c r="C482" s="178">
        <v>1390</v>
      </c>
      <c r="D482" s="119">
        <v>12134.7</v>
      </c>
      <c r="E482" t="str">
        <f t="shared" si="14"/>
        <v>チラ－ヂン　Ｓ錠２５μＧ</v>
      </c>
      <c r="F482" t="str">
        <f t="shared" si="15"/>
        <v>チラ－ヂン</v>
      </c>
    </row>
    <row r="483" spans="1:6" x14ac:dyDescent="0.2">
      <c r="A483" s="24" t="s">
        <v>874</v>
      </c>
      <c r="B483" s="86">
        <v>20.18</v>
      </c>
      <c r="C483" s="98">
        <v>604</v>
      </c>
      <c r="D483" s="55">
        <v>12188.72</v>
      </c>
      <c r="E483" t="str">
        <f t="shared" si="14"/>
        <v>カルバマゼピン細粒５０％</v>
      </c>
      <c r="F483" t="str">
        <f t="shared" si="15"/>
        <v>カルバマゼ</v>
      </c>
    </row>
    <row r="484" spans="1:6" x14ac:dyDescent="0.2">
      <c r="A484" s="53" t="s">
        <v>821</v>
      </c>
      <c r="B484" s="52">
        <v>943.8</v>
      </c>
      <c r="C484" s="98">
        <v>13</v>
      </c>
      <c r="D484" s="16">
        <v>12269.4</v>
      </c>
      <c r="E484" t="str">
        <f t="shared" si="14"/>
        <v>レボフロキサシン点滴静注バッグ</v>
      </c>
      <c r="F484" t="str">
        <f t="shared" si="15"/>
        <v>レボフロキ</v>
      </c>
    </row>
    <row r="485" spans="1:6" x14ac:dyDescent="0.2">
      <c r="A485" s="39" t="s">
        <v>460</v>
      </c>
      <c r="B485" s="184">
        <v>9.35</v>
      </c>
      <c r="C485" s="181">
        <v>1324</v>
      </c>
      <c r="D485" s="119">
        <v>12379.4</v>
      </c>
      <c r="E485" t="str">
        <f t="shared" si="14"/>
        <v>マーズレンＳ配合顆粒</v>
      </c>
      <c r="F485" t="str">
        <f t="shared" si="15"/>
        <v>マーズレン</v>
      </c>
    </row>
    <row r="486" spans="1:6" x14ac:dyDescent="0.2">
      <c r="A486" s="53" t="s">
        <v>711</v>
      </c>
      <c r="B486" s="18">
        <v>27.5</v>
      </c>
      <c r="C486" s="99">
        <v>450.58823529411768</v>
      </c>
      <c r="D486" s="16">
        <v>12391.176470588236</v>
      </c>
      <c r="E486" t="str">
        <f t="shared" si="14"/>
        <v>ガランタミンＯＤ錠１２ｍｇ「日医工」</v>
      </c>
      <c r="F486" t="str">
        <f t="shared" si="15"/>
        <v>ガランタミ</v>
      </c>
    </row>
    <row r="487" spans="1:6" x14ac:dyDescent="0.15">
      <c r="A487" s="57" t="s">
        <v>601</v>
      </c>
      <c r="B487" s="58">
        <v>26.72</v>
      </c>
      <c r="C487" s="98">
        <v>468</v>
      </c>
      <c r="D487" s="55">
        <v>12504.96</v>
      </c>
      <c r="E487" t="str">
        <f t="shared" si="14"/>
        <v>ラモトリギン錠１００ｍｇ</v>
      </c>
      <c r="F487" t="str">
        <f t="shared" si="15"/>
        <v>ラモトリギ</v>
      </c>
    </row>
    <row r="488" spans="1:6" x14ac:dyDescent="0.15">
      <c r="A488" s="39" t="s">
        <v>683</v>
      </c>
      <c r="B488" s="183">
        <v>10.75</v>
      </c>
      <c r="C488" s="181">
        <v>1166</v>
      </c>
      <c r="D488" s="119">
        <v>12534.5</v>
      </c>
      <c r="E488" t="str">
        <f t="shared" si="14"/>
        <v>パントシン散（２０％）　</v>
      </c>
      <c r="F488" t="str">
        <f t="shared" si="15"/>
        <v>パントシン</v>
      </c>
    </row>
    <row r="489" spans="1:6" x14ac:dyDescent="0.2">
      <c r="A489" s="39" t="s">
        <v>187</v>
      </c>
      <c r="B489" s="180">
        <v>5</v>
      </c>
      <c r="C489" s="179">
        <v>2508.6363636363635</v>
      </c>
      <c r="D489" s="119">
        <v>12543.181818181818</v>
      </c>
      <c r="E489" t="str">
        <f t="shared" si="14"/>
        <v>ヒベルナ糖衣錠２５ｍｇ</v>
      </c>
      <c r="F489" t="str">
        <f t="shared" si="15"/>
        <v>ヒベルナ糖</v>
      </c>
    </row>
    <row r="490" spans="1:6" x14ac:dyDescent="0.2">
      <c r="A490" s="53" t="s">
        <v>370</v>
      </c>
      <c r="B490" s="52">
        <v>210</v>
      </c>
      <c r="C490" s="98">
        <v>60</v>
      </c>
      <c r="D490" s="16">
        <v>12600</v>
      </c>
      <c r="E490" t="str">
        <f t="shared" si="14"/>
        <v>大塚生食注５００ｍｌ</v>
      </c>
      <c r="F490" t="str">
        <f t="shared" si="15"/>
        <v>大塚生食注</v>
      </c>
    </row>
    <row r="491" spans="1:6" x14ac:dyDescent="0.15">
      <c r="A491" s="57" t="s">
        <v>214</v>
      </c>
      <c r="B491" s="58">
        <v>14.07</v>
      </c>
      <c r="C491" s="97">
        <v>900</v>
      </c>
      <c r="D491" s="16">
        <v>12663</v>
      </c>
      <c r="E491" t="str">
        <f t="shared" si="14"/>
        <v>マイスタン錠５ｍｇ</v>
      </c>
      <c r="F491" t="str">
        <f t="shared" si="15"/>
        <v>マイスタン</v>
      </c>
    </row>
    <row r="492" spans="1:6" x14ac:dyDescent="0.15">
      <c r="A492" s="20" t="s">
        <v>108</v>
      </c>
      <c r="B492" s="22">
        <v>32.03</v>
      </c>
      <c r="C492" s="99">
        <v>401</v>
      </c>
      <c r="D492" s="16">
        <v>12844.03</v>
      </c>
      <c r="E492" t="str">
        <f t="shared" si="14"/>
        <v>クラリチン錠１０ｍｇ　（ＭＳＤ）　ＰＴＰ　１００錠</v>
      </c>
      <c r="F492" t="str">
        <f t="shared" si="15"/>
        <v>クラリチン</v>
      </c>
    </row>
    <row r="493" spans="1:6" x14ac:dyDescent="0.2">
      <c r="A493" s="17" t="s">
        <v>189</v>
      </c>
      <c r="B493" s="18">
        <v>128.63999999999999</v>
      </c>
      <c r="C493" s="101">
        <v>100</v>
      </c>
      <c r="D493" s="16">
        <v>12863.999999999998</v>
      </c>
      <c r="E493" t="str">
        <f t="shared" si="14"/>
        <v>ファロム錠２００ＭＧ</v>
      </c>
      <c r="F493" t="str">
        <f t="shared" si="15"/>
        <v>ファロム錠</v>
      </c>
    </row>
    <row r="494" spans="1:6" x14ac:dyDescent="0.15">
      <c r="A494" s="39" t="s">
        <v>115</v>
      </c>
      <c r="B494" s="180">
        <v>7.99</v>
      </c>
      <c r="C494" s="178">
        <v>1616.6666666666667</v>
      </c>
      <c r="D494" s="119">
        <v>12917.166666666668</v>
      </c>
      <c r="E494" t="str">
        <f t="shared" si="14"/>
        <v>コントミン糖衣錠５０ｍｇ　</v>
      </c>
      <c r="F494" t="str">
        <f t="shared" si="15"/>
        <v>コントミン</v>
      </c>
    </row>
    <row r="495" spans="1:6" x14ac:dyDescent="0.2">
      <c r="A495" s="40" t="s">
        <v>491</v>
      </c>
      <c r="B495" s="177">
        <v>5.88</v>
      </c>
      <c r="C495" s="181">
        <v>2215.7777777777778</v>
      </c>
      <c r="D495" s="119">
        <v>13028.773333333333</v>
      </c>
      <c r="E495" t="str">
        <f t="shared" si="14"/>
        <v>アリピプラゾールＯＤ錠３ｍｇ「ニプロ」</v>
      </c>
      <c r="F495" t="str">
        <f t="shared" si="15"/>
        <v>アリピプラ</v>
      </c>
    </row>
    <row r="496" spans="1:6" x14ac:dyDescent="0.2">
      <c r="A496" s="17" t="s">
        <v>234</v>
      </c>
      <c r="B496" s="18">
        <v>18.2</v>
      </c>
      <c r="C496" s="98">
        <v>716.66666666666674</v>
      </c>
      <c r="D496" s="55">
        <v>13043.333333333334</v>
      </c>
      <c r="E496" t="str">
        <f t="shared" si="14"/>
        <v>ルーラン錠８ｍｇ</v>
      </c>
      <c r="F496" t="str">
        <f t="shared" si="15"/>
        <v>ルーラン錠</v>
      </c>
    </row>
    <row r="497" spans="1:6" x14ac:dyDescent="0.2">
      <c r="A497" s="57" t="s">
        <v>532</v>
      </c>
      <c r="B497" s="52">
        <v>192</v>
      </c>
      <c r="C497" s="98">
        <v>68</v>
      </c>
      <c r="D497" s="16">
        <v>13056</v>
      </c>
      <c r="E497" t="str">
        <f t="shared" si="14"/>
        <v>ラコール　ミルク　２００ｍＬＸ２８</v>
      </c>
      <c r="F497" t="str">
        <f t="shared" si="15"/>
        <v>ラコール　</v>
      </c>
    </row>
    <row r="498" spans="1:6" x14ac:dyDescent="0.2">
      <c r="A498" s="53" t="s">
        <v>171</v>
      </c>
      <c r="B498" s="18">
        <v>13.49</v>
      </c>
      <c r="C498" s="97">
        <v>986.36363636363626</v>
      </c>
      <c r="D498" s="16">
        <v>13306.045454545454</v>
      </c>
      <c r="E498" t="str">
        <f t="shared" si="14"/>
        <v>ネオドパストン配合錠Ｌ</v>
      </c>
      <c r="F498" t="str">
        <f t="shared" si="15"/>
        <v>ネオドパス</v>
      </c>
    </row>
    <row r="499" spans="1:6" x14ac:dyDescent="0.15">
      <c r="A499" s="20" t="s">
        <v>741</v>
      </c>
      <c r="B499" s="22">
        <v>4497.2</v>
      </c>
      <c r="C499" s="97">
        <v>3</v>
      </c>
      <c r="D499" s="55">
        <v>13491.599999999999</v>
      </c>
      <c r="E499" t="str">
        <f t="shared" si="14"/>
        <v>クレナフィン爪液</v>
      </c>
      <c r="F499" t="str">
        <f t="shared" si="15"/>
        <v>クレナフィ</v>
      </c>
    </row>
    <row r="500" spans="1:6" x14ac:dyDescent="0.2">
      <c r="A500" s="40" t="s">
        <v>706</v>
      </c>
      <c r="B500" s="177">
        <v>5.4</v>
      </c>
      <c r="C500" s="181">
        <v>2504.272727272727</v>
      </c>
      <c r="D500" s="119">
        <v>13523.072727272727</v>
      </c>
      <c r="E500" t="str">
        <f t="shared" si="14"/>
        <v>エチゾラム錠０．５ｍｇ「アメル」</v>
      </c>
      <c r="F500" t="str">
        <f t="shared" si="15"/>
        <v>エチゾラム</v>
      </c>
    </row>
    <row r="501" spans="1:6" x14ac:dyDescent="0.15">
      <c r="A501" s="39" t="s">
        <v>144</v>
      </c>
      <c r="B501" s="180">
        <v>7.62</v>
      </c>
      <c r="C501" s="178">
        <v>1792.8461538461538</v>
      </c>
      <c r="D501" s="119">
        <v>13661.487692307692</v>
      </c>
      <c r="E501" t="str">
        <f t="shared" si="14"/>
        <v>ソラナックス０．８ｍｇ錠　</v>
      </c>
      <c r="F501" t="str">
        <f t="shared" si="15"/>
        <v>ソラナック</v>
      </c>
    </row>
    <row r="502" spans="1:6" x14ac:dyDescent="0.2">
      <c r="A502" s="53" t="s">
        <v>367</v>
      </c>
      <c r="B502" s="52">
        <v>90</v>
      </c>
      <c r="C502" s="98">
        <v>155</v>
      </c>
      <c r="D502" s="16">
        <v>13950</v>
      </c>
      <c r="E502" t="str">
        <f t="shared" si="14"/>
        <v>生食１０ｍｌシリンジ</v>
      </c>
      <c r="F502" t="str">
        <f t="shared" si="15"/>
        <v>生食１０ｍ</v>
      </c>
    </row>
    <row r="503" spans="1:6" x14ac:dyDescent="0.2">
      <c r="A503" s="40" t="s">
        <v>216</v>
      </c>
      <c r="B503" s="177">
        <v>3.42</v>
      </c>
      <c r="C503" s="181">
        <v>4082.8947368421054</v>
      </c>
      <c r="D503" s="119">
        <v>13963.5</v>
      </c>
      <c r="E503" t="str">
        <f t="shared" si="14"/>
        <v>マグミット錠３３０ｍｇ</v>
      </c>
      <c r="F503" t="str">
        <f t="shared" si="15"/>
        <v>マグミット</v>
      </c>
    </row>
    <row r="504" spans="1:6" x14ac:dyDescent="0.2">
      <c r="A504" s="17" t="s">
        <v>55</v>
      </c>
      <c r="B504" s="18">
        <v>41</v>
      </c>
      <c r="C504" s="101">
        <v>341</v>
      </c>
      <c r="D504" s="55">
        <v>13981</v>
      </c>
      <c r="E504" t="str">
        <f t="shared" si="14"/>
        <v>０４８　ツムラ　ジュウゼンタイホトウ　２．５ｇ／包</v>
      </c>
      <c r="F504" t="str">
        <f t="shared" si="15"/>
        <v>０４８　ツ</v>
      </c>
    </row>
    <row r="505" spans="1:6" x14ac:dyDescent="0.2">
      <c r="A505" s="53" t="s">
        <v>335</v>
      </c>
      <c r="B505" s="52">
        <v>160.85</v>
      </c>
      <c r="C505" s="98">
        <v>87</v>
      </c>
      <c r="D505" s="16">
        <v>13993.949999999999</v>
      </c>
      <c r="E505" t="str">
        <f t="shared" si="14"/>
        <v>ソルデム　１輸液５００</v>
      </c>
      <c r="F505" t="str">
        <f t="shared" si="15"/>
        <v>ソルデム　</v>
      </c>
    </row>
    <row r="506" spans="1:6" x14ac:dyDescent="0.2">
      <c r="A506" s="17" t="s">
        <v>622</v>
      </c>
      <c r="B506" s="18">
        <v>2001.8</v>
      </c>
      <c r="C506" s="97">
        <v>7</v>
      </c>
      <c r="D506" s="16">
        <v>14012.6</v>
      </c>
      <c r="E506" t="str">
        <f t="shared" si="14"/>
        <v>グラナテック点眼０．４％</v>
      </c>
      <c r="F506" t="str">
        <f t="shared" si="15"/>
        <v>グラナテッ</v>
      </c>
    </row>
    <row r="507" spans="1:6" x14ac:dyDescent="0.2">
      <c r="A507" s="40" t="s">
        <v>493</v>
      </c>
      <c r="B507" s="177">
        <v>10.96</v>
      </c>
      <c r="C507" s="181">
        <v>1290</v>
      </c>
      <c r="D507" s="119">
        <v>14138.400000000001</v>
      </c>
      <c r="E507" t="str">
        <f t="shared" si="14"/>
        <v>アリピプラゾールＯＤ錠６ｍｇ「ニプロ」</v>
      </c>
      <c r="F507" t="str">
        <f t="shared" si="15"/>
        <v>アリピプラ</v>
      </c>
    </row>
    <row r="508" spans="1:6" x14ac:dyDescent="0.15">
      <c r="A508" s="57" t="s">
        <v>663</v>
      </c>
      <c r="B508" s="58">
        <v>523.9</v>
      </c>
      <c r="C508" s="98">
        <v>27</v>
      </c>
      <c r="D508" s="16">
        <v>14145.3</v>
      </c>
      <c r="E508" t="str">
        <f t="shared" si="14"/>
        <v>ヘルベッサー注</v>
      </c>
      <c r="F508" t="str">
        <f t="shared" si="15"/>
        <v>ヘルベッサ</v>
      </c>
    </row>
    <row r="509" spans="1:6" x14ac:dyDescent="0.15">
      <c r="A509" s="39" t="s">
        <v>148</v>
      </c>
      <c r="B509" s="180">
        <v>11.22</v>
      </c>
      <c r="C509" s="178">
        <v>1268.7142857142858</v>
      </c>
      <c r="D509" s="119">
        <v>14234.974285714286</v>
      </c>
      <c r="E509" t="str">
        <f t="shared" si="14"/>
        <v>炭酸リチウム錠　２００</v>
      </c>
      <c r="F509" t="str">
        <f t="shared" si="15"/>
        <v>炭酸リチウ</v>
      </c>
    </row>
    <row r="510" spans="1:6" x14ac:dyDescent="0.2">
      <c r="A510" s="40" t="s">
        <v>35</v>
      </c>
      <c r="B510" s="184">
        <v>1.49</v>
      </c>
      <c r="C510" s="181">
        <v>9590</v>
      </c>
      <c r="D510" s="119">
        <v>14289.1</v>
      </c>
      <c r="E510" t="str">
        <f t="shared" si="14"/>
        <v>重カマ「ヨシダ」（細粒状）</v>
      </c>
      <c r="F510" t="str">
        <f t="shared" si="15"/>
        <v>重カマ「ヨ</v>
      </c>
    </row>
    <row r="511" spans="1:6" x14ac:dyDescent="0.2">
      <c r="A511" s="53" t="s">
        <v>359</v>
      </c>
      <c r="B511" s="52">
        <v>223.6</v>
      </c>
      <c r="C511" s="98">
        <v>64</v>
      </c>
      <c r="D511" s="16">
        <v>14310.4</v>
      </c>
      <c r="E511" t="str">
        <f t="shared" si="14"/>
        <v>ポタコ－ルＲ輸液２５０ｍｌ</v>
      </c>
      <c r="F511" t="str">
        <f t="shared" si="15"/>
        <v>ポタコ－ル</v>
      </c>
    </row>
    <row r="512" spans="1:6" x14ac:dyDescent="0.2">
      <c r="A512" s="40" t="s">
        <v>595</v>
      </c>
      <c r="B512" s="177">
        <v>7.49</v>
      </c>
      <c r="C512" s="181">
        <v>1931.2857142857142</v>
      </c>
      <c r="D512" s="119">
        <v>14465.33</v>
      </c>
      <c r="E512" t="str">
        <f t="shared" si="14"/>
        <v>ベンザリン錠</v>
      </c>
      <c r="F512" t="str">
        <f t="shared" si="15"/>
        <v>ベンザリン</v>
      </c>
    </row>
    <row r="513" spans="1:6" x14ac:dyDescent="0.2">
      <c r="A513" s="39" t="s">
        <v>137</v>
      </c>
      <c r="B513" s="177">
        <v>5.71</v>
      </c>
      <c r="C513" s="178">
        <v>2548.3333333333335</v>
      </c>
      <c r="D513" s="119">
        <v>14550.983333333334</v>
      </c>
      <c r="E513" t="str">
        <f t="shared" si="14"/>
        <v>スルピリド錠５０ｍｇ「アメル」　</v>
      </c>
      <c r="F513" t="str">
        <f t="shared" si="15"/>
        <v>スルピリド</v>
      </c>
    </row>
    <row r="514" spans="1:6" x14ac:dyDescent="0.15">
      <c r="A514" s="57" t="s">
        <v>154</v>
      </c>
      <c r="B514" s="22">
        <v>24.3</v>
      </c>
      <c r="C514" s="97">
        <v>600</v>
      </c>
      <c r="D514" s="16">
        <v>14580</v>
      </c>
      <c r="E514" t="str">
        <f t="shared" si="14"/>
        <v>テトラミド錠３０ｍｇ　</v>
      </c>
      <c r="F514" t="str">
        <f t="shared" si="15"/>
        <v>テトラミド</v>
      </c>
    </row>
    <row r="515" spans="1:6" x14ac:dyDescent="0.2">
      <c r="A515" s="40" t="s">
        <v>784</v>
      </c>
      <c r="B515" s="177">
        <v>5.08</v>
      </c>
      <c r="C515" s="178">
        <v>2935.4285714285716</v>
      </c>
      <c r="D515" s="119">
        <v>14911.977142857144</v>
      </c>
      <c r="E515" t="str">
        <f t="shared" si="14"/>
        <v>ノイロビタン配合錠</v>
      </c>
      <c r="F515" t="str">
        <f t="shared" si="15"/>
        <v>ノイロビタ</v>
      </c>
    </row>
    <row r="516" spans="1:6" x14ac:dyDescent="0.2">
      <c r="A516" s="40" t="s">
        <v>231</v>
      </c>
      <c r="B516" s="177">
        <v>8.25</v>
      </c>
      <c r="C516" s="181">
        <v>1826</v>
      </c>
      <c r="D516" s="119">
        <v>15064.5</v>
      </c>
      <c r="E516" t="str">
        <f t="shared" si="14"/>
        <v>リボトリ－ル錠０．５ｍｇ</v>
      </c>
      <c r="F516" t="str">
        <f t="shared" si="15"/>
        <v>リボトリ－</v>
      </c>
    </row>
    <row r="517" spans="1:6" x14ac:dyDescent="0.2">
      <c r="A517" s="40" t="s">
        <v>228</v>
      </c>
      <c r="B517" s="177">
        <v>6.18</v>
      </c>
      <c r="C517" s="181">
        <v>2467</v>
      </c>
      <c r="D517" s="119">
        <v>15246.06</v>
      </c>
      <c r="E517" t="str">
        <f t="shared" ref="E517:E580" si="16">DBCS(A517)</f>
        <v>リスペリドン錠１ｍｇ</v>
      </c>
      <c r="F517" t="str">
        <f t="shared" ref="F517:F580" si="17">LEFT(E517,5)</f>
        <v>リスペリド</v>
      </c>
    </row>
    <row r="518" spans="1:6" x14ac:dyDescent="0.15">
      <c r="A518" s="57" t="s">
        <v>810</v>
      </c>
      <c r="B518" s="58">
        <v>2229</v>
      </c>
      <c r="C518" s="98">
        <v>7</v>
      </c>
      <c r="D518" s="16">
        <v>15603</v>
      </c>
      <c r="E518" t="str">
        <f t="shared" si="16"/>
        <v>ヒューマログミックス２５注ミリオペン３００単位</v>
      </c>
      <c r="F518" t="str">
        <f t="shared" si="17"/>
        <v>ヒューマロ</v>
      </c>
    </row>
    <row r="519" spans="1:6" x14ac:dyDescent="0.2">
      <c r="A519" s="17" t="s">
        <v>211</v>
      </c>
      <c r="B519" s="18">
        <v>93.96</v>
      </c>
      <c r="C519" s="98">
        <v>167</v>
      </c>
      <c r="D519" s="55">
        <v>15691.32</v>
      </c>
      <c r="E519" t="str">
        <f t="shared" si="16"/>
        <v>ベルソムラ錠２０ｍｇ</v>
      </c>
      <c r="F519" t="str">
        <f t="shared" si="17"/>
        <v>ベルソムラ</v>
      </c>
    </row>
    <row r="520" spans="1:6" x14ac:dyDescent="0.2">
      <c r="A520" s="53" t="s">
        <v>339</v>
      </c>
      <c r="B520" s="52">
        <v>228</v>
      </c>
      <c r="C520" s="98">
        <v>69</v>
      </c>
      <c r="D520" s="16">
        <v>15732</v>
      </c>
      <c r="E520" t="str">
        <f t="shared" si="16"/>
        <v>トリフリ－ド輸液</v>
      </c>
      <c r="F520" t="str">
        <f t="shared" si="17"/>
        <v>トリフリ－</v>
      </c>
    </row>
    <row r="521" spans="1:6" x14ac:dyDescent="0.2">
      <c r="A521" s="17" t="s">
        <v>57</v>
      </c>
      <c r="B521" s="18">
        <v>31.06</v>
      </c>
      <c r="C521" s="101">
        <v>510</v>
      </c>
      <c r="D521" s="55">
        <v>15840.599999999999</v>
      </c>
      <c r="E521" t="str">
        <f t="shared" si="16"/>
        <v>０６２　ツムラ　ボウフウツウショウサン　２．５ｇ／包</v>
      </c>
      <c r="F521" t="str">
        <f t="shared" si="17"/>
        <v>０６２　ツ</v>
      </c>
    </row>
    <row r="522" spans="1:6" x14ac:dyDescent="0.2">
      <c r="A522" s="40" t="s">
        <v>104</v>
      </c>
      <c r="B522" s="177">
        <v>7.5</v>
      </c>
      <c r="C522" s="181">
        <v>2116</v>
      </c>
      <c r="D522" s="119">
        <v>15870</v>
      </c>
      <c r="E522" t="str">
        <f t="shared" si="16"/>
        <v>クエチアピン錠２５ｍｇ</v>
      </c>
      <c r="F522" t="str">
        <f t="shared" si="17"/>
        <v>クエチアピ</v>
      </c>
    </row>
    <row r="523" spans="1:6" x14ac:dyDescent="0.15">
      <c r="A523" s="39" t="s">
        <v>77</v>
      </c>
      <c r="B523" s="180">
        <v>6.86</v>
      </c>
      <c r="C523" s="181">
        <v>2315.7894736842109</v>
      </c>
      <c r="D523" s="119">
        <v>15886.315789473687</v>
      </c>
      <c r="E523" t="str">
        <f t="shared" si="16"/>
        <v>アロプリノール錠１００ｍｇ</v>
      </c>
      <c r="F523" t="str">
        <f t="shared" si="17"/>
        <v>アロプリノ</v>
      </c>
    </row>
    <row r="524" spans="1:6" x14ac:dyDescent="0.2">
      <c r="A524" s="53" t="s">
        <v>336</v>
      </c>
      <c r="B524" s="52">
        <v>7999.6</v>
      </c>
      <c r="C524" s="98">
        <v>2</v>
      </c>
      <c r="D524" s="16">
        <v>15999.2</v>
      </c>
      <c r="E524" t="str">
        <f t="shared" si="16"/>
        <v>ダントリウム静注用２０ＭＧ</v>
      </c>
      <c r="F524" t="str">
        <f t="shared" si="17"/>
        <v>ダントリウ</v>
      </c>
    </row>
    <row r="525" spans="1:6" x14ac:dyDescent="0.2">
      <c r="A525" s="17" t="s">
        <v>621</v>
      </c>
      <c r="B525" s="18">
        <v>1601.3</v>
      </c>
      <c r="C525" s="97">
        <v>10</v>
      </c>
      <c r="D525" s="16">
        <v>16013</v>
      </c>
      <c r="E525" t="str">
        <f t="shared" si="16"/>
        <v>コソプト配合点眼</v>
      </c>
      <c r="F525" t="str">
        <f t="shared" si="17"/>
        <v>コソプト配</v>
      </c>
    </row>
    <row r="526" spans="1:6" x14ac:dyDescent="0.2">
      <c r="A526" s="32" t="s">
        <v>554</v>
      </c>
      <c r="B526" s="18">
        <v>136.75</v>
      </c>
      <c r="C526" s="97">
        <v>119</v>
      </c>
      <c r="D526" s="16">
        <v>16273.25</v>
      </c>
      <c r="E526" t="str">
        <f t="shared" si="16"/>
        <v>タクロリムスカプセル（１）</v>
      </c>
      <c r="F526" t="str">
        <f t="shared" si="17"/>
        <v>タクロリム</v>
      </c>
    </row>
    <row r="527" spans="1:6" x14ac:dyDescent="0.15">
      <c r="A527" s="39" t="s">
        <v>155</v>
      </c>
      <c r="B527" s="180">
        <v>10</v>
      </c>
      <c r="C527" s="178">
        <v>1653.1176470588234</v>
      </c>
      <c r="D527" s="119">
        <v>16531.176470588234</v>
      </c>
      <c r="E527" t="str">
        <f t="shared" si="16"/>
        <v>デパケンＲ錠２００</v>
      </c>
      <c r="F527" t="str">
        <f t="shared" si="17"/>
        <v>デパケンＲ</v>
      </c>
    </row>
    <row r="528" spans="1:6" x14ac:dyDescent="0.15">
      <c r="A528" s="39" t="s">
        <v>156</v>
      </c>
      <c r="B528" s="180">
        <v>5.73</v>
      </c>
      <c r="C528" s="178">
        <v>2890</v>
      </c>
      <c r="D528" s="119">
        <v>16559.7</v>
      </c>
      <c r="E528" t="str">
        <f t="shared" si="16"/>
        <v>テプレノンカプセル５０ｍｇ　</v>
      </c>
      <c r="F528" t="str">
        <f t="shared" si="17"/>
        <v>テプレノン</v>
      </c>
    </row>
    <row r="529" spans="1:6" x14ac:dyDescent="0.15">
      <c r="A529" s="39" t="s">
        <v>613</v>
      </c>
      <c r="B529" s="180">
        <v>9.5</v>
      </c>
      <c r="C529" s="181">
        <v>1776</v>
      </c>
      <c r="D529" s="119">
        <v>16872</v>
      </c>
      <c r="E529" t="str">
        <f t="shared" si="16"/>
        <v>ロドピン錠２５ｍｇ　</v>
      </c>
      <c r="F529" t="str">
        <f t="shared" si="17"/>
        <v>ロドピン錠</v>
      </c>
    </row>
    <row r="530" spans="1:6" x14ac:dyDescent="0.2">
      <c r="A530" s="40" t="s">
        <v>237</v>
      </c>
      <c r="B530" s="177">
        <v>7.72</v>
      </c>
      <c r="C530" s="181">
        <v>2216.4705882352941</v>
      </c>
      <c r="D530" s="119">
        <v>17111.152941176471</v>
      </c>
      <c r="E530" t="str">
        <f t="shared" si="16"/>
        <v>レバミピド錠１００ｍｇ</v>
      </c>
      <c r="F530" t="str">
        <f t="shared" si="17"/>
        <v>レバミピド</v>
      </c>
    </row>
    <row r="531" spans="1:6" x14ac:dyDescent="0.15">
      <c r="A531" s="57" t="s">
        <v>506</v>
      </c>
      <c r="B531" s="22">
        <v>103.5</v>
      </c>
      <c r="C531" s="97">
        <v>168.16666666666669</v>
      </c>
      <c r="D531" s="16">
        <v>17405.250000000004</v>
      </c>
      <c r="E531" t="str">
        <f t="shared" si="16"/>
        <v>エリキュース錠２．５ｍｇ</v>
      </c>
      <c r="F531" t="str">
        <f t="shared" si="17"/>
        <v>エリキュー</v>
      </c>
    </row>
    <row r="532" spans="1:6" x14ac:dyDescent="0.2">
      <c r="A532" s="39" t="s">
        <v>183</v>
      </c>
      <c r="B532" s="180">
        <v>10.87</v>
      </c>
      <c r="C532" s="179">
        <v>1604.6744186046512</v>
      </c>
      <c r="D532" s="119">
        <v>17442.810930232557</v>
      </c>
      <c r="E532" t="str">
        <f t="shared" si="16"/>
        <v>パントシン錠２００ｍｇ</v>
      </c>
      <c r="F532" t="str">
        <f t="shared" si="17"/>
        <v>パントシン</v>
      </c>
    </row>
    <row r="533" spans="1:6" x14ac:dyDescent="0.2">
      <c r="A533" s="40" t="s">
        <v>600</v>
      </c>
      <c r="B533" s="177">
        <v>16.43</v>
      </c>
      <c r="C533" s="181">
        <v>1066.1428571428573</v>
      </c>
      <c r="D533" s="119">
        <v>17516.727142857148</v>
      </c>
      <c r="E533" t="str">
        <f t="shared" si="16"/>
        <v>ラメルテオン錠</v>
      </c>
      <c r="F533" t="str">
        <f t="shared" si="17"/>
        <v>ラメルテオ</v>
      </c>
    </row>
    <row r="534" spans="1:6" x14ac:dyDescent="0.15">
      <c r="A534" s="57" t="s">
        <v>793</v>
      </c>
      <c r="B534" s="22">
        <v>1975</v>
      </c>
      <c r="C534" s="97">
        <v>9</v>
      </c>
      <c r="D534" s="16">
        <v>17775</v>
      </c>
      <c r="E534" t="str">
        <f t="shared" si="16"/>
        <v>スミスリンローション</v>
      </c>
      <c r="F534" t="str">
        <f t="shared" si="17"/>
        <v>スミスリン</v>
      </c>
    </row>
    <row r="535" spans="1:6" x14ac:dyDescent="0.2">
      <c r="A535" s="30" t="s">
        <v>833</v>
      </c>
      <c r="B535" s="18">
        <v>45.75</v>
      </c>
      <c r="C535" s="97">
        <v>392</v>
      </c>
      <c r="D535" s="16">
        <v>17934</v>
      </c>
      <c r="E535" t="str">
        <f t="shared" si="16"/>
        <v>ビラノアＯＤ錠</v>
      </c>
      <c r="F535" t="str">
        <f t="shared" si="17"/>
        <v>ビラノアＯ</v>
      </c>
    </row>
    <row r="536" spans="1:6" x14ac:dyDescent="0.2">
      <c r="A536" s="53" t="s">
        <v>659</v>
      </c>
      <c r="B536" s="52">
        <v>1309.5999999999999</v>
      </c>
      <c r="C536" s="98">
        <v>14</v>
      </c>
      <c r="D536" s="16">
        <v>18334.399999999998</v>
      </c>
      <c r="E536" t="str">
        <f t="shared" si="16"/>
        <v>ハロマンス注５０</v>
      </c>
      <c r="F536" t="str">
        <f t="shared" si="17"/>
        <v>ハロマンス</v>
      </c>
    </row>
    <row r="537" spans="1:6" x14ac:dyDescent="0.15">
      <c r="A537" s="20" t="s">
        <v>843</v>
      </c>
      <c r="B537" s="22">
        <v>80.569999999999993</v>
      </c>
      <c r="C537" s="97">
        <v>230</v>
      </c>
      <c r="D537" s="16">
        <v>18531.099999999999</v>
      </c>
      <c r="E537" t="str">
        <f t="shared" si="16"/>
        <v>タリージェ錠５㎎</v>
      </c>
      <c r="F537" t="str">
        <f t="shared" si="17"/>
        <v>タリージェ</v>
      </c>
    </row>
    <row r="538" spans="1:6" x14ac:dyDescent="0.2">
      <c r="A538" s="40" t="s">
        <v>138</v>
      </c>
      <c r="B538" s="177">
        <v>14.9</v>
      </c>
      <c r="C538" s="178">
        <v>1261</v>
      </c>
      <c r="D538" s="119">
        <v>18788.900000000001</v>
      </c>
      <c r="E538" t="str">
        <f t="shared" si="16"/>
        <v>セディール錠１０ｍｇ</v>
      </c>
      <c r="F538" t="str">
        <f t="shared" si="17"/>
        <v>セディール</v>
      </c>
    </row>
    <row r="539" spans="1:6" x14ac:dyDescent="0.15">
      <c r="A539" s="57" t="s">
        <v>687</v>
      </c>
      <c r="B539" s="85">
        <v>86.38</v>
      </c>
      <c r="C539" s="98">
        <v>218</v>
      </c>
      <c r="D539" s="55">
        <v>18830.84</v>
      </c>
      <c r="E539" t="str">
        <f t="shared" si="16"/>
        <v>ブロナンセリン散２％「ＤＳＰＢ］</v>
      </c>
      <c r="F539" t="str">
        <f t="shared" si="17"/>
        <v>ブロナンセ</v>
      </c>
    </row>
    <row r="540" spans="1:6" x14ac:dyDescent="0.2">
      <c r="A540" s="17" t="s">
        <v>64</v>
      </c>
      <c r="B540" s="18">
        <v>45.43</v>
      </c>
      <c r="C540" s="101">
        <v>423</v>
      </c>
      <c r="D540" s="55">
        <v>19216.89</v>
      </c>
      <c r="E540" t="str">
        <f t="shared" si="16"/>
        <v>クラシエ補中益気湯　ＫＢ－４１　３．７５ｇ／包</v>
      </c>
      <c r="F540" t="str">
        <f t="shared" si="17"/>
        <v>クラシエ補</v>
      </c>
    </row>
    <row r="541" spans="1:6" x14ac:dyDescent="0.2">
      <c r="A541" s="17" t="s">
        <v>60</v>
      </c>
      <c r="B541" s="18">
        <v>30.84</v>
      </c>
      <c r="C541" s="101">
        <v>636</v>
      </c>
      <c r="D541" s="55">
        <v>19614.240000000002</v>
      </c>
      <c r="E541" t="str">
        <f t="shared" si="16"/>
        <v>１００　ツムラ　ダイケンチュウトウ　２．５ｇ／包</v>
      </c>
      <c r="F541" t="str">
        <f t="shared" si="17"/>
        <v>１００　ツ</v>
      </c>
    </row>
    <row r="542" spans="1:6" x14ac:dyDescent="0.2">
      <c r="A542" s="53" t="s">
        <v>226</v>
      </c>
      <c r="B542" s="52">
        <v>26.66</v>
      </c>
      <c r="C542" s="98">
        <v>740</v>
      </c>
      <c r="D542" s="55">
        <v>19728.400000000001</v>
      </c>
      <c r="E542" t="str">
        <f t="shared" si="16"/>
        <v>リスパダール錠３ｍｇ</v>
      </c>
      <c r="F542" t="str">
        <f t="shared" si="17"/>
        <v>リスパダー</v>
      </c>
    </row>
    <row r="543" spans="1:6" x14ac:dyDescent="0.2">
      <c r="A543" s="23" t="s">
        <v>21</v>
      </c>
      <c r="B543" s="86">
        <v>121.5</v>
      </c>
      <c r="C543" s="98">
        <v>169</v>
      </c>
      <c r="D543" s="55">
        <v>20533.5</v>
      </c>
      <c r="E543" t="str">
        <f t="shared" si="16"/>
        <v>クエチアピン細粒５０％</v>
      </c>
      <c r="F543" t="str">
        <f t="shared" si="17"/>
        <v>クエチアピ</v>
      </c>
    </row>
    <row r="544" spans="1:6" x14ac:dyDescent="0.2">
      <c r="A544" s="53" t="s">
        <v>818</v>
      </c>
      <c r="B544" s="52">
        <v>20572</v>
      </c>
      <c r="C544" s="98">
        <v>1</v>
      </c>
      <c r="D544" s="16">
        <v>20572</v>
      </c>
      <c r="E544" t="str">
        <f t="shared" si="16"/>
        <v>リスパダールコンスタ筋注用２５㎎</v>
      </c>
      <c r="F544" t="str">
        <f t="shared" si="17"/>
        <v>リスパダー</v>
      </c>
    </row>
    <row r="545" spans="1:6" x14ac:dyDescent="0.15">
      <c r="A545" s="39" t="s">
        <v>230</v>
      </c>
      <c r="B545" s="180">
        <v>8.9600000000000009</v>
      </c>
      <c r="C545" s="181">
        <v>2321.3333333333335</v>
      </c>
      <c r="D545" s="119">
        <v>20799.146666666671</v>
      </c>
      <c r="E545" t="str">
        <f t="shared" si="16"/>
        <v>リボトリール錠１㎎　</v>
      </c>
      <c r="F545" t="str">
        <f t="shared" si="17"/>
        <v>リボトリー</v>
      </c>
    </row>
    <row r="546" spans="1:6" x14ac:dyDescent="0.2">
      <c r="A546" s="40" t="s">
        <v>186</v>
      </c>
      <c r="B546" s="177">
        <v>5.08</v>
      </c>
      <c r="C546" s="179">
        <v>4128</v>
      </c>
      <c r="D546" s="119">
        <v>20970.240000000002</v>
      </c>
      <c r="E546" t="str">
        <f t="shared" si="16"/>
        <v>ビペリデン錠１ＭＧ</v>
      </c>
      <c r="F546" t="str">
        <f t="shared" si="17"/>
        <v>ビペリデン</v>
      </c>
    </row>
    <row r="547" spans="1:6" x14ac:dyDescent="0.2">
      <c r="A547" s="53" t="s">
        <v>652</v>
      </c>
      <c r="B547" s="52">
        <v>538.29999999999995</v>
      </c>
      <c r="C547" s="98">
        <v>39</v>
      </c>
      <c r="D547" s="16">
        <v>20993.699999999997</v>
      </c>
      <c r="E547" t="str">
        <f t="shared" si="16"/>
        <v>スルバシリン注</v>
      </c>
      <c r="F547" t="str">
        <f t="shared" si="17"/>
        <v>スルバシリ</v>
      </c>
    </row>
    <row r="548" spans="1:6" x14ac:dyDescent="0.2">
      <c r="A548" s="53" t="s">
        <v>816</v>
      </c>
      <c r="B548" s="52">
        <v>3531</v>
      </c>
      <c r="C548" s="98">
        <v>6</v>
      </c>
      <c r="D548" s="16">
        <v>21186</v>
      </c>
      <c r="E548" t="str">
        <f t="shared" si="16"/>
        <v>ラスビック点滴静注キット１５０ｍｇ</v>
      </c>
      <c r="F548" t="str">
        <f t="shared" si="17"/>
        <v>ラスビック</v>
      </c>
    </row>
    <row r="549" spans="1:6" x14ac:dyDescent="0.2">
      <c r="A549" s="32" t="s">
        <v>562</v>
      </c>
      <c r="B549" s="18">
        <v>108.68</v>
      </c>
      <c r="C549" s="97">
        <v>196</v>
      </c>
      <c r="D549" s="16">
        <v>21301.280000000002</v>
      </c>
      <c r="E549" t="str">
        <f t="shared" si="16"/>
        <v>トラゼンタ錠５ｍｇ</v>
      </c>
      <c r="F549" t="str">
        <f t="shared" si="17"/>
        <v>トラゼンタ</v>
      </c>
    </row>
    <row r="550" spans="1:6" x14ac:dyDescent="0.2">
      <c r="A550" s="40" t="s">
        <v>827</v>
      </c>
      <c r="B550" s="177">
        <v>8.1199999999999992</v>
      </c>
      <c r="C550" s="179">
        <v>2640</v>
      </c>
      <c r="D550" s="119">
        <v>21436.799999999999</v>
      </c>
      <c r="E550" t="str">
        <f t="shared" si="16"/>
        <v>プラバスタチン　ＮＡ錠５ＭＧ　「アメル」</v>
      </c>
      <c r="F550" t="str">
        <f t="shared" si="17"/>
        <v>プラバスタ</v>
      </c>
    </row>
    <row r="551" spans="1:6" x14ac:dyDescent="0.2">
      <c r="A551" s="40" t="s">
        <v>427</v>
      </c>
      <c r="B551" s="177">
        <v>4.96</v>
      </c>
      <c r="C551" s="181">
        <v>4336.8571428571431</v>
      </c>
      <c r="D551" s="119">
        <v>21510.811428571429</v>
      </c>
      <c r="E551" t="str">
        <f t="shared" si="16"/>
        <v>メコバラミン錠５００「トーワ」</v>
      </c>
      <c r="F551" t="str">
        <f t="shared" si="17"/>
        <v>メコバラミ</v>
      </c>
    </row>
    <row r="552" spans="1:6" x14ac:dyDescent="0.2">
      <c r="A552" s="53" t="s">
        <v>664</v>
      </c>
      <c r="B552" s="52">
        <v>469.8</v>
      </c>
      <c r="C552" s="98">
        <v>46</v>
      </c>
      <c r="D552" s="16">
        <v>21610.799999999999</v>
      </c>
      <c r="E552" t="str">
        <f t="shared" si="16"/>
        <v>セフィピム注</v>
      </c>
      <c r="F552" t="str">
        <f t="shared" si="17"/>
        <v>セフィピム</v>
      </c>
    </row>
    <row r="553" spans="1:6" x14ac:dyDescent="0.15">
      <c r="A553" s="57" t="s">
        <v>693</v>
      </c>
      <c r="B553" s="85">
        <v>173.1</v>
      </c>
      <c r="C553" s="98">
        <v>125</v>
      </c>
      <c r="D553" s="55">
        <v>21637.5</v>
      </c>
      <c r="E553" t="str">
        <f t="shared" si="16"/>
        <v>ロドピン細粒５０％</v>
      </c>
      <c r="F553" t="str">
        <f t="shared" si="17"/>
        <v>ロドピン細</v>
      </c>
    </row>
    <row r="554" spans="1:6" x14ac:dyDescent="0.2">
      <c r="A554" s="57" t="s">
        <v>173</v>
      </c>
      <c r="B554" s="58">
        <v>33.04</v>
      </c>
      <c r="C554" s="100">
        <v>655.72727272727275</v>
      </c>
      <c r="D554" s="55">
        <v>21665.229090909092</v>
      </c>
      <c r="E554" t="str">
        <f t="shared" si="16"/>
        <v>パキシルＣＲ錠１２．５ｍｇ</v>
      </c>
      <c r="F554" t="str">
        <f t="shared" si="17"/>
        <v>パキシルＣ</v>
      </c>
    </row>
    <row r="555" spans="1:6" x14ac:dyDescent="0.2">
      <c r="A555" s="53" t="s">
        <v>360</v>
      </c>
      <c r="B555" s="52">
        <v>248.55</v>
      </c>
      <c r="C555" s="98">
        <v>88</v>
      </c>
      <c r="D555" s="16">
        <v>21872.400000000001</v>
      </c>
      <c r="E555" t="str">
        <f t="shared" si="16"/>
        <v>ポタコ－ルＲ輸液５００ｍｌ</v>
      </c>
      <c r="F555" t="str">
        <f t="shared" si="17"/>
        <v>ポタコ－ル</v>
      </c>
    </row>
    <row r="556" spans="1:6" x14ac:dyDescent="0.2">
      <c r="A556" s="40" t="s">
        <v>200</v>
      </c>
      <c r="B556" s="182">
        <v>8.08</v>
      </c>
      <c r="C556" s="179">
        <v>2750.3333333333335</v>
      </c>
      <c r="D556" s="119">
        <v>22222.693333333336</v>
      </c>
      <c r="E556" t="str">
        <f t="shared" si="16"/>
        <v>ブロチゾラム錠０．２５ｍｇ</v>
      </c>
      <c r="F556" t="str">
        <f t="shared" si="17"/>
        <v>ブロチゾラ</v>
      </c>
    </row>
    <row r="557" spans="1:6" x14ac:dyDescent="0.15">
      <c r="A557" s="57" t="s">
        <v>235</v>
      </c>
      <c r="B557" s="58">
        <v>32.799999999999997</v>
      </c>
      <c r="C557" s="98">
        <v>685.7037037037037</v>
      </c>
      <c r="D557" s="55">
        <v>22491.08148148148</v>
      </c>
      <c r="E557" t="str">
        <f t="shared" si="16"/>
        <v>レグテクト錠３３３ｍｇ</v>
      </c>
      <c r="F557" t="str">
        <f t="shared" si="17"/>
        <v>レグテクト</v>
      </c>
    </row>
    <row r="558" spans="1:6" x14ac:dyDescent="0.2">
      <c r="A558" s="40" t="s">
        <v>246</v>
      </c>
      <c r="B558" s="177">
        <v>13.1</v>
      </c>
      <c r="C558" s="181">
        <v>1746</v>
      </c>
      <c r="D558" s="119">
        <v>22872.6</v>
      </c>
      <c r="E558" t="str">
        <f t="shared" si="16"/>
        <v>ロラメット錠１．０　（アスカ）　（シン）</v>
      </c>
      <c r="F558" t="str">
        <f t="shared" si="17"/>
        <v>ロラメット</v>
      </c>
    </row>
    <row r="559" spans="1:6" x14ac:dyDescent="0.2">
      <c r="A559" s="53" t="s">
        <v>714</v>
      </c>
      <c r="B559" s="18">
        <v>100.7</v>
      </c>
      <c r="C559" s="97">
        <v>228</v>
      </c>
      <c r="D559" s="16">
        <v>22959.600000000002</v>
      </c>
      <c r="E559" t="str">
        <f t="shared" si="16"/>
        <v>グリセリン浣腸液５０％「ムネ」６０ｍｌ</v>
      </c>
      <c r="F559" t="str">
        <f t="shared" si="17"/>
        <v>グリセリン</v>
      </c>
    </row>
    <row r="560" spans="1:6" x14ac:dyDescent="0.2">
      <c r="A560" s="57" t="s">
        <v>531</v>
      </c>
      <c r="B560" s="52">
        <v>192</v>
      </c>
      <c r="C560" s="98">
        <v>120</v>
      </c>
      <c r="D560" s="16">
        <v>23040</v>
      </c>
      <c r="E560" t="str">
        <f t="shared" si="16"/>
        <v>ラコール　コーヒー　２００ｍＬＸ２８</v>
      </c>
      <c r="F560" t="str">
        <f t="shared" si="17"/>
        <v>ラコール　</v>
      </c>
    </row>
    <row r="561" spans="1:6" x14ac:dyDescent="0.2">
      <c r="A561" s="53" t="s">
        <v>107</v>
      </c>
      <c r="B561" s="18">
        <v>27.27</v>
      </c>
      <c r="C561" s="99">
        <v>858</v>
      </c>
      <c r="D561" s="16">
        <v>23397.66</v>
      </c>
      <c r="E561" t="str">
        <f t="shared" si="16"/>
        <v>クラリシッド錠２００ＭＧ</v>
      </c>
      <c r="F561" t="str">
        <f t="shared" si="17"/>
        <v>クラリシッ</v>
      </c>
    </row>
    <row r="562" spans="1:6" x14ac:dyDescent="0.2">
      <c r="A562" s="40" t="s">
        <v>504</v>
      </c>
      <c r="B562" s="177">
        <v>16.12</v>
      </c>
      <c r="C562" s="181">
        <v>1484</v>
      </c>
      <c r="D562" s="119">
        <v>23922.080000000002</v>
      </c>
      <c r="E562" t="str">
        <f t="shared" si="16"/>
        <v>リスミー錠２ｍｇ</v>
      </c>
      <c r="F562" t="str">
        <f t="shared" si="17"/>
        <v>リスミー錠</v>
      </c>
    </row>
    <row r="563" spans="1:6" x14ac:dyDescent="0.2">
      <c r="A563" s="53" t="s">
        <v>133</v>
      </c>
      <c r="B563" s="52">
        <v>63.08</v>
      </c>
      <c r="C563" s="97">
        <v>382</v>
      </c>
      <c r="D563" s="16">
        <v>24096.559999999998</v>
      </c>
      <c r="E563" t="str">
        <f t="shared" si="16"/>
        <v>シングレア錠１０ｍｇ</v>
      </c>
      <c r="F563" t="str">
        <f t="shared" si="17"/>
        <v>シングレア</v>
      </c>
    </row>
    <row r="564" spans="1:6" x14ac:dyDescent="0.2">
      <c r="A564" s="53" t="s">
        <v>808</v>
      </c>
      <c r="B564" s="52">
        <v>671</v>
      </c>
      <c r="C564" s="98">
        <v>36</v>
      </c>
      <c r="D564" s="16">
        <v>24156</v>
      </c>
      <c r="E564" t="str">
        <f t="shared" si="16"/>
        <v>バンコマイシン塩酸塩点滴静注０．５ｇ</v>
      </c>
      <c r="F564" t="str">
        <f t="shared" si="17"/>
        <v>バンコマイ</v>
      </c>
    </row>
    <row r="565" spans="1:6" x14ac:dyDescent="0.2">
      <c r="A565" s="17" t="s">
        <v>129</v>
      </c>
      <c r="B565" s="18">
        <v>170.17</v>
      </c>
      <c r="C565" s="99">
        <v>142</v>
      </c>
      <c r="D565" s="16">
        <v>24164.14</v>
      </c>
      <c r="E565" t="str">
        <f t="shared" si="16"/>
        <v>ジプレキサ　ザイディス錠１０ｍｇ</v>
      </c>
      <c r="F565" t="str">
        <f t="shared" si="17"/>
        <v>ジプレキサ</v>
      </c>
    </row>
    <row r="566" spans="1:6" x14ac:dyDescent="0.15">
      <c r="A566" s="39" t="s">
        <v>149</v>
      </c>
      <c r="B566" s="180">
        <v>7.92</v>
      </c>
      <c r="C566" s="178">
        <v>3060</v>
      </c>
      <c r="D566" s="119">
        <v>24235.200000000001</v>
      </c>
      <c r="E566" t="str">
        <f t="shared" si="16"/>
        <v>炭酸リチウム錠１００　</v>
      </c>
      <c r="F566" t="str">
        <f t="shared" si="17"/>
        <v>炭酸リチウ</v>
      </c>
    </row>
    <row r="567" spans="1:6" x14ac:dyDescent="0.2">
      <c r="A567" s="32" t="s">
        <v>721</v>
      </c>
      <c r="B567" s="18">
        <v>182.79</v>
      </c>
      <c r="C567" s="97">
        <v>133</v>
      </c>
      <c r="D567" s="16">
        <v>24311.07</v>
      </c>
      <c r="E567" t="str">
        <f t="shared" si="16"/>
        <v>ノベルジン錠２５ｍｇ</v>
      </c>
      <c r="F567" t="str">
        <f t="shared" si="17"/>
        <v>ノベルジン</v>
      </c>
    </row>
    <row r="568" spans="1:6" x14ac:dyDescent="0.2">
      <c r="A568" s="40" t="s">
        <v>455</v>
      </c>
      <c r="B568" s="177">
        <v>7.39</v>
      </c>
      <c r="C568" s="181">
        <v>3296</v>
      </c>
      <c r="D568" s="119">
        <v>24357.439999999999</v>
      </c>
      <c r="E568" t="str">
        <f t="shared" si="16"/>
        <v>ミドドリン塩酸塩錠２ｍｇ</v>
      </c>
      <c r="F568" t="str">
        <f t="shared" si="17"/>
        <v>ミドドリン</v>
      </c>
    </row>
    <row r="569" spans="1:6" x14ac:dyDescent="0.2">
      <c r="A569" s="53" t="s">
        <v>330</v>
      </c>
      <c r="B569" s="52">
        <v>24411</v>
      </c>
      <c r="C569" s="98">
        <v>1</v>
      </c>
      <c r="D569" s="16">
        <v>24411</v>
      </c>
      <c r="E569" t="str">
        <f t="shared" si="16"/>
        <v>ゼプリオン水懸筋注５０ｍｇ</v>
      </c>
      <c r="F569" t="str">
        <f t="shared" si="17"/>
        <v>ゼプリオン</v>
      </c>
    </row>
    <row r="570" spans="1:6" x14ac:dyDescent="0.2">
      <c r="A570" s="53" t="s">
        <v>324</v>
      </c>
      <c r="B570" s="52">
        <v>188.8</v>
      </c>
      <c r="C570" s="98">
        <v>130</v>
      </c>
      <c r="D570" s="16">
        <v>24544</v>
      </c>
      <c r="E570" t="str">
        <f t="shared" si="16"/>
        <v>生食溶解キットＨ１００ｍｌ</v>
      </c>
      <c r="F570" t="str">
        <f t="shared" si="17"/>
        <v>生食溶解キ</v>
      </c>
    </row>
    <row r="571" spans="1:6" x14ac:dyDescent="0.2">
      <c r="A571" s="40" t="s">
        <v>710</v>
      </c>
      <c r="B571" s="177">
        <v>17.5</v>
      </c>
      <c r="C571" s="181">
        <v>1403.3333333333335</v>
      </c>
      <c r="D571" s="119">
        <v>24558.333333333336</v>
      </c>
      <c r="E571" t="str">
        <f t="shared" si="16"/>
        <v>ガランタミンＯＤ錠４ｍｇ「日医工」</v>
      </c>
      <c r="F571" t="str">
        <f t="shared" si="17"/>
        <v>ガランタミ</v>
      </c>
    </row>
    <row r="572" spans="1:6" x14ac:dyDescent="0.2">
      <c r="A572" s="17" t="s">
        <v>729</v>
      </c>
      <c r="B572" s="74">
        <v>207.14</v>
      </c>
      <c r="C572" s="97">
        <v>119</v>
      </c>
      <c r="D572" s="16">
        <v>24649.66</v>
      </c>
      <c r="E572" t="str">
        <f t="shared" si="16"/>
        <v>ロナセンテープ２０ｍｇ</v>
      </c>
      <c r="F572" t="str">
        <f t="shared" si="17"/>
        <v>ロナセンテ</v>
      </c>
    </row>
    <row r="573" spans="1:6" x14ac:dyDescent="0.2">
      <c r="A573" s="40" t="s">
        <v>707</v>
      </c>
      <c r="B573" s="177">
        <v>8.3000000000000007</v>
      </c>
      <c r="C573" s="181">
        <v>3032.9230769230771</v>
      </c>
      <c r="D573" s="119">
        <v>25173.261538461542</v>
      </c>
      <c r="E573" t="str">
        <f t="shared" si="16"/>
        <v>エチゾラム錠１ｍｇ「アメル」</v>
      </c>
      <c r="F573" t="str">
        <f t="shared" si="17"/>
        <v>エチゾラム</v>
      </c>
    </row>
    <row r="574" spans="1:6" x14ac:dyDescent="0.2">
      <c r="A574" s="40" t="s">
        <v>172</v>
      </c>
      <c r="B574" s="177">
        <v>25.39</v>
      </c>
      <c r="C574" s="178">
        <v>1006.25</v>
      </c>
      <c r="D574" s="119">
        <v>25548.6875</v>
      </c>
      <c r="E574" t="str">
        <f t="shared" si="16"/>
        <v>ノイロトロピン錠４単位</v>
      </c>
      <c r="F574" t="str">
        <f t="shared" si="17"/>
        <v>ノイロトロ</v>
      </c>
    </row>
    <row r="575" spans="1:6" x14ac:dyDescent="0.2">
      <c r="A575" s="40" t="s">
        <v>785</v>
      </c>
      <c r="B575" s="177">
        <v>8.5</v>
      </c>
      <c r="C575" s="181">
        <v>3014.2857142857142</v>
      </c>
      <c r="D575" s="119">
        <v>25621.428571428572</v>
      </c>
      <c r="E575" t="str">
        <f t="shared" si="16"/>
        <v>ボグリボースＯＤ錠０．２ｍｇ「トーワ」</v>
      </c>
      <c r="F575" t="str">
        <f t="shared" si="17"/>
        <v>ボグリボー</v>
      </c>
    </row>
    <row r="576" spans="1:6" x14ac:dyDescent="0.2">
      <c r="A576" s="53" t="s">
        <v>587</v>
      </c>
      <c r="B576" s="52">
        <v>145.18</v>
      </c>
      <c r="C576" s="101">
        <v>176.92307692307691</v>
      </c>
      <c r="D576" s="16">
        <v>25685.692307692305</v>
      </c>
      <c r="E576" t="str">
        <f t="shared" si="16"/>
        <v>フォシーガ錠５ｍｇ</v>
      </c>
      <c r="F576" t="str">
        <f t="shared" si="17"/>
        <v>フォシーガ</v>
      </c>
    </row>
    <row r="577" spans="1:6" x14ac:dyDescent="0.15">
      <c r="A577" s="39" t="s">
        <v>740</v>
      </c>
      <c r="B577" s="180">
        <v>8.3000000000000007</v>
      </c>
      <c r="C577" s="181">
        <v>3117</v>
      </c>
      <c r="D577" s="119">
        <v>25871.100000000002</v>
      </c>
      <c r="E577" t="str">
        <f t="shared" si="16"/>
        <v>モサプリドクエン酸塩錠</v>
      </c>
      <c r="F577" t="str">
        <f t="shared" si="17"/>
        <v>モサプリド</v>
      </c>
    </row>
    <row r="578" spans="1:6" x14ac:dyDescent="0.2">
      <c r="A578" s="40" t="s">
        <v>224</v>
      </c>
      <c r="B578" s="177">
        <v>12.37</v>
      </c>
      <c r="C578" s="181">
        <v>2105</v>
      </c>
      <c r="D578" s="119">
        <v>26038.85</v>
      </c>
      <c r="E578" t="str">
        <f t="shared" si="16"/>
        <v>リスパダール錠１ｍｇ</v>
      </c>
      <c r="F578" t="str">
        <f t="shared" si="17"/>
        <v>リスパダー</v>
      </c>
    </row>
    <row r="579" spans="1:6" x14ac:dyDescent="0.2">
      <c r="A579" s="39" t="s">
        <v>849</v>
      </c>
      <c r="B579" s="180">
        <v>12.95</v>
      </c>
      <c r="C579" s="179">
        <v>2069.3846153846152</v>
      </c>
      <c r="D579" s="119">
        <v>26798.530769230765</v>
      </c>
      <c r="E579" t="str">
        <f t="shared" si="16"/>
        <v>パロキセチンＯＤ錠１０ｍｇ</v>
      </c>
      <c r="F579" t="str">
        <f t="shared" si="17"/>
        <v>パロキセチ</v>
      </c>
    </row>
    <row r="580" spans="1:6" x14ac:dyDescent="0.2">
      <c r="A580" s="40" t="s">
        <v>76</v>
      </c>
      <c r="B580" s="177">
        <v>8.99</v>
      </c>
      <c r="C580" s="178">
        <v>3001</v>
      </c>
      <c r="D580" s="119">
        <v>26978.99</v>
      </c>
      <c r="E580" t="str">
        <f t="shared" si="16"/>
        <v>アムロジピンＯＤ錠２．５ＭＧ　「あすか」</v>
      </c>
      <c r="F580" t="str">
        <f t="shared" si="17"/>
        <v>アムロジピ</v>
      </c>
    </row>
    <row r="581" spans="1:6" x14ac:dyDescent="0.2">
      <c r="A581" s="53" t="s">
        <v>819</v>
      </c>
      <c r="B581" s="52">
        <v>27073</v>
      </c>
      <c r="C581" s="98">
        <v>1</v>
      </c>
      <c r="D581" s="16">
        <v>27073</v>
      </c>
      <c r="E581" t="str">
        <f t="shared" ref="E581:E644" si="18">DBCS(A581)</f>
        <v>リスパダールコンスタ筋注用３７．５㎎</v>
      </c>
      <c r="F581" t="str">
        <f t="shared" ref="F581:F644" si="19">LEFT(E581,5)</f>
        <v>リスパダー</v>
      </c>
    </row>
    <row r="582" spans="1:6" x14ac:dyDescent="0.2">
      <c r="A582" s="53" t="s">
        <v>650</v>
      </c>
      <c r="B582" s="52">
        <v>341.2</v>
      </c>
      <c r="C582" s="98">
        <v>80</v>
      </c>
      <c r="D582" s="16">
        <v>27296</v>
      </c>
      <c r="E582" t="str">
        <f t="shared" si="18"/>
        <v>アシクロビル点滴２５０ｍｇ</v>
      </c>
      <c r="F582" t="str">
        <f t="shared" si="19"/>
        <v>アシクロビ</v>
      </c>
    </row>
    <row r="583" spans="1:6" x14ac:dyDescent="0.2">
      <c r="A583" s="17" t="s">
        <v>56</v>
      </c>
      <c r="B583" s="18">
        <v>36.24</v>
      </c>
      <c r="C583" s="101">
        <v>756</v>
      </c>
      <c r="D583" s="55">
        <v>27397.440000000002</v>
      </c>
      <c r="E583" t="str">
        <f t="shared" si="18"/>
        <v>０５４　ツムラ　ヨクカンサン　２．５ｇ／包</v>
      </c>
      <c r="F583" t="str">
        <f t="shared" si="19"/>
        <v>０５４　ツ</v>
      </c>
    </row>
    <row r="584" spans="1:6" x14ac:dyDescent="0.2">
      <c r="A584" s="53" t="s">
        <v>757</v>
      </c>
      <c r="B584" s="18">
        <v>126.33</v>
      </c>
      <c r="C584" s="97">
        <v>220</v>
      </c>
      <c r="D584" s="16">
        <v>27792.6</v>
      </c>
      <c r="E584" t="str">
        <f t="shared" si="18"/>
        <v>ビプレッソ徐放１５０ｍｇ</v>
      </c>
      <c r="F584" t="str">
        <f t="shared" si="19"/>
        <v>ビプレッソ</v>
      </c>
    </row>
    <row r="585" spans="1:6" x14ac:dyDescent="0.2">
      <c r="A585" s="53" t="s">
        <v>326</v>
      </c>
      <c r="B585" s="52">
        <v>383.5</v>
      </c>
      <c r="C585" s="98">
        <v>74</v>
      </c>
      <c r="D585" s="16">
        <v>28379</v>
      </c>
      <c r="E585" t="str">
        <f t="shared" si="18"/>
        <v>セフトリアキソン静注用１Ｇ</v>
      </c>
      <c r="F585" t="str">
        <f t="shared" si="19"/>
        <v>セフトリア</v>
      </c>
    </row>
    <row r="586" spans="1:6" x14ac:dyDescent="0.2">
      <c r="A586" s="40" t="s">
        <v>513</v>
      </c>
      <c r="B586" s="177">
        <v>12.1</v>
      </c>
      <c r="C586" s="178">
        <v>2355.5555555555557</v>
      </c>
      <c r="D586" s="119">
        <v>28502.222222222223</v>
      </c>
      <c r="E586" t="str">
        <f t="shared" si="18"/>
        <v>グラマリール錠２５ｍｇ</v>
      </c>
      <c r="F586" t="str">
        <f t="shared" si="19"/>
        <v>グラマリー</v>
      </c>
    </row>
    <row r="587" spans="1:6" x14ac:dyDescent="0.2">
      <c r="A587" s="17" t="s">
        <v>120</v>
      </c>
      <c r="B587" s="18">
        <v>129.62</v>
      </c>
      <c r="C587" s="98">
        <v>224</v>
      </c>
      <c r="D587" s="16">
        <v>29034.880000000001</v>
      </c>
      <c r="E587" t="str">
        <f t="shared" si="18"/>
        <v>ジェニナック錠２００ＭＧ</v>
      </c>
      <c r="F587" t="str">
        <f t="shared" si="19"/>
        <v>ジェニナッ</v>
      </c>
    </row>
    <row r="588" spans="1:6" x14ac:dyDescent="0.15">
      <c r="A588" s="39" t="s">
        <v>599</v>
      </c>
      <c r="B588" s="180">
        <v>20.57</v>
      </c>
      <c r="C588" s="181">
        <v>1437</v>
      </c>
      <c r="D588" s="119">
        <v>29559.09</v>
      </c>
      <c r="E588" t="str">
        <f t="shared" si="18"/>
        <v>メマンチン塩酸塩ＯＤ５ｍｇ　</v>
      </c>
      <c r="F588" t="str">
        <f t="shared" si="19"/>
        <v>メマンチン</v>
      </c>
    </row>
    <row r="589" spans="1:6" x14ac:dyDescent="0.2">
      <c r="A589" s="17" t="s">
        <v>63</v>
      </c>
      <c r="B589" s="18">
        <v>111.83</v>
      </c>
      <c r="C589" s="101">
        <v>267</v>
      </c>
      <c r="D589" s="55">
        <v>29858.61</v>
      </c>
      <c r="E589" t="str">
        <f t="shared" si="18"/>
        <v>クラシエ柴苓湯　ＥＫ－１１４　２．７ｇ／包</v>
      </c>
      <c r="F589" t="str">
        <f t="shared" si="19"/>
        <v>クラシエ柴</v>
      </c>
    </row>
    <row r="590" spans="1:6" x14ac:dyDescent="0.2">
      <c r="A590" s="53" t="s">
        <v>312</v>
      </c>
      <c r="B590" s="52">
        <v>29907</v>
      </c>
      <c r="C590" s="98">
        <v>1</v>
      </c>
      <c r="D590" s="16">
        <v>29907</v>
      </c>
      <c r="E590" t="str">
        <f t="shared" si="18"/>
        <v>エビリファイ水懸筋注用３００</v>
      </c>
      <c r="F590" t="str">
        <f t="shared" si="19"/>
        <v>エビリファ</v>
      </c>
    </row>
    <row r="591" spans="1:6" x14ac:dyDescent="0.15">
      <c r="A591" s="39" t="s">
        <v>242</v>
      </c>
      <c r="B591" s="180">
        <v>8.6999999999999993</v>
      </c>
      <c r="C591" s="181">
        <v>3468.4210526315792</v>
      </c>
      <c r="D591" s="119">
        <v>30175.263157894737</v>
      </c>
      <c r="E591" t="str">
        <f t="shared" si="18"/>
        <v>ロキソプロフェン錠６０ｍｇ</v>
      </c>
      <c r="F591" t="str">
        <f t="shared" si="19"/>
        <v>ロキソプロ</v>
      </c>
    </row>
    <row r="592" spans="1:6" x14ac:dyDescent="0.15">
      <c r="A592" s="39" t="s">
        <v>614</v>
      </c>
      <c r="B592" s="180">
        <v>17.25</v>
      </c>
      <c r="C592" s="181">
        <v>1770.5882352941176</v>
      </c>
      <c r="D592" s="119">
        <v>30542.647058823528</v>
      </c>
      <c r="E592" t="str">
        <f t="shared" si="18"/>
        <v>ロドピン錠５０ｍｇ　</v>
      </c>
      <c r="F592" t="str">
        <f t="shared" si="19"/>
        <v>ロドピン錠</v>
      </c>
    </row>
    <row r="593" spans="1:6" x14ac:dyDescent="0.15">
      <c r="A593" s="57" t="s">
        <v>382</v>
      </c>
      <c r="B593" s="58">
        <v>30580</v>
      </c>
      <c r="C593" s="98">
        <v>1</v>
      </c>
      <c r="D593" s="16">
        <v>30580</v>
      </c>
      <c r="E593" t="str">
        <f t="shared" si="18"/>
        <v>ヘブスブリンＩＨ静注１０００単位　５ｍＬＸ１瓶</v>
      </c>
      <c r="F593" t="str">
        <f t="shared" si="19"/>
        <v>ヘブスブリ</v>
      </c>
    </row>
    <row r="594" spans="1:6" x14ac:dyDescent="0.15">
      <c r="A594" s="20" t="s">
        <v>733</v>
      </c>
      <c r="B594" s="22">
        <v>205.62</v>
      </c>
      <c r="C594" s="99">
        <v>154</v>
      </c>
      <c r="D594" s="16">
        <v>31665.48</v>
      </c>
      <c r="E594" t="str">
        <f t="shared" si="18"/>
        <v>コンサータ錠１８ｍｇ</v>
      </c>
      <c r="F594" t="str">
        <f t="shared" si="19"/>
        <v>コンサータ</v>
      </c>
    </row>
    <row r="595" spans="1:6" x14ac:dyDescent="0.15">
      <c r="A595" s="57" t="s">
        <v>779</v>
      </c>
      <c r="B595" s="58">
        <v>85.3</v>
      </c>
      <c r="C595" s="97">
        <v>372</v>
      </c>
      <c r="D595" s="16">
        <v>31731.599999999999</v>
      </c>
      <c r="E595" t="str">
        <f t="shared" si="18"/>
        <v>タケキャブＯＤ錠１０ｍｇ</v>
      </c>
      <c r="F595" t="str">
        <f t="shared" si="19"/>
        <v>タケキャブ</v>
      </c>
    </row>
    <row r="596" spans="1:6" x14ac:dyDescent="0.2">
      <c r="A596" s="40" t="s">
        <v>225</v>
      </c>
      <c r="B596" s="177">
        <v>19.510000000000002</v>
      </c>
      <c r="C596" s="181">
        <v>1628.0769230769231</v>
      </c>
      <c r="D596" s="119">
        <v>31763.780769230772</v>
      </c>
      <c r="E596" t="str">
        <f t="shared" si="18"/>
        <v>リスパダール錠２ｍｇ</v>
      </c>
      <c r="F596" t="str">
        <f t="shared" si="19"/>
        <v>リスパダー</v>
      </c>
    </row>
    <row r="597" spans="1:6" x14ac:dyDescent="0.2">
      <c r="A597" s="40" t="s">
        <v>142</v>
      </c>
      <c r="B597" s="177">
        <v>10.63</v>
      </c>
      <c r="C597" s="178">
        <v>3010.5263157894738</v>
      </c>
      <c r="D597" s="119">
        <v>32001.894736842107</v>
      </c>
      <c r="E597" t="str">
        <f t="shared" si="18"/>
        <v>ゾニサミド錠１００ＭＧ</v>
      </c>
      <c r="F597" t="str">
        <f t="shared" si="19"/>
        <v>ゾニサミド</v>
      </c>
    </row>
    <row r="598" spans="1:6" x14ac:dyDescent="0.2">
      <c r="A598" s="53" t="s">
        <v>331</v>
      </c>
      <c r="B598" s="52">
        <v>32112</v>
      </c>
      <c r="C598" s="98">
        <v>1</v>
      </c>
      <c r="D598" s="16">
        <v>32112</v>
      </c>
      <c r="E598" t="str">
        <f t="shared" si="18"/>
        <v>ゼプリオン水懸筋注７５ｍｇ</v>
      </c>
      <c r="F598" t="str">
        <f t="shared" si="19"/>
        <v>ゼプリオン</v>
      </c>
    </row>
    <row r="599" spans="1:6" x14ac:dyDescent="0.2">
      <c r="A599" s="40" t="s">
        <v>511</v>
      </c>
      <c r="B599" s="177">
        <v>28.31</v>
      </c>
      <c r="C599" s="181">
        <v>1139.1960784313726</v>
      </c>
      <c r="D599" s="119">
        <v>32250.640980392156</v>
      </c>
      <c r="E599" t="str">
        <f t="shared" si="18"/>
        <v>クエチアピン錠２００ｍｇ</v>
      </c>
      <c r="F599" t="str">
        <f t="shared" si="19"/>
        <v>クエチアピ</v>
      </c>
    </row>
    <row r="600" spans="1:6" x14ac:dyDescent="0.2">
      <c r="A600" s="53" t="s">
        <v>675</v>
      </c>
      <c r="B600" s="52">
        <v>1161.2</v>
      </c>
      <c r="C600" s="98">
        <v>28</v>
      </c>
      <c r="D600" s="16">
        <v>32513.600000000002</v>
      </c>
      <c r="E600" t="str">
        <f t="shared" si="18"/>
        <v>ワンパル２号輸液１２００</v>
      </c>
      <c r="F600" t="str">
        <f t="shared" si="19"/>
        <v>ワンパル２</v>
      </c>
    </row>
    <row r="601" spans="1:6" x14ac:dyDescent="0.2">
      <c r="A601" s="53" t="s">
        <v>490</v>
      </c>
      <c r="B601" s="52">
        <v>71.25</v>
      </c>
      <c r="C601" s="97">
        <v>461.80645161290323</v>
      </c>
      <c r="D601" s="16">
        <v>32903.709677419356</v>
      </c>
      <c r="E601" t="str">
        <f t="shared" si="18"/>
        <v>ドネペジル塩酸塩錠ＯＤ１０ｍｇ</v>
      </c>
      <c r="F601" t="str">
        <f t="shared" si="19"/>
        <v>ドネペジル</v>
      </c>
    </row>
    <row r="602" spans="1:6" x14ac:dyDescent="0.15">
      <c r="A602" s="57" t="s">
        <v>628</v>
      </c>
      <c r="B602" s="22">
        <v>249.96</v>
      </c>
      <c r="C602" s="97">
        <v>133</v>
      </c>
      <c r="D602" s="16">
        <v>33244.68</v>
      </c>
      <c r="E602" t="str">
        <f t="shared" si="18"/>
        <v>アリドネパッチ（２７．５）</v>
      </c>
      <c r="F602" t="str">
        <f t="shared" si="19"/>
        <v>アリドネパ</v>
      </c>
    </row>
    <row r="603" spans="1:6" x14ac:dyDescent="0.2">
      <c r="A603" s="40" t="s">
        <v>92</v>
      </c>
      <c r="B603" s="177">
        <v>16.71</v>
      </c>
      <c r="C603" s="181">
        <v>1996</v>
      </c>
      <c r="D603" s="119">
        <v>33353.160000000003</v>
      </c>
      <c r="E603" t="str">
        <f t="shared" si="18"/>
        <v>オランザピンＯＤ錠５ｍｇ</v>
      </c>
      <c r="F603" t="str">
        <f t="shared" si="19"/>
        <v>オランザピ</v>
      </c>
    </row>
    <row r="604" spans="1:6" x14ac:dyDescent="0.15">
      <c r="A604" s="39" t="s">
        <v>731</v>
      </c>
      <c r="B604" s="180">
        <v>27</v>
      </c>
      <c r="C604" s="178">
        <v>1272.3333333333335</v>
      </c>
      <c r="D604" s="119">
        <v>34353.000000000007</v>
      </c>
      <c r="E604" t="str">
        <f t="shared" si="18"/>
        <v>アジルサルタンＯＤ２０ｍｇ</v>
      </c>
      <c r="F604" t="str">
        <f t="shared" si="19"/>
        <v>アジルサル</v>
      </c>
    </row>
    <row r="605" spans="1:6" x14ac:dyDescent="0.15">
      <c r="A605" s="39" t="s">
        <v>518</v>
      </c>
      <c r="B605" s="180">
        <v>21.53</v>
      </c>
      <c r="C605" s="178">
        <v>1607</v>
      </c>
      <c r="D605" s="119">
        <v>34598.71</v>
      </c>
      <c r="E605" t="str">
        <f t="shared" si="18"/>
        <v>デュロキセチンカプセル</v>
      </c>
      <c r="F605" t="str">
        <f t="shared" si="19"/>
        <v>デュロキセ</v>
      </c>
    </row>
    <row r="606" spans="1:6" x14ac:dyDescent="0.2">
      <c r="A606" s="40" t="s">
        <v>24</v>
      </c>
      <c r="B606" s="184">
        <v>25.38</v>
      </c>
      <c r="C606" s="181">
        <v>1364</v>
      </c>
      <c r="D606" s="119">
        <v>34618.32</v>
      </c>
      <c r="E606" t="str">
        <f t="shared" si="18"/>
        <v>バルプロ酸Ｎａ徐放顆粒４０％</v>
      </c>
      <c r="F606" t="str">
        <f t="shared" si="19"/>
        <v>バルプロ酸</v>
      </c>
    </row>
    <row r="607" spans="1:6" x14ac:dyDescent="0.2">
      <c r="A607" s="53" t="s">
        <v>489</v>
      </c>
      <c r="B607" s="52">
        <v>42.14</v>
      </c>
      <c r="C607" s="97">
        <v>840.42857142857144</v>
      </c>
      <c r="D607" s="16">
        <v>35415.660000000003</v>
      </c>
      <c r="E607" t="str">
        <f t="shared" si="18"/>
        <v>ドネペジル塩酸塩錠ＯＤ５ｍｇ</v>
      </c>
      <c r="F607" t="str">
        <f t="shared" si="19"/>
        <v>ドネペジル</v>
      </c>
    </row>
    <row r="608" spans="1:6" x14ac:dyDescent="0.2">
      <c r="A608" s="17" t="s">
        <v>559</v>
      </c>
      <c r="B608" s="18">
        <v>44.8</v>
      </c>
      <c r="C608" s="97">
        <v>791.66666666666674</v>
      </c>
      <c r="D608" s="16">
        <v>35466.666666666664</v>
      </c>
      <c r="E608" t="str">
        <f t="shared" si="18"/>
        <v>デエビゴ錠２．５ｍｇ</v>
      </c>
      <c r="F608" t="str">
        <f t="shared" si="19"/>
        <v>デエビゴ錠</v>
      </c>
    </row>
    <row r="609" spans="1:6" x14ac:dyDescent="0.2">
      <c r="A609" s="40" t="s">
        <v>488</v>
      </c>
      <c r="B609" s="177">
        <v>28.21</v>
      </c>
      <c r="C609" s="178">
        <v>1272.8571428571429</v>
      </c>
      <c r="D609" s="119">
        <v>35907.300000000003</v>
      </c>
      <c r="E609" t="str">
        <f t="shared" si="18"/>
        <v>ドネペジル塩酸塩錠ＯＤ３ｍｇ</v>
      </c>
      <c r="F609" t="str">
        <f t="shared" si="19"/>
        <v>ドネペジル</v>
      </c>
    </row>
    <row r="610" spans="1:6" x14ac:dyDescent="0.2">
      <c r="A610" s="40" t="s">
        <v>105</v>
      </c>
      <c r="B610" s="177">
        <v>16.2</v>
      </c>
      <c r="C610" s="181">
        <v>2331</v>
      </c>
      <c r="D610" s="119">
        <v>37762.199999999997</v>
      </c>
      <c r="E610" t="str">
        <f t="shared" si="18"/>
        <v>クエチアピン錠１００ｍｇ</v>
      </c>
      <c r="F610" t="str">
        <f t="shared" si="19"/>
        <v>クエチアピ</v>
      </c>
    </row>
    <row r="611" spans="1:6" x14ac:dyDescent="0.2">
      <c r="A611" s="17" t="s">
        <v>541</v>
      </c>
      <c r="B611" s="18">
        <v>385.71</v>
      </c>
      <c r="C611" s="97">
        <v>98</v>
      </c>
      <c r="D611" s="16">
        <v>37799.579999999994</v>
      </c>
      <c r="E611" t="str">
        <f t="shared" si="18"/>
        <v>ロナセンテープ４０ｍｇ</v>
      </c>
      <c r="F611" t="str">
        <f t="shared" si="19"/>
        <v>ロナセンテ</v>
      </c>
    </row>
    <row r="612" spans="1:6" x14ac:dyDescent="0.2">
      <c r="A612" s="15" t="s">
        <v>726</v>
      </c>
      <c r="B612" s="18">
        <v>522</v>
      </c>
      <c r="C612" s="97">
        <v>74</v>
      </c>
      <c r="D612" s="16">
        <v>38628</v>
      </c>
      <c r="E612" t="str">
        <f t="shared" si="18"/>
        <v>ストロメクトール</v>
      </c>
      <c r="F612" t="str">
        <f t="shared" si="19"/>
        <v>ストロメク</v>
      </c>
    </row>
    <row r="613" spans="1:6" x14ac:dyDescent="0.2">
      <c r="A613" s="17" t="s">
        <v>130</v>
      </c>
      <c r="B613" s="18">
        <v>86.09</v>
      </c>
      <c r="C613" s="99">
        <v>450</v>
      </c>
      <c r="D613" s="16">
        <v>38740.5</v>
      </c>
      <c r="E613" t="str">
        <f t="shared" si="18"/>
        <v>ジプレキサ　ザイディス錠５ｍｇ</v>
      </c>
      <c r="F613" t="str">
        <f t="shared" si="19"/>
        <v>ジプレキサ</v>
      </c>
    </row>
    <row r="614" spans="1:6" x14ac:dyDescent="0.15">
      <c r="A614" s="20" t="s">
        <v>759</v>
      </c>
      <c r="B614" s="22">
        <v>308.93</v>
      </c>
      <c r="C614" s="97">
        <v>129</v>
      </c>
      <c r="D614" s="16">
        <v>39851.97</v>
      </c>
      <c r="E614" t="str">
        <f t="shared" si="18"/>
        <v>ビムパット１００ｍｇ</v>
      </c>
      <c r="F614" t="str">
        <f t="shared" si="19"/>
        <v>ビムパット</v>
      </c>
    </row>
    <row r="615" spans="1:6" x14ac:dyDescent="0.2">
      <c r="A615" s="40" t="s">
        <v>492</v>
      </c>
      <c r="B615" s="177">
        <v>21.12</v>
      </c>
      <c r="C615" s="181">
        <v>1904</v>
      </c>
      <c r="D615" s="119">
        <v>40212.480000000003</v>
      </c>
      <c r="E615" t="str">
        <f t="shared" si="18"/>
        <v>アリピプラゾールＯＤ錠１２ｍｇ「ニプロ」</v>
      </c>
      <c r="F615" t="str">
        <f t="shared" si="19"/>
        <v>アリピプラ</v>
      </c>
    </row>
    <row r="616" spans="1:6" x14ac:dyDescent="0.2">
      <c r="A616" s="53" t="s">
        <v>804</v>
      </c>
      <c r="B616" s="52">
        <v>838.8</v>
      </c>
      <c r="C616" s="98">
        <v>48</v>
      </c>
      <c r="D616" s="16">
        <v>40262.399999999994</v>
      </c>
      <c r="E616" t="str">
        <f t="shared" si="18"/>
        <v>チエナム点滴静注０．５ｇ</v>
      </c>
      <c r="F616" t="str">
        <f t="shared" si="19"/>
        <v>チエナム点</v>
      </c>
    </row>
    <row r="617" spans="1:6" x14ac:dyDescent="0.2">
      <c r="A617" s="53" t="s">
        <v>769</v>
      </c>
      <c r="B617" s="52">
        <v>112.6</v>
      </c>
      <c r="C617" s="98">
        <v>365.66666666666663</v>
      </c>
      <c r="D617" s="55">
        <v>41174.066666666658</v>
      </c>
      <c r="E617" t="str">
        <f t="shared" si="18"/>
        <v>レキサルティＯＤ錠０．５ｍｇ</v>
      </c>
      <c r="F617" t="str">
        <f t="shared" si="19"/>
        <v>レキサルテ</v>
      </c>
    </row>
    <row r="618" spans="1:6" x14ac:dyDescent="0.2">
      <c r="A618" s="53" t="s">
        <v>655</v>
      </c>
      <c r="B618" s="52">
        <v>20623</v>
      </c>
      <c r="C618" s="98">
        <v>2</v>
      </c>
      <c r="D618" s="16">
        <v>41246</v>
      </c>
      <c r="E618" t="str">
        <f t="shared" si="18"/>
        <v>テリボン皮下注</v>
      </c>
      <c r="F618" t="str">
        <f t="shared" si="19"/>
        <v>テリボン皮</v>
      </c>
    </row>
    <row r="619" spans="1:6" x14ac:dyDescent="0.2">
      <c r="A619" s="30" t="s">
        <v>457</v>
      </c>
      <c r="B619" s="18">
        <v>189.27</v>
      </c>
      <c r="C619" s="97">
        <v>220</v>
      </c>
      <c r="D619" s="16">
        <v>41639.4</v>
      </c>
      <c r="E619" t="str">
        <f t="shared" si="18"/>
        <v>ビムパット錠５０ｍｇ</v>
      </c>
      <c r="F619" t="str">
        <f t="shared" si="19"/>
        <v>ビムパット</v>
      </c>
    </row>
    <row r="620" spans="1:6" x14ac:dyDescent="0.15">
      <c r="A620" s="39" t="s">
        <v>771</v>
      </c>
      <c r="B620" s="180">
        <v>12.64</v>
      </c>
      <c r="C620" s="178">
        <v>3349.4444444444443</v>
      </c>
      <c r="D620" s="119">
        <v>42336.977777777778</v>
      </c>
      <c r="E620" t="str">
        <f t="shared" si="18"/>
        <v>アトルバスタチンＯＤ錠１０ｍｇ</v>
      </c>
      <c r="F620" t="str">
        <f t="shared" si="19"/>
        <v>アトルバス</v>
      </c>
    </row>
    <row r="621" spans="1:6" x14ac:dyDescent="0.2">
      <c r="A621" s="17" t="s">
        <v>262</v>
      </c>
      <c r="B621" s="18">
        <v>123.38</v>
      </c>
      <c r="C621" s="97">
        <v>351</v>
      </c>
      <c r="D621" s="16">
        <v>43306.38</v>
      </c>
      <c r="E621" t="str">
        <f t="shared" si="18"/>
        <v>デルモゾ－ルＧ軟膏　５ｇ／本</v>
      </c>
      <c r="F621" t="str">
        <f t="shared" si="19"/>
        <v>デルモゾ－</v>
      </c>
    </row>
    <row r="622" spans="1:6" x14ac:dyDescent="0.15">
      <c r="A622" s="57" t="s">
        <v>780</v>
      </c>
      <c r="B622" s="58">
        <v>127.6</v>
      </c>
      <c r="C622" s="97">
        <v>340.90909090909088</v>
      </c>
      <c r="D622" s="16">
        <v>43499.999999999993</v>
      </c>
      <c r="E622" t="str">
        <f t="shared" si="18"/>
        <v>タケキャブ錠ＯＤ２０ｍｇ</v>
      </c>
      <c r="F622" t="str">
        <f t="shared" si="19"/>
        <v>タケキャブ</v>
      </c>
    </row>
    <row r="623" spans="1:6" x14ac:dyDescent="0.15">
      <c r="A623" s="39" t="s">
        <v>607</v>
      </c>
      <c r="B623" s="180">
        <v>17.8</v>
      </c>
      <c r="C623" s="178">
        <v>2478</v>
      </c>
      <c r="D623" s="119">
        <v>44108.4</v>
      </c>
      <c r="E623" t="str">
        <f t="shared" si="18"/>
        <v>デプロメール錠２５　</v>
      </c>
      <c r="F623" t="str">
        <f t="shared" si="19"/>
        <v>デプロメー</v>
      </c>
    </row>
    <row r="624" spans="1:6" x14ac:dyDescent="0.2">
      <c r="A624" s="17" t="s">
        <v>845</v>
      </c>
      <c r="B624" s="18">
        <v>703.65</v>
      </c>
      <c r="C624" s="97">
        <v>63</v>
      </c>
      <c r="D624" s="16">
        <v>44329.95</v>
      </c>
      <c r="E624" t="str">
        <f t="shared" si="18"/>
        <v>ノウリアスト錠２０ｍｇ</v>
      </c>
      <c r="F624" t="str">
        <f t="shared" si="19"/>
        <v>ノウリアス</v>
      </c>
    </row>
    <row r="625" spans="1:6" x14ac:dyDescent="0.2">
      <c r="A625" s="40" t="s">
        <v>589</v>
      </c>
      <c r="B625" s="182">
        <v>15.67</v>
      </c>
      <c r="C625" s="179">
        <v>2864</v>
      </c>
      <c r="D625" s="119">
        <v>44878.879999999997</v>
      </c>
      <c r="E625" t="str">
        <f t="shared" si="18"/>
        <v>ブロナンセリン錠４ｍｇ</v>
      </c>
      <c r="F625" t="str">
        <f t="shared" si="19"/>
        <v>ブロナンセ</v>
      </c>
    </row>
    <row r="626" spans="1:6" x14ac:dyDescent="0.2">
      <c r="A626" s="53" t="s">
        <v>357</v>
      </c>
      <c r="B626" s="52">
        <v>290.5</v>
      </c>
      <c r="C626" s="98">
        <v>156</v>
      </c>
      <c r="D626" s="16">
        <v>45318</v>
      </c>
      <c r="E626" t="str">
        <f t="shared" si="18"/>
        <v>ペントシリン注射用１ｇ</v>
      </c>
      <c r="F626" t="str">
        <f t="shared" si="19"/>
        <v>ペントシリ</v>
      </c>
    </row>
    <row r="627" spans="1:6" x14ac:dyDescent="0.2">
      <c r="A627" s="17" t="s">
        <v>584</v>
      </c>
      <c r="B627" s="18">
        <v>169.29</v>
      </c>
      <c r="C627" s="101">
        <v>283</v>
      </c>
      <c r="D627" s="16">
        <v>47909.07</v>
      </c>
      <c r="E627" t="str">
        <f t="shared" si="18"/>
        <v>フィコンパ錠</v>
      </c>
      <c r="F627" t="str">
        <f t="shared" si="19"/>
        <v>フィコンパ</v>
      </c>
    </row>
    <row r="628" spans="1:6" x14ac:dyDescent="0.2">
      <c r="A628" s="53" t="s">
        <v>674</v>
      </c>
      <c r="B628" s="52">
        <v>1271.7</v>
      </c>
      <c r="C628" s="98">
        <v>39</v>
      </c>
      <c r="D628" s="16">
        <v>49596.3</v>
      </c>
      <c r="E628" t="str">
        <f t="shared" si="18"/>
        <v>ワンパル２号輸液８００</v>
      </c>
      <c r="F628" t="str">
        <f t="shared" si="19"/>
        <v>ワンパル２</v>
      </c>
    </row>
    <row r="629" spans="1:6" x14ac:dyDescent="0.2">
      <c r="A629" s="53" t="s">
        <v>328</v>
      </c>
      <c r="B629" s="52">
        <v>49996</v>
      </c>
      <c r="C629" s="98">
        <v>1</v>
      </c>
      <c r="D629" s="16">
        <v>49996</v>
      </c>
      <c r="E629" t="str">
        <f t="shared" si="18"/>
        <v>ゼプリオン水懸筋注１５０ｍｇ</v>
      </c>
      <c r="F629" t="str">
        <f t="shared" si="19"/>
        <v>ゼプリオン</v>
      </c>
    </row>
    <row r="630" spans="1:6" x14ac:dyDescent="0.2">
      <c r="A630" s="40" t="s">
        <v>93</v>
      </c>
      <c r="B630" s="177">
        <v>29.86</v>
      </c>
      <c r="C630" s="181">
        <v>1691.4736842105262</v>
      </c>
      <c r="D630" s="119">
        <v>50507.404210526314</v>
      </c>
      <c r="E630" t="str">
        <f t="shared" si="18"/>
        <v>オランザピンＯＤ錠１０ｍｇ</v>
      </c>
      <c r="F630" t="str">
        <f t="shared" si="19"/>
        <v>オランザピ</v>
      </c>
    </row>
    <row r="631" spans="1:6" x14ac:dyDescent="0.15">
      <c r="A631" s="57" t="s">
        <v>509</v>
      </c>
      <c r="B631" s="58">
        <v>881.64</v>
      </c>
      <c r="C631" s="97">
        <v>59</v>
      </c>
      <c r="D631" s="16">
        <v>52016.76</v>
      </c>
      <c r="E631" t="str">
        <f t="shared" si="18"/>
        <v>オテズラ錠３０ｍｇ</v>
      </c>
      <c r="F631" t="str">
        <f t="shared" si="19"/>
        <v>オテズラ錠</v>
      </c>
    </row>
    <row r="632" spans="1:6" x14ac:dyDescent="0.2">
      <c r="A632" s="17" t="s">
        <v>122</v>
      </c>
      <c r="B632" s="18">
        <v>287.94</v>
      </c>
      <c r="C632" s="98">
        <v>186</v>
      </c>
      <c r="D632" s="16">
        <v>53556.84</v>
      </c>
      <c r="E632" t="str">
        <f t="shared" si="18"/>
        <v>シクレスト（１０）</v>
      </c>
      <c r="F632" t="str">
        <f t="shared" si="19"/>
        <v>シクレスト</v>
      </c>
    </row>
    <row r="633" spans="1:6" x14ac:dyDescent="0.15">
      <c r="A633" s="39" t="s">
        <v>699</v>
      </c>
      <c r="B633" s="180">
        <v>44.45</v>
      </c>
      <c r="C633" s="178">
        <v>1218</v>
      </c>
      <c r="D633" s="119">
        <v>54140.100000000006</v>
      </c>
      <c r="E633" t="str">
        <f t="shared" si="18"/>
        <v>アトモキセチンカプセル１０ｍｇ「サワイ」</v>
      </c>
      <c r="F633" t="str">
        <f t="shared" si="19"/>
        <v>アトモキセ</v>
      </c>
    </row>
    <row r="634" spans="1:6" x14ac:dyDescent="0.2">
      <c r="A634" s="53" t="s">
        <v>669</v>
      </c>
      <c r="B634" s="52">
        <v>130</v>
      </c>
      <c r="C634" s="98">
        <v>420</v>
      </c>
      <c r="D634" s="16">
        <v>54600</v>
      </c>
      <c r="E634" t="str">
        <f t="shared" si="18"/>
        <v>生食ＶＴＲＳ１００ｍｌ</v>
      </c>
      <c r="F634" t="str">
        <f t="shared" si="19"/>
        <v>生食ＶＴＲ</v>
      </c>
    </row>
    <row r="635" spans="1:6" x14ac:dyDescent="0.2">
      <c r="A635" s="17" t="s">
        <v>121</v>
      </c>
      <c r="B635" s="18">
        <v>189.46</v>
      </c>
      <c r="C635" s="98">
        <v>290</v>
      </c>
      <c r="D635" s="16">
        <v>54943.4</v>
      </c>
      <c r="E635" t="str">
        <f t="shared" si="18"/>
        <v>シクレスト（５）</v>
      </c>
      <c r="F635" t="str">
        <f t="shared" si="19"/>
        <v>シクレスト</v>
      </c>
    </row>
    <row r="636" spans="1:6" x14ac:dyDescent="0.15">
      <c r="A636" s="20" t="s">
        <v>847</v>
      </c>
      <c r="B636" s="22">
        <v>55850</v>
      </c>
      <c r="C636" s="97">
        <v>1</v>
      </c>
      <c r="D636" s="16">
        <v>55850</v>
      </c>
      <c r="E636" t="str">
        <f t="shared" si="18"/>
        <v>パキロビットパック３００</v>
      </c>
      <c r="F636" t="str">
        <f t="shared" si="19"/>
        <v>パキロビッ</v>
      </c>
    </row>
    <row r="637" spans="1:6" x14ac:dyDescent="0.2">
      <c r="A637" s="53" t="s">
        <v>106</v>
      </c>
      <c r="B637" s="18">
        <v>97.24</v>
      </c>
      <c r="C637" s="97">
        <v>600</v>
      </c>
      <c r="D637" s="16">
        <v>58344</v>
      </c>
      <c r="E637" t="str">
        <f t="shared" si="18"/>
        <v>グラクティブ錠５０ｍｇ</v>
      </c>
      <c r="F637" t="str">
        <f t="shared" si="19"/>
        <v>グラクティ</v>
      </c>
    </row>
    <row r="638" spans="1:6" x14ac:dyDescent="0.2">
      <c r="A638" s="40" t="s">
        <v>830</v>
      </c>
      <c r="B638" s="177">
        <v>15.94</v>
      </c>
      <c r="C638" s="181">
        <v>3725.6666666666665</v>
      </c>
      <c r="D638" s="119">
        <v>59387.126666666663</v>
      </c>
      <c r="E638" t="str">
        <f t="shared" si="18"/>
        <v>ミルタザピン錠１５ｍｇ「サワイ」</v>
      </c>
      <c r="F638" t="str">
        <f t="shared" si="19"/>
        <v>ミルタザピ</v>
      </c>
    </row>
    <row r="639" spans="1:6" x14ac:dyDescent="0.15">
      <c r="A639" s="57" t="s">
        <v>772</v>
      </c>
      <c r="B639" s="58">
        <v>119.37</v>
      </c>
      <c r="C639" s="98">
        <v>500</v>
      </c>
      <c r="D639" s="55">
        <v>59685</v>
      </c>
      <c r="E639" t="str">
        <f t="shared" si="18"/>
        <v>リバーロキサバンＯＤ錠１０ｍｇ「トーワ」</v>
      </c>
      <c r="F639" t="str">
        <f t="shared" si="19"/>
        <v>リバーロキ</v>
      </c>
    </row>
    <row r="640" spans="1:6" x14ac:dyDescent="0.15">
      <c r="A640" s="20" t="s">
        <v>498</v>
      </c>
      <c r="B640" s="22">
        <v>93.22</v>
      </c>
      <c r="C640" s="99">
        <v>675</v>
      </c>
      <c r="D640" s="16">
        <v>62923.5</v>
      </c>
      <c r="E640" t="str">
        <f t="shared" si="18"/>
        <v>イフェクサーＳＲカプセル３７．５ｍｇ</v>
      </c>
      <c r="F640" t="str">
        <f t="shared" si="19"/>
        <v>イフェクサ</v>
      </c>
    </row>
    <row r="641" spans="1:6" x14ac:dyDescent="0.2">
      <c r="A641" s="53" t="s">
        <v>453</v>
      </c>
      <c r="B641" s="18">
        <v>72.8</v>
      </c>
      <c r="C641" s="99">
        <v>874.4545454545455</v>
      </c>
      <c r="D641" s="16">
        <v>63660.290909090909</v>
      </c>
      <c r="E641" t="str">
        <f t="shared" si="18"/>
        <v>グーフィス錠５ｍｇ</v>
      </c>
      <c r="F641" t="str">
        <f t="shared" si="19"/>
        <v>グーフィス</v>
      </c>
    </row>
    <row r="642" spans="1:6" x14ac:dyDescent="0.2">
      <c r="A642" s="17" t="s">
        <v>593</v>
      </c>
      <c r="B642" s="18">
        <v>126.71</v>
      </c>
      <c r="C642" s="98">
        <v>516</v>
      </c>
      <c r="D642" s="55">
        <v>65382.359999999993</v>
      </c>
      <c r="E642" t="str">
        <f t="shared" si="18"/>
        <v>ベタニス錠５０ｍｇ</v>
      </c>
      <c r="F642" t="str">
        <f t="shared" si="19"/>
        <v>ベタニス錠</v>
      </c>
    </row>
    <row r="643" spans="1:6" x14ac:dyDescent="0.2">
      <c r="A643" s="17" t="s">
        <v>565</v>
      </c>
      <c r="B643" s="18">
        <v>143.87</v>
      </c>
      <c r="C643" s="97">
        <v>459.25</v>
      </c>
      <c r="D643" s="16">
        <v>66072.297500000001</v>
      </c>
      <c r="E643" t="str">
        <f t="shared" si="18"/>
        <v>トリンテリックス錠１０ｍｇ</v>
      </c>
      <c r="F643" t="str">
        <f t="shared" si="19"/>
        <v>トリンテリ</v>
      </c>
    </row>
    <row r="644" spans="1:6" x14ac:dyDescent="0.15">
      <c r="A644" s="39" t="s">
        <v>775</v>
      </c>
      <c r="B644" s="180">
        <v>37.24</v>
      </c>
      <c r="C644" s="181">
        <v>1818</v>
      </c>
      <c r="D644" s="119">
        <v>67702.320000000007</v>
      </c>
      <c r="E644" t="str">
        <f t="shared" si="18"/>
        <v>エソメプラゾールカプセル（２０）</v>
      </c>
      <c r="F644" t="str">
        <f t="shared" si="19"/>
        <v>エソメプラ</v>
      </c>
    </row>
    <row r="645" spans="1:6" x14ac:dyDescent="0.2">
      <c r="A645" s="17" t="s">
        <v>632</v>
      </c>
      <c r="B645" s="18">
        <v>730.5</v>
      </c>
      <c r="C645" s="97">
        <v>93</v>
      </c>
      <c r="D645" s="16">
        <v>67936.5</v>
      </c>
      <c r="E645" t="str">
        <f t="shared" ref="E645:E672" si="20">DBCS(A645)</f>
        <v>ヘパリン類似外用スプレー</v>
      </c>
      <c r="F645" t="str">
        <f t="shared" ref="F645:F672" si="21">LEFT(E645,5)</f>
        <v>ヘパリン類</v>
      </c>
    </row>
    <row r="646" spans="1:6" x14ac:dyDescent="0.2">
      <c r="A646" s="17" t="s">
        <v>738</v>
      </c>
      <c r="B646" s="18">
        <v>143.27000000000001</v>
      </c>
      <c r="C646" s="98">
        <v>476</v>
      </c>
      <c r="D646" s="55">
        <v>68196.52</v>
      </c>
      <c r="E646" t="str">
        <f t="shared" si="20"/>
        <v>ラツーダ錠２０ｍｇ</v>
      </c>
      <c r="F646" t="str">
        <f t="shared" si="21"/>
        <v>ラツーダ錠</v>
      </c>
    </row>
    <row r="647" spans="1:6" x14ac:dyDescent="0.15">
      <c r="A647" s="20" t="s">
        <v>508</v>
      </c>
      <c r="B647" s="22">
        <v>101.4</v>
      </c>
      <c r="C647" s="99">
        <v>673</v>
      </c>
      <c r="D647" s="16">
        <v>68242.2</v>
      </c>
      <c r="E647" t="str">
        <f t="shared" si="20"/>
        <v>オセルタミビルカプセル７５ｍｇ</v>
      </c>
      <c r="F647" t="str">
        <f t="shared" si="21"/>
        <v>オセルタミ</v>
      </c>
    </row>
    <row r="648" spans="1:6" x14ac:dyDescent="0.2">
      <c r="A648" s="40" t="s">
        <v>590</v>
      </c>
      <c r="B648" s="182">
        <v>29.65</v>
      </c>
      <c r="C648" s="179">
        <v>2317.5</v>
      </c>
      <c r="D648" s="119">
        <v>68713.875</v>
      </c>
      <c r="E648" t="str">
        <f t="shared" si="20"/>
        <v>ブロナンセリン錠８ｍｇ</v>
      </c>
      <c r="F648" t="str">
        <f t="shared" si="21"/>
        <v>ブロナンセ</v>
      </c>
    </row>
    <row r="649" spans="1:6" x14ac:dyDescent="0.2">
      <c r="A649" s="17" t="s">
        <v>79</v>
      </c>
      <c r="B649" s="18">
        <v>201.6</v>
      </c>
      <c r="C649" s="99">
        <v>344.14285714285717</v>
      </c>
      <c r="D649" s="16">
        <v>69379.199999999997</v>
      </c>
      <c r="E649" t="str">
        <f t="shared" si="20"/>
        <v>インヴェガ錠３ｍｇ</v>
      </c>
      <c r="F649" t="str">
        <f t="shared" si="21"/>
        <v>インヴェガ</v>
      </c>
    </row>
    <row r="650" spans="1:6" x14ac:dyDescent="0.15">
      <c r="A650" s="39" t="s">
        <v>700</v>
      </c>
      <c r="B650" s="180">
        <v>58.42</v>
      </c>
      <c r="C650" s="178">
        <v>1220</v>
      </c>
      <c r="D650" s="119">
        <v>71272.400000000009</v>
      </c>
      <c r="E650" t="str">
        <f t="shared" si="20"/>
        <v>アトモキセチンカプセル４０ｍｇ「サワイ」</v>
      </c>
      <c r="F650" t="str">
        <f t="shared" si="21"/>
        <v>アトモキセ</v>
      </c>
    </row>
    <row r="651" spans="1:6" x14ac:dyDescent="0.2">
      <c r="A651" s="53" t="s">
        <v>313</v>
      </c>
      <c r="B651" s="52">
        <v>35931</v>
      </c>
      <c r="C651" s="98">
        <v>2</v>
      </c>
      <c r="D651" s="16">
        <v>71862</v>
      </c>
      <c r="E651" t="str">
        <f t="shared" si="20"/>
        <v>エビリファイ水懸筋注用４００</v>
      </c>
      <c r="F651" t="str">
        <f t="shared" si="21"/>
        <v>エビリファ</v>
      </c>
    </row>
    <row r="652" spans="1:6" x14ac:dyDescent="0.15">
      <c r="A652" s="39" t="s">
        <v>703</v>
      </c>
      <c r="B652" s="180">
        <v>46.8</v>
      </c>
      <c r="C652" s="181">
        <v>1549.6666666666665</v>
      </c>
      <c r="D652" s="119">
        <v>72524.399999999994</v>
      </c>
      <c r="E652" t="str">
        <f t="shared" si="20"/>
        <v>エスシタロプラムＯＤ錠「トーワ」　</v>
      </c>
      <c r="F652" t="str">
        <f t="shared" si="21"/>
        <v>エスシタロ</v>
      </c>
    </row>
    <row r="653" spans="1:6" x14ac:dyDescent="0.2">
      <c r="A653" s="17" t="s">
        <v>860</v>
      </c>
      <c r="B653" s="18">
        <v>77149</v>
      </c>
      <c r="C653" s="97">
        <v>1</v>
      </c>
      <c r="D653" s="16">
        <v>77149</v>
      </c>
      <c r="E653" t="str">
        <f t="shared" si="20"/>
        <v>ラゲブリオカプセル２００ｍｇ</v>
      </c>
      <c r="F653" t="str">
        <f t="shared" si="21"/>
        <v>ラゲブリオ</v>
      </c>
    </row>
    <row r="654" spans="1:6" x14ac:dyDescent="0.2">
      <c r="A654" s="53" t="s">
        <v>343</v>
      </c>
      <c r="B654" s="52">
        <v>3898.5</v>
      </c>
      <c r="C654" s="98">
        <v>20</v>
      </c>
      <c r="D654" s="16">
        <v>77970</v>
      </c>
      <c r="E654" t="str">
        <f t="shared" si="20"/>
        <v>ハベカシン注射液７５ＭＧ</v>
      </c>
      <c r="F654" t="str">
        <f t="shared" si="21"/>
        <v>ハベカシン</v>
      </c>
    </row>
    <row r="655" spans="1:6" x14ac:dyDescent="0.2">
      <c r="A655" s="53" t="s">
        <v>358</v>
      </c>
      <c r="B655" s="52">
        <v>784</v>
      </c>
      <c r="C655" s="98">
        <v>100</v>
      </c>
      <c r="D655" s="16">
        <v>78400</v>
      </c>
      <c r="E655" t="str">
        <f t="shared" si="20"/>
        <v>ホスホマイシンナトリウム静注用２ｇ</v>
      </c>
      <c r="F655" t="str">
        <f t="shared" si="21"/>
        <v>ホスホマイ</v>
      </c>
    </row>
    <row r="656" spans="1:6" x14ac:dyDescent="0.15">
      <c r="A656" s="20" t="s">
        <v>75</v>
      </c>
      <c r="B656" s="22">
        <v>87.2</v>
      </c>
      <c r="C656" s="97">
        <v>930.28571428571422</v>
      </c>
      <c r="D656" s="16">
        <v>81120.914285714287</v>
      </c>
      <c r="E656" t="str">
        <f t="shared" si="20"/>
        <v>アミティーザカプセル</v>
      </c>
      <c r="F656" t="str">
        <f t="shared" si="21"/>
        <v>アミティー</v>
      </c>
    </row>
    <row r="657" spans="1:6" x14ac:dyDescent="0.2">
      <c r="A657" s="40" t="s">
        <v>702</v>
      </c>
      <c r="B657" s="177">
        <v>8.6999999999999993</v>
      </c>
      <c r="C657" s="181">
        <v>9549</v>
      </c>
      <c r="D657" s="119">
        <v>83076.299999999988</v>
      </c>
      <c r="E657" t="str">
        <f t="shared" si="20"/>
        <v>イルベサルタン錠５０ｍｇ「サワイ」</v>
      </c>
      <c r="F657" t="str">
        <f t="shared" si="21"/>
        <v>イルベサル</v>
      </c>
    </row>
    <row r="658" spans="1:6" x14ac:dyDescent="0.15">
      <c r="A658" s="57" t="s">
        <v>653</v>
      </c>
      <c r="B658" s="58">
        <v>1063</v>
      </c>
      <c r="C658" s="98">
        <v>79</v>
      </c>
      <c r="D658" s="16">
        <v>83977</v>
      </c>
      <c r="E658" t="str">
        <f t="shared" si="20"/>
        <v>ゾシン注</v>
      </c>
      <c r="F658" t="str">
        <f t="shared" si="21"/>
        <v>ゾシン注</v>
      </c>
    </row>
    <row r="659" spans="1:6" x14ac:dyDescent="0.15">
      <c r="A659" s="20" t="s">
        <v>848</v>
      </c>
      <c r="B659" s="22">
        <v>88220</v>
      </c>
      <c r="C659" s="97">
        <v>1</v>
      </c>
      <c r="D659" s="16">
        <v>88220</v>
      </c>
      <c r="E659" t="str">
        <f t="shared" si="20"/>
        <v>パキロビットパック６００</v>
      </c>
      <c r="F659" t="str">
        <f t="shared" si="21"/>
        <v>パキロビッ</v>
      </c>
    </row>
    <row r="660" spans="1:6" x14ac:dyDescent="0.2">
      <c r="A660" s="30" t="s">
        <v>612</v>
      </c>
      <c r="B660" s="18">
        <v>1969.26</v>
      </c>
      <c r="C660" s="97">
        <v>47</v>
      </c>
      <c r="D660" s="16">
        <v>92555.22</v>
      </c>
      <c r="E660" t="str">
        <f t="shared" si="20"/>
        <v>レボレード錠</v>
      </c>
      <c r="F660" t="str">
        <f t="shared" si="21"/>
        <v>レボレード</v>
      </c>
    </row>
    <row r="661" spans="1:6" x14ac:dyDescent="0.2">
      <c r="A661" s="53" t="s">
        <v>820</v>
      </c>
      <c r="B661" s="52">
        <v>32902</v>
      </c>
      <c r="C661" s="98">
        <v>3</v>
      </c>
      <c r="D661" s="16">
        <v>98706</v>
      </c>
      <c r="E661" t="str">
        <f t="shared" si="20"/>
        <v>リスパダールコンスタ筋注用５０㎎</v>
      </c>
      <c r="F661" t="str">
        <f t="shared" si="21"/>
        <v>リスパダー</v>
      </c>
    </row>
    <row r="662" spans="1:6" x14ac:dyDescent="0.15">
      <c r="A662" s="39" t="s">
        <v>598</v>
      </c>
      <c r="B662" s="180">
        <v>63.33</v>
      </c>
      <c r="C662" s="181">
        <v>1805</v>
      </c>
      <c r="D662" s="136">
        <v>114310.65</v>
      </c>
      <c r="E662" t="str">
        <f t="shared" si="20"/>
        <v>メマンチン塩酸塩ＯＤ２０ｍｇ　</v>
      </c>
      <c r="F662" t="str">
        <f t="shared" si="21"/>
        <v>メマンチン</v>
      </c>
    </row>
    <row r="663" spans="1:6" x14ac:dyDescent="0.2">
      <c r="A663" s="53" t="s">
        <v>327</v>
      </c>
      <c r="B663" s="52">
        <v>38961</v>
      </c>
      <c r="C663" s="98">
        <v>3</v>
      </c>
      <c r="D663" s="136">
        <v>116883</v>
      </c>
      <c r="E663" t="str">
        <f t="shared" si="20"/>
        <v>ゼプリオン水懸筋注１００ｍｇ</v>
      </c>
      <c r="F663" t="str">
        <f t="shared" si="21"/>
        <v>ゼプリオン</v>
      </c>
    </row>
    <row r="664" spans="1:6" x14ac:dyDescent="0.15">
      <c r="A664" s="20" t="s">
        <v>499</v>
      </c>
      <c r="B664" s="22">
        <v>154.03</v>
      </c>
      <c r="C664" s="99">
        <v>763.5</v>
      </c>
      <c r="D664" s="136">
        <v>117601.905</v>
      </c>
      <c r="E664" t="str">
        <f t="shared" si="20"/>
        <v>イフェクサーＳＲカプセル７５ｍｇ</v>
      </c>
      <c r="F664" t="str">
        <f t="shared" si="21"/>
        <v>イフェクサ</v>
      </c>
    </row>
    <row r="665" spans="1:6" x14ac:dyDescent="0.2">
      <c r="A665" s="53" t="s">
        <v>608</v>
      </c>
      <c r="B665" s="52">
        <v>211.58</v>
      </c>
      <c r="C665" s="98">
        <v>647.55555555555554</v>
      </c>
      <c r="D665" s="136">
        <v>137009.80444444445</v>
      </c>
      <c r="E665" t="str">
        <f t="shared" si="20"/>
        <v>レキサルティＯＤ錠１ｍｇ</v>
      </c>
      <c r="F665" t="str">
        <f t="shared" si="21"/>
        <v>レキサルテ</v>
      </c>
    </row>
    <row r="666" spans="1:6" x14ac:dyDescent="0.2">
      <c r="A666" s="40" t="s">
        <v>560</v>
      </c>
      <c r="B666" s="177">
        <v>71.12</v>
      </c>
      <c r="C666" s="178">
        <v>1937.3333333333335</v>
      </c>
      <c r="D666" s="136">
        <v>137783.1466666667</v>
      </c>
      <c r="E666" t="str">
        <f t="shared" si="20"/>
        <v>デエビゴ錠５ｍｇ</v>
      </c>
      <c r="F666" t="str">
        <f t="shared" si="21"/>
        <v>デエビゴ錠</v>
      </c>
    </row>
    <row r="667" spans="1:6" x14ac:dyDescent="0.2">
      <c r="A667" s="53" t="s">
        <v>814</v>
      </c>
      <c r="B667" s="69">
        <v>41108</v>
      </c>
      <c r="C667" s="98">
        <v>4</v>
      </c>
      <c r="D667" s="136">
        <v>164432</v>
      </c>
      <c r="E667" t="str">
        <f t="shared" si="20"/>
        <v>ベクルリー点滴静注用１００ｍｇ</v>
      </c>
      <c r="F667" t="str">
        <f t="shared" si="21"/>
        <v>ベクルリー</v>
      </c>
    </row>
    <row r="668" spans="1:6" x14ac:dyDescent="0.2">
      <c r="A668" s="17" t="s">
        <v>80</v>
      </c>
      <c r="B668" s="18">
        <v>371.36</v>
      </c>
      <c r="C668" s="99">
        <v>666.66666666666663</v>
      </c>
      <c r="D668" s="136">
        <v>247573.33333333331</v>
      </c>
      <c r="E668" t="str">
        <f t="shared" si="20"/>
        <v>インヴェガ錠６ｍｇ</v>
      </c>
      <c r="F668" t="str">
        <f t="shared" si="21"/>
        <v>インヴェガ</v>
      </c>
    </row>
    <row r="669" spans="1:6" x14ac:dyDescent="0.2">
      <c r="A669" s="53" t="s">
        <v>603</v>
      </c>
      <c r="B669" s="18">
        <v>357.42</v>
      </c>
      <c r="C669" s="97">
        <v>755.55555555555554</v>
      </c>
      <c r="D669" s="136">
        <v>270050.66666666669</v>
      </c>
      <c r="E669" t="str">
        <f t="shared" si="20"/>
        <v>リクシアナＯＤ錠３０ｍｇ</v>
      </c>
      <c r="F669" t="str">
        <f t="shared" si="21"/>
        <v>リクシアナ</v>
      </c>
    </row>
    <row r="670" spans="1:6" x14ac:dyDescent="0.2">
      <c r="A670" s="17" t="s">
        <v>454</v>
      </c>
      <c r="B670" s="18">
        <v>2171</v>
      </c>
      <c r="C670" s="97">
        <v>160</v>
      </c>
      <c r="D670" s="136">
        <v>347360</v>
      </c>
      <c r="E670" t="str">
        <f t="shared" si="20"/>
        <v>ゾフルーザ錠２０ｍｇ</v>
      </c>
      <c r="F670" t="str">
        <f t="shared" si="21"/>
        <v>ゾフルーザ</v>
      </c>
    </row>
    <row r="671" spans="1:6" x14ac:dyDescent="0.2">
      <c r="A671" s="40" t="s">
        <v>609</v>
      </c>
      <c r="B671" s="177">
        <v>404.16</v>
      </c>
      <c r="C671" s="181">
        <v>1050</v>
      </c>
      <c r="D671" s="136">
        <v>424368</v>
      </c>
      <c r="E671" t="str">
        <f t="shared" si="20"/>
        <v>レキサルティＯＤ錠２ｍｇ</v>
      </c>
      <c r="F671" t="str">
        <f t="shared" si="21"/>
        <v>レキサルテ</v>
      </c>
    </row>
    <row r="672" spans="1:6" x14ac:dyDescent="0.2">
      <c r="A672" s="40" t="s">
        <v>739</v>
      </c>
      <c r="B672" s="177">
        <v>265.98</v>
      </c>
      <c r="C672" s="181">
        <v>2171.4705882352941</v>
      </c>
      <c r="D672" s="136">
        <v>577567.74705882359</v>
      </c>
      <c r="E672" t="str">
        <f t="shared" si="20"/>
        <v>ラツーダ錠４０ｍｇ</v>
      </c>
      <c r="F672" t="str">
        <f t="shared" si="21"/>
        <v>ラツーダ錠</v>
      </c>
    </row>
    <row r="673" spans="1:4" x14ac:dyDescent="0.2">
      <c r="A673" s="17"/>
      <c r="B673" s="18"/>
      <c r="C673" s="97"/>
      <c r="D673" s="16">
        <f>SUM(D4:D672)</f>
        <v>10421362.31508196</v>
      </c>
    </row>
  </sheetData>
  <sortState xmlns:xlrd2="http://schemas.microsoft.com/office/spreadsheetml/2017/richdata2" ref="A4:D672">
    <sortCondition ref="D4:D672"/>
  </sortState>
  <phoneticPr fontId="2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1"/>
  <sheetViews>
    <sheetView zoomScale="115" zoomScaleNormal="115" workbookViewId="0">
      <pane ySplit="2" topLeftCell="A494" activePane="bottomLeft" state="frozen"/>
      <selection pane="bottomLeft" activeCell="T511" sqref="T511"/>
    </sheetView>
  </sheetViews>
  <sheetFormatPr defaultRowHeight="13.2" x14ac:dyDescent="0.2"/>
  <cols>
    <col min="1" max="1" width="30" style="1" customWidth="1"/>
    <col min="2" max="2" width="5.5546875" style="2" bestFit="1" customWidth="1"/>
    <col min="3" max="3" width="9.5546875" style="90" bestFit="1" customWidth="1"/>
    <col min="4" max="9" width="0" style="1" hidden="1" customWidth="1"/>
    <col min="10" max="10" width="10.77734375" style="78" bestFit="1" customWidth="1"/>
    <col min="11" max="11" width="4.6640625" style="1" customWidth="1"/>
    <col min="12" max="12" width="5.77734375" style="1" customWidth="1"/>
    <col min="13" max="13" width="8.6640625" style="78" customWidth="1"/>
    <col min="14" max="14" width="5.21875" style="78" customWidth="1"/>
    <col min="15" max="15" width="8.6640625" style="34" customWidth="1"/>
    <col min="16" max="16" width="8.77734375" customWidth="1"/>
    <col min="17" max="17" width="8.6640625" style="9" customWidth="1"/>
    <col min="18" max="18" width="6.21875" style="36" customWidth="1"/>
    <col min="19" max="19" width="8.6640625" style="9" customWidth="1"/>
  </cols>
  <sheetData>
    <row r="1" spans="1:19" ht="13.8" thickBot="1" x14ac:dyDescent="0.25">
      <c r="A1" s="1" t="s">
        <v>770</v>
      </c>
      <c r="C1" s="83"/>
      <c r="J1" s="4" t="s">
        <v>0</v>
      </c>
      <c r="K1" s="5"/>
      <c r="M1" s="79" t="s">
        <v>1</v>
      </c>
      <c r="N1" s="80"/>
      <c r="O1" s="8" t="s">
        <v>2</v>
      </c>
      <c r="P1" s="8" t="s">
        <v>3</v>
      </c>
    </row>
    <row r="2" spans="1:19" x14ac:dyDescent="0.2">
      <c r="A2" s="10" t="s">
        <v>4</v>
      </c>
      <c r="B2" s="11" t="s">
        <v>5</v>
      </c>
      <c r="C2" s="12" t="s">
        <v>6</v>
      </c>
      <c r="D2" s="13"/>
      <c r="E2" s="13"/>
      <c r="F2" s="13"/>
      <c r="G2" s="13"/>
      <c r="H2" s="13"/>
      <c r="I2" s="13"/>
      <c r="J2" s="13" t="s">
        <v>7</v>
      </c>
      <c r="K2" s="13" t="s">
        <v>8</v>
      </c>
      <c r="L2" s="13" t="s">
        <v>9</v>
      </c>
      <c r="M2" s="13" t="s">
        <v>10</v>
      </c>
      <c r="N2" s="11" t="s">
        <v>11</v>
      </c>
      <c r="O2" s="14" t="s">
        <v>12</v>
      </c>
      <c r="P2" s="14" t="s">
        <v>13</v>
      </c>
      <c r="Q2" s="16" t="s">
        <v>14</v>
      </c>
      <c r="R2" s="11" t="s">
        <v>15</v>
      </c>
      <c r="S2" s="16" t="s">
        <v>16</v>
      </c>
    </row>
    <row r="3" spans="1:19" x14ac:dyDescent="0.2">
      <c r="A3" s="17" t="s">
        <v>466</v>
      </c>
      <c r="B3" s="11">
        <v>11</v>
      </c>
      <c r="C3" s="84">
        <v>21.4</v>
      </c>
      <c r="D3" s="13"/>
      <c r="E3" s="13"/>
      <c r="F3" s="13"/>
      <c r="G3" s="13"/>
      <c r="H3" s="13"/>
      <c r="I3" s="13"/>
      <c r="J3" s="73">
        <v>100</v>
      </c>
      <c r="K3" s="13"/>
      <c r="L3" s="13"/>
      <c r="M3" s="73">
        <v>52</v>
      </c>
      <c r="N3" s="81">
        <v>47</v>
      </c>
      <c r="O3" s="14"/>
      <c r="P3" s="14"/>
      <c r="Q3" s="16"/>
      <c r="R3" s="11" t="s">
        <v>679</v>
      </c>
      <c r="S3" s="16"/>
    </row>
    <row r="4" spans="1:19" x14ac:dyDescent="0.2">
      <c r="A4" s="17" t="s">
        <v>475</v>
      </c>
      <c r="B4" s="11">
        <v>11</v>
      </c>
      <c r="C4" s="84">
        <v>5.8</v>
      </c>
      <c r="D4" s="13"/>
      <c r="E4" s="13"/>
      <c r="F4" s="13"/>
      <c r="G4" s="13"/>
      <c r="H4" s="13"/>
      <c r="I4" s="13"/>
      <c r="J4" s="73">
        <v>221</v>
      </c>
      <c r="K4" s="13"/>
      <c r="L4" s="13"/>
      <c r="M4" s="73">
        <v>204</v>
      </c>
      <c r="N4" s="81">
        <v>115</v>
      </c>
      <c r="O4" s="14"/>
      <c r="P4" s="14"/>
      <c r="Q4" s="16"/>
      <c r="R4" s="11"/>
      <c r="S4" s="16"/>
    </row>
    <row r="5" spans="1:19" x14ac:dyDescent="0.2">
      <c r="A5" s="20" t="s">
        <v>17</v>
      </c>
      <c r="B5" s="21">
        <v>11</v>
      </c>
      <c r="C5" s="85">
        <v>32.6</v>
      </c>
      <c r="D5" s="17"/>
      <c r="E5" s="17"/>
      <c r="F5" s="17"/>
      <c r="G5" s="17"/>
      <c r="H5" s="17"/>
      <c r="I5" s="17"/>
      <c r="J5" s="73"/>
      <c r="K5" s="13"/>
      <c r="L5" s="17"/>
      <c r="M5" s="73">
        <v>256</v>
      </c>
      <c r="N5" s="73">
        <v>149</v>
      </c>
      <c r="O5" s="19"/>
      <c r="P5" s="15"/>
      <c r="Q5" s="16"/>
      <c r="R5" s="11" t="s">
        <v>416</v>
      </c>
      <c r="S5" s="16"/>
    </row>
    <row r="6" spans="1:19" x14ac:dyDescent="0.2">
      <c r="A6" s="23" t="s">
        <v>462</v>
      </c>
      <c r="B6" s="11">
        <v>11</v>
      </c>
      <c r="C6" s="86">
        <v>17.899999999999999</v>
      </c>
      <c r="D6" s="17"/>
      <c r="E6" s="17"/>
      <c r="F6" s="17"/>
      <c r="G6" s="17"/>
      <c r="H6" s="17"/>
      <c r="I6" s="17"/>
      <c r="J6" s="73">
        <v>100</v>
      </c>
      <c r="K6" s="13"/>
      <c r="L6" s="17"/>
      <c r="M6" s="73">
        <v>56</v>
      </c>
      <c r="N6" s="73">
        <v>40</v>
      </c>
      <c r="O6" s="19"/>
      <c r="P6" s="15"/>
      <c r="Q6" s="16"/>
      <c r="R6" s="11" t="s">
        <v>452</v>
      </c>
      <c r="S6" s="16"/>
    </row>
    <row r="7" spans="1:19" x14ac:dyDescent="0.2">
      <c r="A7" s="20" t="s">
        <v>18</v>
      </c>
      <c r="B7" s="21">
        <v>11</v>
      </c>
      <c r="C7" s="85">
        <v>10.8</v>
      </c>
      <c r="D7" s="17"/>
      <c r="E7" s="17"/>
      <c r="F7" s="17"/>
      <c r="G7" s="17"/>
      <c r="H7" s="17"/>
      <c r="I7" s="17"/>
      <c r="J7" s="73">
        <v>493</v>
      </c>
      <c r="K7" s="13"/>
      <c r="L7" s="17"/>
      <c r="M7" s="73"/>
      <c r="N7" s="73">
        <v>237</v>
      </c>
      <c r="O7" s="19"/>
      <c r="P7" s="15"/>
      <c r="Q7" s="16"/>
      <c r="R7" s="11" t="s">
        <v>416</v>
      </c>
      <c r="S7" s="16"/>
    </row>
    <row r="8" spans="1:19" x14ac:dyDescent="0.2">
      <c r="A8" s="20" t="s">
        <v>19</v>
      </c>
      <c r="B8" s="21">
        <v>11</v>
      </c>
      <c r="C8" s="85">
        <v>5.8</v>
      </c>
      <c r="D8" s="17"/>
      <c r="E8" s="17"/>
      <c r="F8" s="17"/>
      <c r="G8" s="17"/>
      <c r="H8" s="17"/>
      <c r="I8" s="17"/>
      <c r="J8" s="73">
        <v>434</v>
      </c>
      <c r="K8" s="13"/>
      <c r="L8" s="17"/>
      <c r="M8" s="73">
        <v>72</v>
      </c>
      <c r="N8" s="73">
        <v>42</v>
      </c>
      <c r="O8" s="19"/>
      <c r="P8" s="15"/>
      <c r="Q8" s="16"/>
      <c r="R8" s="11" t="s">
        <v>416</v>
      </c>
      <c r="S8" s="16"/>
    </row>
    <row r="9" spans="1:19" x14ac:dyDescent="0.2">
      <c r="A9" s="24" t="s">
        <v>421</v>
      </c>
      <c r="B9" s="11">
        <v>11</v>
      </c>
      <c r="C9" s="86">
        <v>62.4</v>
      </c>
      <c r="D9" s="17"/>
      <c r="E9" s="17"/>
      <c r="F9" s="17"/>
      <c r="G9" s="17"/>
      <c r="H9" s="17"/>
      <c r="I9" s="17"/>
      <c r="J9" s="73">
        <v>200</v>
      </c>
      <c r="K9" s="13"/>
      <c r="L9" s="17"/>
      <c r="M9" s="73">
        <v>96</v>
      </c>
      <c r="N9" s="73">
        <v>43</v>
      </c>
      <c r="O9" s="19"/>
      <c r="P9" s="15"/>
      <c r="Q9" s="16"/>
      <c r="R9" s="11" t="s">
        <v>416</v>
      </c>
      <c r="S9" s="16"/>
    </row>
    <row r="10" spans="1:19" x14ac:dyDescent="0.2">
      <c r="A10" s="17" t="s">
        <v>20</v>
      </c>
      <c r="B10" s="13">
        <v>11</v>
      </c>
      <c r="C10" s="86">
        <v>17.100000000000001</v>
      </c>
      <c r="D10" s="17"/>
      <c r="E10" s="17"/>
      <c r="F10" s="17"/>
      <c r="G10" s="17"/>
      <c r="H10" s="17"/>
      <c r="I10" s="17"/>
      <c r="J10" s="73">
        <v>680</v>
      </c>
      <c r="K10" s="13"/>
      <c r="L10" s="17"/>
      <c r="M10" s="73">
        <v>257</v>
      </c>
      <c r="N10" s="73">
        <v>229</v>
      </c>
      <c r="O10" s="19"/>
      <c r="P10" s="15"/>
      <c r="Q10" s="16"/>
      <c r="R10" s="11" t="s">
        <v>416</v>
      </c>
      <c r="S10" s="16"/>
    </row>
    <row r="11" spans="1:19" x14ac:dyDescent="0.2">
      <c r="A11" s="23" t="s">
        <v>21</v>
      </c>
      <c r="B11" s="13">
        <v>11</v>
      </c>
      <c r="C11" s="86">
        <v>136.4</v>
      </c>
      <c r="D11" s="17"/>
      <c r="E11" s="17"/>
      <c r="F11" s="17"/>
      <c r="G11" s="17"/>
      <c r="H11" s="17"/>
      <c r="I11" s="17"/>
      <c r="J11" s="73">
        <v>100</v>
      </c>
      <c r="K11" s="13"/>
      <c r="L11" s="17"/>
      <c r="M11" s="73">
        <v>111</v>
      </c>
      <c r="N11" s="73">
        <v>50</v>
      </c>
      <c r="O11" s="19"/>
      <c r="P11" s="15"/>
      <c r="Q11" s="16"/>
      <c r="R11" s="11" t="s">
        <v>416</v>
      </c>
      <c r="S11" s="16"/>
    </row>
    <row r="12" spans="1:19" x14ac:dyDescent="0.2">
      <c r="A12" s="23" t="s">
        <v>468</v>
      </c>
      <c r="B12" s="13">
        <v>11</v>
      </c>
      <c r="C12" s="86">
        <v>21.4</v>
      </c>
      <c r="D12" s="17"/>
      <c r="E12" s="17"/>
      <c r="F12" s="17"/>
      <c r="G12" s="17"/>
      <c r="H12" s="17"/>
      <c r="I12" s="17"/>
      <c r="J12" s="73">
        <v>100</v>
      </c>
      <c r="K12" s="13"/>
      <c r="L12" s="17"/>
      <c r="M12" s="73">
        <v>121</v>
      </c>
      <c r="N12" s="73">
        <v>64</v>
      </c>
      <c r="O12" s="19"/>
      <c r="P12" s="15"/>
      <c r="Q12" s="16"/>
      <c r="R12" s="11"/>
      <c r="S12" s="16"/>
    </row>
    <row r="13" spans="1:19" x14ac:dyDescent="0.2">
      <c r="A13" s="23" t="s">
        <v>467</v>
      </c>
      <c r="B13" s="13">
        <v>11</v>
      </c>
      <c r="C13" s="86">
        <v>6.7</v>
      </c>
      <c r="D13" s="17"/>
      <c r="E13" s="17"/>
      <c r="F13" s="17"/>
      <c r="G13" s="17"/>
      <c r="H13" s="17"/>
      <c r="I13" s="17"/>
      <c r="J13" s="73"/>
      <c r="K13" s="13"/>
      <c r="L13" s="17"/>
      <c r="M13" s="73">
        <v>106</v>
      </c>
      <c r="N13" s="73">
        <v>103</v>
      </c>
      <c r="O13" s="19"/>
      <c r="P13" s="15"/>
      <c r="Q13" s="16"/>
      <c r="R13" s="11"/>
      <c r="S13" s="16"/>
    </row>
    <row r="14" spans="1:19" x14ac:dyDescent="0.2">
      <c r="A14" s="20" t="s">
        <v>422</v>
      </c>
      <c r="B14" s="21">
        <v>11</v>
      </c>
      <c r="C14" s="85">
        <v>12.7</v>
      </c>
      <c r="D14" s="17"/>
      <c r="E14" s="17"/>
      <c r="F14" s="17"/>
      <c r="G14" s="17"/>
      <c r="H14" s="17"/>
      <c r="I14" s="17"/>
      <c r="J14" s="73">
        <v>950</v>
      </c>
      <c r="K14" s="13"/>
      <c r="L14" s="17"/>
      <c r="M14" s="73"/>
      <c r="N14" s="73">
        <v>76</v>
      </c>
      <c r="O14" s="19"/>
      <c r="P14" s="15"/>
      <c r="Q14" s="16"/>
      <c r="R14" s="11" t="s">
        <v>416</v>
      </c>
      <c r="S14" s="16"/>
    </row>
    <row r="15" spans="1:19" x14ac:dyDescent="0.2">
      <c r="A15" s="20" t="s">
        <v>469</v>
      </c>
      <c r="B15" s="21">
        <v>11</v>
      </c>
      <c r="C15" s="85">
        <v>9.9</v>
      </c>
      <c r="D15" s="17"/>
      <c r="E15" s="17"/>
      <c r="F15" s="17"/>
      <c r="G15" s="17"/>
      <c r="H15" s="17"/>
      <c r="I15" s="17"/>
      <c r="J15" s="73"/>
      <c r="K15" s="13"/>
      <c r="L15" s="17"/>
      <c r="M15" s="73">
        <v>165</v>
      </c>
      <c r="N15" s="73">
        <v>70</v>
      </c>
      <c r="O15" s="19"/>
      <c r="P15" s="15"/>
      <c r="Q15" s="16"/>
      <c r="R15" s="11" t="s">
        <v>416</v>
      </c>
      <c r="S15" s="16"/>
    </row>
    <row r="16" spans="1:19" x14ac:dyDescent="0.2">
      <c r="A16" s="20" t="s">
        <v>22</v>
      </c>
      <c r="B16" s="21">
        <v>11</v>
      </c>
      <c r="C16" s="85">
        <v>6.5</v>
      </c>
      <c r="D16" s="17"/>
      <c r="E16" s="17"/>
      <c r="F16" s="17"/>
      <c r="G16" s="17"/>
      <c r="H16" s="17"/>
      <c r="I16" s="17"/>
      <c r="J16" s="73">
        <v>500</v>
      </c>
      <c r="K16" s="13"/>
      <c r="L16" s="17"/>
      <c r="M16" s="73">
        <v>184</v>
      </c>
      <c r="N16" s="73">
        <v>97</v>
      </c>
      <c r="O16" s="19"/>
      <c r="P16" s="15"/>
      <c r="Q16" s="16"/>
      <c r="R16" s="11" t="s">
        <v>416</v>
      </c>
      <c r="S16" s="16"/>
    </row>
    <row r="17" spans="1:19" x14ac:dyDescent="0.2">
      <c r="A17" s="40" t="s">
        <v>680</v>
      </c>
      <c r="B17" s="13">
        <v>11</v>
      </c>
      <c r="C17" s="86">
        <v>6.2</v>
      </c>
      <c r="D17" s="17"/>
      <c r="E17" s="17"/>
      <c r="F17" s="17"/>
      <c r="G17" s="17"/>
      <c r="H17" s="17"/>
      <c r="I17" s="17"/>
      <c r="J17" s="73">
        <v>500</v>
      </c>
      <c r="K17" s="13"/>
      <c r="L17" s="17"/>
      <c r="M17" s="73">
        <v>227</v>
      </c>
      <c r="N17" s="73">
        <v>116</v>
      </c>
      <c r="O17" s="19"/>
      <c r="P17" s="15"/>
      <c r="Q17" s="16"/>
      <c r="R17" s="11" t="s">
        <v>416</v>
      </c>
      <c r="S17" s="16"/>
    </row>
    <row r="18" spans="1:19" x14ac:dyDescent="0.2">
      <c r="A18" s="17" t="s">
        <v>465</v>
      </c>
      <c r="B18" s="13">
        <v>11</v>
      </c>
      <c r="C18" s="86">
        <v>36.700000000000003</v>
      </c>
      <c r="D18" s="17"/>
      <c r="E18" s="17"/>
      <c r="F18" s="17"/>
      <c r="G18" s="17"/>
      <c r="H18" s="17"/>
      <c r="I18" s="17"/>
      <c r="J18" s="73">
        <v>100</v>
      </c>
      <c r="K18" s="13"/>
      <c r="L18" s="17"/>
      <c r="M18" s="73">
        <v>182</v>
      </c>
      <c r="N18" s="73">
        <v>175</v>
      </c>
      <c r="O18" s="19"/>
      <c r="P18" s="15"/>
      <c r="Q18" s="16"/>
      <c r="R18" s="11"/>
      <c r="S18" s="16"/>
    </row>
    <row r="19" spans="1:19" x14ac:dyDescent="0.2">
      <c r="A19" s="39" t="s">
        <v>681</v>
      </c>
      <c r="B19" s="21">
        <v>11</v>
      </c>
      <c r="C19" s="85">
        <v>9.1</v>
      </c>
      <c r="D19" s="17"/>
      <c r="E19" s="17"/>
      <c r="F19" s="17"/>
      <c r="G19" s="17"/>
      <c r="H19" s="17"/>
      <c r="I19" s="17"/>
      <c r="J19" s="73">
        <v>200</v>
      </c>
      <c r="K19" s="13"/>
      <c r="L19" s="17"/>
      <c r="M19" s="73">
        <v>345</v>
      </c>
      <c r="N19" s="73">
        <v>285</v>
      </c>
      <c r="O19" s="19"/>
      <c r="P19" s="15"/>
      <c r="Q19" s="16"/>
      <c r="R19" s="11" t="s">
        <v>416</v>
      </c>
      <c r="S19" s="16"/>
    </row>
    <row r="20" spans="1:19" x14ac:dyDescent="0.2">
      <c r="A20" s="41" t="s">
        <v>463</v>
      </c>
      <c r="B20" s="42">
        <v>11</v>
      </c>
      <c r="C20" s="190">
        <v>22.3</v>
      </c>
      <c r="D20" s="43"/>
      <c r="E20" s="43"/>
      <c r="F20" s="43"/>
      <c r="G20" s="43"/>
      <c r="H20" s="43"/>
      <c r="I20" s="43"/>
      <c r="J20" s="195"/>
      <c r="K20" s="44"/>
      <c r="L20" s="43"/>
      <c r="M20" s="195"/>
      <c r="N20" s="195"/>
      <c r="O20" s="45"/>
      <c r="P20" s="46"/>
      <c r="Q20" s="47"/>
      <c r="R20" s="48"/>
      <c r="S20" s="47"/>
    </row>
    <row r="21" spans="1:19" x14ac:dyDescent="0.2">
      <c r="A21" s="23" t="s">
        <v>464</v>
      </c>
      <c r="B21" s="11">
        <v>11</v>
      </c>
      <c r="C21" s="86">
        <v>75.2</v>
      </c>
      <c r="D21" s="17"/>
      <c r="E21" s="17"/>
      <c r="F21" s="17"/>
      <c r="G21" s="17"/>
      <c r="H21" s="17"/>
      <c r="I21" s="17"/>
      <c r="J21" s="73">
        <v>400</v>
      </c>
      <c r="K21" s="13"/>
      <c r="L21" s="17"/>
      <c r="M21" s="73">
        <v>171</v>
      </c>
      <c r="N21" s="73">
        <v>98</v>
      </c>
      <c r="O21" s="19"/>
      <c r="P21" s="15"/>
      <c r="Q21" s="16"/>
      <c r="R21" s="11"/>
      <c r="S21" s="16"/>
    </row>
    <row r="22" spans="1:19" x14ac:dyDescent="0.2">
      <c r="A22" s="49" t="s">
        <v>470</v>
      </c>
      <c r="B22" s="48">
        <v>11</v>
      </c>
      <c r="C22" s="191"/>
      <c r="D22" s="43"/>
      <c r="E22" s="43"/>
      <c r="F22" s="43"/>
      <c r="G22" s="43"/>
      <c r="H22" s="43"/>
      <c r="I22" s="43"/>
      <c r="J22" s="195">
        <v>118</v>
      </c>
      <c r="K22" s="44"/>
      <c r="L22" s="43"/>
      <c r="M22" s="195">
        <v>164</v>
      </c>
      <c r="N22" s="195">
        <v>118</v>
      </c>
      <c r="O22" s="45"/>
      <c r="P22" s="46"/>
      <c r="Q22" s="47"/>
      <c r="R22" s="48"/>
      <c r="S22" s="47"/>
    </row>
    <row r="23" spans="1:19" x14ac:dyDescent="0.2">
      <c r="A23" s="23" t="s">
        <v>23</v>
      </c>
      <c r="B23" s="11">
        <v>11</v>
      </c>
      <c r="C23" s="86"/>
      <c r="D23" s="17"/>
      <c r="E23" s="17"/>
      <c r="F23" s="17"/>
      <c r="G23" s="17"/>
      <c r="H23" s="17"/>
      <c r="I23" s="17"/>
      <c r="J23" s="73">
        <v>641</v>
      </c>
      <c r="K23" s="13"/>
      <c r="L23" s="17"/>
      <c r="M23" s="73"/>
      <c r="N23" s="73"/>
      <c r="O23" s="19"/>
      <c r="P23" s="15"/>
      <c r="Q23" s="16"/>
      <c r="R23" s="11"/>
      <c r="S23" s="16"/>
    </row>
    <row r="24" spans="1:19" x14ac:dyDescent="0.2">
      <c r="A24" s="17" t="s">
        <v>24</v>
      </c>
      <c r="B24" s="13">
        <v>11</v>
      </c>
      <c r="C24" s="86">
        <v>25.9</v>
      </c>
      <c r="D24" s="17"/>
      <c r="E24" s="17"/>
      <c r="F24" s="17"/>
      <c r="G24" s="17"/>
      <c r="H24" s="17"/>
      <c r="I24" s="17"/>
      <c r="J24" s="73">
        <v>500</v>
      </c>
      <c r="K24" s="13"/>
      <c r="L24" s="17"/>
      <c r="M24" s="73">
        <v>388</v>
      </c>
      <c r="N24" s="73">
        <v>108</v>
      </c>
      <c r="O24" s="19"/>
      <c r="P24" s="15"/>
      <c r="Q24" s="16"/>
      <c r="R24" s="11" t="s">
        <v>416</v>
      </c>
      <c r="S24" s="16"/>
    </row>
    <row r="25" spans="1:19" x14ac:dyDescent="0.2">
      <c r="A25" s="39" t="s">
        <v>682</v>
      </c>
      <c r="B25" s="21">
        <v>11</v>
      </c>
      <c r="C25" s="85">
        <v>10.5</v>
      </c>
      <c r="D25" s="17"/>
      <c r="E25" s="17"/>
      <c r="F25" s="17"/>
      <c r="G25" s="17"/>
      <c r="H25" s="17"/>
      <c r="I25" s="17"/>
      <c r="J25" s="73">
        <v>300</v>
      </c>
      <c r="K25" s="13"/>
      <c r="L25" s="17"/>
      <c r="M25" s="73">
        <v>105</v>
      </c>
      <c r="N25" s="73">
        <v>99</v>
      </c>
      <c r="O25" s="19"/>
      <c r="P25" s="15"/>
      <c r="Q25" s="16"/>
      <c r="R25" s="11" t="s">
        <v>416</v>
      </c>
      <c r="S25" s="16"/>
    </row>
    <row r="26" spans="1:19" x14ac:dyDescent="0.2">
      <c r="A26" s="39" t="s">
        <v>683</v>
      </c>
      <c r="B26" s="21">
        <v>11</v>
      </c>
      <c r="C26" s="85">
        <v>11.4</v>
      </c>
      <c r="D26" s="17"/>
      <c r="E26" s="17"/>
      <c r="F26" s="17"/>
      <c r="G26" s="17"/>
      <c r="H26" s="17"/>
      <c r="I26" s="17"/>
      <c r="J26" s="73">
        <v>1000</v>
      </c>
      <c r="K26" s="13"/>
      <c r="L26" s="17"/>
      <c r="M26" s="73">
        <v>589</v>
      </c>
      <c r="N26" s="73">
        <v>257</v>
      </c>
      <c r="O26" s="19"/>
      <c r="P26" s="15"/>
      <c r="Q26" s="16"/>
      <c r="R26" s="11" t="s">
        <v>416</v>
      </c>
      <c r="S26" s="16"/>
    </row>
    <row r="27" spans="1:19" x14ac:dyDescent="0.2">
      <c r="A27" s="17" t="s">
        <v>25</v>
      </c>
      <c r="B27" s="13">
        <v>11</v>
      </c>
      <c r="C27" s="86">
        <v>5.3</v>
      </c>
      <c r="D27" s="17"/>
      <c r="E27" s="17"/>
      <c r="F27" s="17"/>
      <c r="G27" s="17"/>
      <c r="H27" s="17"/>
      <c r="I27" s="17"/>
      <c r="J27" s="73"/>
      <c r="K27" s="13"/>
      <c r="L27" s="17"/>
      <c r="M27" s="73">
        <v>496</v>
      </c>
      <c r="N27" s="73">
        <v>284</v>
      </c>
      <c r="O27" s="19"/>
      <c r="P27" s="15"/>
      <c r="Q27" s="16"/>
      <c r="R27" s="11" t="s">
        <v>416</v>
      </c>
      <c r="S27" s="16"/>
    </row>
    <row r="28" spans="1:19" x14ac:dyDescent="0.2">
      <c r="A28" s="20" t="s">
        <v>26</v>
      </c>
      <c r="B28" s="21">
        <v>11</v>
      </c>
      <c r="C28" s="85"/>
      <c r="D28" s="17"/>
      <c r="E28" s="17"/>
      <c r="F28" s="17"/>
      <c r="G28" s="17"/>
      <c r="H28" s="17"/>
      <c r="I28" s="17"/>
      <c r="J28" s="73"/>
      <c r="K28" s="13"/>
      <c r="L28" s="17"/>
      <c r="M28" s="73"/>
      <c r="N28" s="73">
        <v>75</v>
      </c>
      <c r="O28" s="19"/>
      <c r="P28" s="15"/>
      <c r="Q28" s="16"/>
      <c r="R28" s="11" t="s">
        <v>416</v>
      </c>
      <c r="S28" s="16"/>
    </row>
    <row r="29" spans="1:19" x14ac:dyDescent="0.2">
      <c r="A29" s="20" t="s">
        <v>27</v>
      </c>
      <c r="B29" s="21">
        <v>11</v>
      </c>
      <c r="C29" s="89">
        <v>43</v>
      </c>
      <c r="D29" s="17"/>
      <c r="E29" s="17"/>
      <c r="F29" s="17"/>
      <c r="G29" s="17"/>
      <c r="H29" s="17"/>
      <c r="I29" s="17"/>
      <c r="J29" s="73">
        <v>100</v>
      </c>
      <c r="K29" s="13"/>
      <c r="L29" s="17"/>
      <c r="M29" s="73">
        <v>129</v>
      </c>
      <c r="N29" s="73">
        <v>39</v>
      </c>
      <c r="O29" s="19"/>
      <c r="P29" s="15"/>
      <c r="Q29" s="16"/>
      <c r="R29" s="11" t="s">
        <v>416</v>
      </c>
      <c r="S29" s="16"/>
    </row>
    <row r="30" spans="1:19" x14ac:dyDescent="0.2">
      <c r="A30" s="39" t="s">
        <v>684</v>
      </c>
      <c r="B30" s="21">
        <v>11</v>
      </c>
      <c r="C30" s="85">
        <v>6.5</v>
      </c>
      <c r="D30" s="17"/>
      <c r="E30" s="17"/>
      <c r="F30" s="17"/>
      <c r="G30" s="17"/>
      <c r="H30" s="17"/>
      <c r="I30" s="17"/>
      <c r="J30" s="73">
        <v>500</v>
      </c>
      <c r="K30" s="13"/>
      <c r="L30" s="17"/>
      <c r="M30" s="73">
        <v>367</v>
      </c>
      <c r="N30" s="73">
        <v>58</v>
      </c>
      <c r="O30" s="19"/>
      <c r="P30" s="15"/>
      <c r="Q30" s="16"/>
      <c r="R30" s="11" t="s">
        <v>416</v>
      </c>
      <c r="S30" s="16"/>
    </row>
    <row r="31" spans="1:19" x14ac:dyDescent="0.2">
      <c r="A31" s="39" t="s">
        <v>685</v>
      </c>
      <c r="B31" s="21">
        <v>11</v>
      </c>
      <c r="C31" s="85">
        <v>10</v>
      </c>
      <c r="D31" s="17"/>
      <c r="E31" s="17"/>
      <c r="F31" s="17"/>
      <c r="G31" s="17"/>
      <c r="H31" s="17"/>
      <c r="I31" s="17"/>
      <c r="J31" s="73">
        <v>500</v>
      </c>
      <c r="K31" s="13"/>
      <c r="L31" s="17"/>
      <c r="M31" s="73">
        <v>140</v>
      </c>
      <c r="N31" s="73">
        <v>74</v>
      </c>
      <c r="O31" s="19"/>
      <c r="P31" s="15"/>
      <c r="Q31" s="16"/>
      <c r="R31" s="11" t="s">
        <v>416</v>
      </c>
      <c r="S31" s="16"/>
    </row>
    <row r="32" spans="1:19" x14ac:dyDescent="0.2">
      <c r="A32" s="17" t="s">
        <v>28</v>
      </c>
      <c r="B32" s="13">
        <v>11</v>
      </c>
      <c r="C32" s="86">
        <v>7.4</v>
      </c>
      <c r="D32" s="17"/>
      <c r="E32" s="17"/>
      <c r="F32" s="17"/>
      <c r="G32" s="17"/>
      <c r="H32" s="17"/>
      <c r="I32" s="17"/>
      <c r="J32" s="73">
        <v>2303</v>
      </c>
      <c r="K32" s="13"/>
      <c r="L32" s="17"/>
      <c r="M32" s="73">
        <v>219</v>
      </c>
      <c r="N32" s="73">
        <v>73</v>
      </c>
      <c r="O32" s="19"/>
      <c r="P32" s="15"/>
      <c r="Q32" s="16"/>
      <c r="R32" s="11" t="s">
        <v>416</v>
      </c>
      <c r="S32" s="16"/>
    </row>
    <row r="33" spans="1:19" x14ac:dyDescent="0.2">
      <c r="A33" s="39" t="s">
        <v>686</v>
      </c>
      <c r="B33" s="21">
        <v>11</v>
      </c>
      <c r="C33" s="85">
        <v>8.3000000000000007</v>
      </c>
      <c r="D33" s="17"/>
      <c r="E33" s="17"/>
      <c r="F33" s="17"/>
      <c r="G33" s="17"/>
      <c r="H33" s="17"/>
      <c r="I33" s="17"/>
      <c r="J33" s="73">
        <v>300</v>
      </c>
      <c r="K33" s="13"/>
      <c r="L33" s="17"/>
      <c r="M33" s="73">
        <v>162</v>
      </c>
      <c r="N33" s="73">
        <v>149</v>
      </c>
      <c r="O33" s="19"/>
      <c r="P33" s="15"/>
      <c r="Q33" s="16"/>
      <c r="R33" s="11" t="s">
        <v>416</v>
      </c>
      <c r="S33" s="16"/>
    </row>
    <row r="34" spans="1:19" x14ac:dyDescent="0.2">
      <c r="A34" s="39" t="s">
        <v>687</v>
      </c>
      <c r="B34" s="21">
        <v>11</v>
      </c>
      <c r="C34" s="85">
        <v>101.4</v>
      </c>
      <c r="D34" s="17"/>
      <c r="E34" s="17"/>
      <c r="F34" s="17"/>
      <c r="G34" s="17"/>
      <c r="H34" s="17"/>
      <c r="I34" s="17"/>
      <c r="J34" s="73">
        <v>200</v>
      </c>
      <c r="K34" s="13"/>
      <c r="L34" s="17"/>
      <c r="M34" s="73">
        <v>143</v>
      </c>
      <c r="N34" s="73">
        <v>49</v>
      </c>
      <c r="O34" s="19"/>
      <c r="P34" s="15"/>
      <c r="Q34" s="16"/>
      <c r="R34" s="11"/>
      <c r="S34" s="16"/>
    </row>
    <row r="35" spans="1:19" x14ac:dyDescent="0.2">
      <c r="A35" s="20" t="s">
        <v>29</v>
      </c>
      <c r="B35" s="21">
        <v>11</v>
      </c>
      <c r="C35" s="85"/>
      <c r="D35" s="17"/>
      <c r="E35" s="17"/>
      <c r="F35" s="17"/>
      <c r="G35" s="17"/>
      <c r="H35" s="17"/>
      <c r="I35" s="17"/>
      <c r="J35" s="73">
        <v>26</v>
      </c>
      <c r="K35" s="13"/>
      <c r="L35" s="17"/>
      <c r="M35" s="73">
        <v>174</v>
      </c>
      <c r="N35" s="73">
        <v>75</v>
      </c>
      <c r="O35" s="19"/>
      <c r="P35" s="15"/>
      <c r="Q35" s="16"/>
      <c r="R35" s="11" t="s">
        <v>416</v>
      </c>
      <c r="S35" s="16"/>
    </row>
    <row r="36" spans="1:19" x14ac:dyDescent="0.2">
      <c r="A36" s="20" t="s">
        <v>30</v>
      </c>
      <c r="B36" s="21">
        <v>11</v>
      </c>
      <c r="C36" s="85">
        <v>8.9</v>
      </c>
      <c r="D36" s="17"/>
      <c r="E36" s="17"/>
      <c r="F36" s="17"/>
      <c r="G36" s="17"/>
      <c r="H36" s="17"/>
      <c r="I36" s="17"/>
      <c r="J36" s="73">
        <v>100</v>
      </c>
      <c r="K36" s="13"/>
      <c r="L36" s="17"/>
      <c r="M36" s="73">
        <v>57</v>
      </c>
      <c r="N36" s="73">
        <v>40</v>
      </c>
      <c r="O36" s="19"/>
      <c r="P36" s="15"/>
      <c r="Q36" s="16"/>
      <c r="R36" s="11" t="s">
        <v>416</v>
      </c>
      <c r="S36" s="16"/>
    </row>
    <row r="37" spans="1:19" x14ac:dyDescent="0.2">
      <c r="A37" s="20" t="s">
        <v>461</v>
      </c>
      <c r="B37" s="21">
        <v>11</v>
      </c>
      <c r="C37" s="85">
        <v>13.4</v>
      </c>
      <c r="D37" s="17"/>
      <c r="E37" s="17"/>
      <c r="F37" s="17"/>
      <c r="G37" s="17"/>
      <c r="H37" s="17"/>
      <c r="I37" s="17"/>
      <c r="J37" s="73">
        <v>100</v>
      </c>
      <c r="K37" s="13"/>
      <c r="L37" s="17"/>
      <c r="M37" s="73">
        <v>139</v>
      </c>
      <c r="N37" s="73">
        <v>60</v>
      </c>
      <c r="O37" s="19"/>
      <c r="P37" s="15"/>
      <c r="Q37" s="16"/>
      <c r="R37" s="11"/>
      <c r="S37" s="16"/>
    </row>
    <row r="38" spans="1:19" x14ac:dyDescent="0.2">
      <c r="A38" s="20" t="s">
        <v>460</v>
      </c>
      <c r="B38" s="21">
        <v>11</v>
      </c>
      <c r="C38" s="86">
        <v>10.199999999999999</v>
      </c>
      <c r="D38" s="17"/>
      <c r="E38" s="17"/>
      <c r="F38" s="17"/>
      <c r="G38" s="17"/>
      <c r="H38" s="17"/>
      <c r="I38" s="17"/>
      <c r="J38" s="73">
        <v>1000</v>
      </c>
      <c r="K38" s="13"/>
      <c r="L38" s="17"/>
      <c r="M38" s="73">
        <v>392</v>
      </c>
      <c r="N38" s="73">
        <v>113</v>
      </c>
      <c r="O38" s="19"/>
      <c r="P38" s="15"/>
      <c r="Q38" s="16"/>
      <c r="R38" s="11"/>
      <c r="S38" s="16"/>
    </row>
    <row r="39" spans="1:19" x14ac:dyDescent="0.2">
      <c r="A39" s="39" t="s">
        <v>688</v>
      </c>
      <c r="B39" s="21">
        <v>11</v>
      </c>
      <c r="C39" s="86">
        <v>9.4</v>
      </c>
      <c r="D39" s="17"/>
      <c r="E39" s="17"/>
      <c r="F39" s="17"/>
      <c r="G39" s="17"/>
      <c r="H39" s="17"/>
      <c r="I39" s="17"/>
      <c r="J39" s="73">
        <v>200</v>
      </c>
      <c r="K39" s="13"/>
      <c r="L39" s="17"/>
      <c r="M39" s="73">
        <v>154</v>
      </c>
      <c r="N39" s="73">
        <v>75</v>
      </c>
      <c r="O39" s="19"/>
      <c r="P39" s="15"/>
      <c r="Q39" s="16"/>
      <c r="R39" s="11"/>
      <c r="S39" s="16"/>
    </row>
    <row r="40" spans="1:19" x14ac:dyDescent="0.2">
      <c r="A40" s="23" t="s">
        <v>31</v>
      </c>
      <c r="B40" s="13">
        <v>11</v>
      </c>
      <c r="C40" s="86">
        <v>104.4</v>
      </c>
      <c r="D40" s="17"/>
      <c r="E40" s="17"/>
      <c r="F40" s="17"/>
      <c r="G40" s="17"/>
      <c r="H40" s="17"/>
      <c r="I40" s="17"/>
      <c r="J40" s="73"/>
      <c r="K40" s="13"/>
      <c r="L40" s="17"/>
      <c r="M40" s="73">
        <v>150</v>
      </c>
      <c r="N40" s="73">
        <v>68</v>
      </c>
      <c r="O40" s="19"/>
      <c r="P40" s="15"/>
      <c r="Q40" s="16"/>
      <c r="R40" s="11" t="s">
        <v>416</v>
      </c>
      <c r="S40" s="16"/>
    </row>
    <row r="41" spans="1:19" x14ac:dyDescent="0.2">
      <c r="A41" s="40" t="s">
        <v>689</v>
      </c>
      <c r="B41" s="11">
        <v>11</v>
      </c>
      <c r="C41" s="85">
        <v>65.2</v>
      </c>
      <c r="D41" s="17"/>
      <c r="E41" s="17"/>
      <c r="F41" s="17"/>
      <c r="G41" s="17"/>
      <c r="H41" s="17"/>
      <c r="I41" s="17"/>
      <c r="J41" s="73">
        <v>100</v>
      </c>
      <c r="K41" s="13"/>
      <c r="L41" s="17"/>
      <c r="M41" s="73">
        <v>68</v>
      </c>
      <c r="N41" s="73">
        <v>27</v>
      </c>
      <c r="O41" s="19"/>
      <c r="P41" s="15"/>
      <c r="Q41" s="16"/>
      <c r="R41" s="11"/>
      <c r="S41" s="16"/>
    </row>
    <row r="42" spans="1:19" x14ac:dyDescent="0.2">
      <c r="A42" s="39" t="s">
        <v>690</v>
      </c>
      <c r="B42" s="21">
        <v>11</v>
      </c>
      <c r="C42" s="85">
        <v>9.1999999999999993</v>
      </c>
      <c r="D42" s="17"/>
      <c r="E42" s="17"/>
      <c r="F42" s="17"/>
      <c r="G42" s="17"/>
      <c r="H42" s="17"/>
      <c r="I42" s="17"/>
      <c r="J42" s="73"/>
      <c r="K42" s="13"/>
      <c r="L42" s="17"/>
      <c r="M42" s="73">
        <v>170</v>
      </c>
      <c r="N42" s="73">
        <v>99</v>
      </c>
      <c r="O42" s="19"/>
      <c r="P42" s="15"/>
      <c r="Q42" s="16"/>
      <c r="R42" s="11" t="s">
        <v>416</v>
      </c>
      <c r="S42" s="16"/>
    </row>
    <row r="43" spans="1:19" x14ac:dyDescent="0.2">
      <c r="A43" s="40" t="s">
        <v>691</v>
      </c>
      <c r="B43" s="11">
        <v>11</v>
      </c>
      <c r="C43" s="86">
        <v>28.4</v>
      </c>
      <c r="D43" s="17">
        <v>10600</v>
      </c>
      <c r="E43" s="17">
        <v>100</v>
      </c>
      <c r="F43" s="17">
        <v>10600</v>
      </c>
      <c r="G43" s="17">
        <v>100</v>
      </c>
      <c r="H43" s="17"/>
      <c r="I43" s="17"/>
      <c r="J43" s="73">
        <v>100</v>
      </c>
      <c r="K43" s="13"/>
      <c r="L43" s="17"/>
      <c r="M43" s="73">
        <v>53</v>
      </c>
      <c r="N43" s="73">
        <v>40</v>
      </c>
      <c r="O43" s="19"/>
      <c r="P43" s="15"/>
      <c r="Q43" s="16"/>
      <c r="R43" s="11" t="s">
        <v>416</v>
      </c>
      <c r="S43" s="16"/>
    </row>
    <row r="44" spans="1:19" x14ac:dyDescent="0.2">
      <c r="A44" s="39" t="s">
        <v>692</v>
      </c>
      <c r="B44" s="21">
        <v>11</v>
      </c>
      <c r="C44" s="85">
        <v>15.2</v>
      </c>
      <c r="D44" s="17"/>
      <c r="E44" s="17"/>
      <c r="F44" s="17"/>
      <c r="G44" s="17"/>
      <c r="H44" s="17"/>
      <c r="I44" s="17"/>
      <c r="J44" s="73">
        <v>100</v>
      </c>
      <c r="K44" s="13"/>
      <c r="L44" s="17"/>
      <c r="M44" s="73">
        <v>262</v>
      </c>
      <c r="N44" s="73">
        <v>244</v>
      </c>
      <c r="O44" s="19"/>
      <c r="P44" s="15"/>
      <c r="Q44" s="16"/>
      <c r="R44" s="11" t="s">
        <v>416</v>
      </c>
      <c r="S44" s="16"/>
    </row>
    <row r="45" spans="1:19" x14ac:dyDescent="0.2">
      <c r="A45" s="39" t="s">
        <v>693</v>
      </c>
      <c r="B45" s="21">
        <v>11</v>
      </c>
      <c r="C45" s="85">
        <v>173.1</v>
      </c>
      <c r="D45" s="17"/>
      <c r="E45" s="17"/>
      <c r="F45" s="17"/>
      <c r="G45" s="17"/>
      <c r="H45" s="17"/>
      <c r="I45" s="17"/>
      <c r="J45" s="73">
        <v>100</v>
      </c>
      <c r="K45" s="13"/>
      <c r="L45" s="17"/>
      <c r="M45" s="73">
        <v>154</v>
      </c>
      <c r="N45" s="73">
        <v>154</v>
      </c>
      <c r="O45" s="19"/>
      <c r="P45" s="15"/>
      <c r="Q45" s="16"/>
      <c r="R45" s="11" t="s">
        <v>416</v>
      </c>
      <c r="S45" s="16"/>
    </row>
    <row r="46" spans="1:19" x14ac:dyDescent="0.2">
      <c r="A46" s="17" t="s">
        <v>32</v>
      </c>
      <c r="B46" s="11">
        <v>11</v>
      </c>
      <c r="C46" s="86">
        <v>6.2</v>
      </c>
      <c r="D46" s="17">
        <v>3169</v>
      </c>
      <c r="E46" s="17">
        <v>500</v>
      </c>
      <c r="F46" s="17">
        <v>3169</v>
      </c>
      <c r="G46" s="17">
        <v>500</v>
      </c>
      <c r="H46" s="17"/>
      <c r="I46" s="17"/>
      <c r="J46" s="73"/>
      <c r="K46" s="13"/>
      <c r="L46" s="17"/>
      <c r="M46" s="73">
        <v>85</v>
      </c>
      <c r="N46" s="73">
        <v>79</v>
      </c>
      <c r="O46" s="19"/>
      <c r="P46" s="15"/>
      <c r="Q46" s="16"/>
      <c r="R46" s="11" t="s">
        <v>416</v>
      </c>
      <c r="S46" s="16"/>
    </row>
    <row r="47" spans="1:19" x14ac:dyDescent="0.2">
      <c r="A47" s="17" t="s">
        <v>33</v>
      </c>
      <c r="B47" s="11">
        <v>11</v>
      </c>
      <c r="C47" s="86">
        <v>26.7</v>
      </c>
      <c r="D47" s="17">
        <v>380</v>
      </c>
      <c r="E47" s="17">
        <v>50</v>
      </c>
      <c r="F47" s="17">
        <v>380</v>
      </c>
      <c r="G47" s="17">
        <v>50</v>
      </c>
      <c r="H47" s="17"/>
      <c r="I47" s="17"/>
      <c r="J47" s="73"/>
      <c r="K47" s="13"/>
      <c r="L47" s="17"/>
      <c r="M47" s="73">
        <v>368</v>
      </c>
      <c r="N47" s="73">
        <v>243</v>
      </c>
      <c r="O47" s="19"/>
      <c r="P47" s="15"/>
      <c r="Q47" s="16"/>
      <c r="R47" s="11" t="s">
        <v>416</v>
      </c>
      <c r="S47" s="16"/>
    </row>
    <row r="48" spans="1:19" x14ac:dyDescent="0.2">
      <c r="A48" s="17" t="s">
        <v>34</v>
      </c>
      <c r="B48" s="13">
        <v>11</v>
      </c>
      <c r="C48" s="86">
        <v>6.9</v>
      </c>
      <c r="D48" s="17"/>
      <c r="E48" s="17"/>
      <c r="F48" s="17"/>
      <c r="G48" s="17"/>
      <c r="H48" s="17"/>
      <c r="I48" s="17"/>
      <c r="J48" s="73">
        <v>500</v>
      </c>
      <c r="K48" s="13"/>
      <c r="L48" s="17"/>
      <c r="M48" s="73">
        <v>132</v>
      </c>
      <c r="N48" s="73">
        <v>68</v>
      </c>
      <c r="O48" s="19"/>
      <c r="P48" s="15"/>
      <c r="Q48" s="16"/>
      <c r="R48" s="11" t="s">
        <v>416</v>
      </c>
      <c r="S48" s="16"/>
    </row>
    <row r="49" spans="1:19" x14ac:dyDescent="0.2">
      <c r="A49" s="17" t="s">
        <v>35</v>
      </c>
      <c r="B49" s="11">
        <v>11</v>
      </c>
      <c r="C49" s="86">
        <v>13.8</v>
      </c>
      <c r="D49" s="17">
        <v>5255</v>
      </c>
      <c r="E49" s="17">
        <v>500</v>
      </c>
      <c r="F49" s="17">
        <v>5255</v>
      </c>
      <c r="G49" s="17">
        <v>500</v>
      </c>
      <c r="H49" s="17"/>
      <c r="I49" s="17"/>
      <c r="J49" s="73">
        <v>1500</v>
      </c>
      <c r="K49" s="13"/>
      <c r="L49" s="17"/>
      <c r="M49" s="73">
        <v>311</v>
      </c>
      <c r="N49" s="73">
        <v>78</v>
      </c>
      <c r="O49" s="19"/>
      <c r="P49" s="15"/>
      <c r="Q49" s="16"/>
      <c r="R49" s="11" t="s">
        <v>416</v>
      </c>
      <c r="S49" s="16"/>
    </row>
    <row r="50" spans="1:19" x14ac:dyDescent="0.2">
      <c r="A50" s="17" t="s">
        <v>36</v>
      </c>
      <c r="B50" s="11">
        <v>11</v>
      </c>
      <c r="C50" s="86">
        <v>6.6</v>
      </c>
      <c r="D50" s="17">
        <v>340</v>
      </c>
      <c r="E50" s="17">
        <v>50</v>
      </c>
      <c r="F50" s="17">
        <v>340</v>
      </c>
      <c r="G50" s="17">
        <v>50</v>
      </c>
      <c r="H50" s="17"/>
      <c r="I50" s="17"/>
      <c r="J50" s="73">
        <v>225</v>
      </c>
      <c r="K50" s="13"/>
      <c r="L50" s="17"/>
      <c r="M50" s="73">
        <v>132</v>
      </c>
      <c r="N50" s="73">
        <v>100</v>
      </c>
      <c r="O50" s="19"/>
      <c r="P50" s="15"/>
      <c r="Q50" s="16"/>
      <c r="R50" s="11" t="s">
        <v>416</v>
      </c>
      <c r="S50" s="16"/>
    </row>
    <row r="51" spans="1:19" x14ac:dyDescent="0.2">
      <c r="A51" s="17" t="s">
        <v>37</v>
      </c>
      <c r="B51" s="11">
        <v>11</v>
      </c>
      <c r="C51" s="86">
        <v>14.6</v>
      </c>
      <c r="D51" s="17">
        <v>942</v>
      </c>
      <c r="E51" s="17">
        <v>50</v>
      </c>
      <c r="F51" s="17">
        <v>942</v>
      </c>
      <c r="G51" s="17">
        <v>50</v>
      </c>
      <c r="H51" s="17"/>
      <c r="I51" s="17"/>
      <c r="J51" s="73">
        <v>500</v>
      </c>
      <c r="K51" s="13"/>
      <c r="L51" s="17"/>
      <c r="M51" s="73">
        <v>362</v>
      </c>
      <c r="N51" s="73">
        <v>98</v>
      </c>
      <c r="O51" s="19"/>
      <c r="P51" s="15"/>
      <c r="Q51" s="16"/>
      <c r="R51" s="11" t="s">
        <v>416</v>
      </c>
      <c r="S51" s="16"/>
    </row>
    <row r="52" spans="1:19" x14ac:dyDescent="0.2">
      <c r="A52" s="17" t="s">
        <v>38</v>
      </c>
      <c r="B52" s="11">
        <v>12</v>
      </c>
      <c r="C52" s="86">
        <v>79</v>
      </c>
      <c r="D52" s="17">
        <v>29152</v>
      </c>
      <c r="E52" s="17">
        <v>315</v>
      </c>
      <c r="F52" s="17">
        <v>29152</v>
      </c>
      <c r="G52" s="17">
        <v>315</v>
      </c>
      <c r="H52" s="17"/>
      <c r="I52" s="17"/>
      <c r="J52" s="73" t="s">
        <v>39</v>
      </c>
      <c r="K52" s="13"/>
      <c r="L52" s="17"/>
      <c r="M52" s="73"/>
      <c r="N52" s="73"/>
      <c r="O52" s="19">
        <v>18</v>
      </c>
      <c r="P52" s="15"/>
      <c r="Q52" s="16"/>
      <c r="R52" s="11" t="s">
        <v>40</v>
      </c>
      <c r="S52" s="16"/>
    </row>
    <row r="53" spans="1:19" x14ac:dyDescent="0.2">
      <c r="A53" s="17" t="s">
        <v>476</v>
      </c>
      <c r="B53" s="11">
        <v>12</v>
      </c>
      <c r="C53" s="86">
        <v>10</v>
      </c>
      <c r="D53" s="17"/>
      <c r="E53" s="17"/>
      <c r="F53" s="17"/>
      <c r="G53" s="17"/>
      <c r="H53" s="17"/>
      <c r="I53" s="17"/>
      <c r="J53" s="73"/>
      <c r="K53" s="13"/>
      <c r="L53" s="17"/>
      <c r="M53" s="73"/>
      <c r="N53" s="73"/>
      <c r="O53" s="19"/>
      <c r="P53" s="15">
        <v>70</v>
      </c>
      <c r="Q53" s="16"/>
      <c r="R53" s="11" t="s">
        <v>42</v>
      </c>
      <c r="S53" s="16"/>
    </row>
    <row r="54" spans="1:19" x14ac:dyDescent="0.2">
      <c r="A54" s="20" t="s">
        <v>471</v>
      </c>
      <c r="B54" s="11">
        <v>12</v>
      </c>
      <c r="C54" s="85">
        <v>5.2</v>
      </c>
      <c r="D54" s="17"/>
      <c r="E54" s="17"/>
      <c r="F54" s="17"/>
      <c r="G54" s="17"/>
      <c r="H54" s="17"/>
      <c r="I54" s="17"/>
      <c r="J54" s="73" t="s">
        <v>43</v>
      </c>
      <c r="K54" s="13"/>
      <c r="L54" s="17"/>
      <c r="M54" s="73"/>
      <c r="N54" s="73"/>
      <c r="O54" s="19"/>
      <c r="P54" s="15">
        <v>280</v>
      </c>
      <c r="Q54" s="16"/>
      <c r="R54" s="11" t="s">
        <v>40</v>
      </c>
      <c r="S54" s="16"/>
    </row>
    <row r="55" spans="1:19" x14ac:dyDescent="0.2">
      <c r="A55" s="20" t="s">
        <v>472</v>
      </c>
      <c r="B55" s="11">
        <v>12</v>
      </c>
      <c r="C55" s="85">
        <v>52</v>
      </c>
      <c r="D55" s="17"/>
      <c r="E55" s="17"/>
      <c r="F55" s="17"/>
      <c r="G55" s="17"/>
      <c r="H55" s="17"/>
      <c r="I55" s="17"/>
      <c r="J55" s="73"/>
      <c r="K55" s="13"/>
      <c r="L55" s="17"/>
      <c r="M55" s="73"/>
      <c r="N55" s="73"/>
      <c r="O55" s="19"/>
      <c r="P55" s="15">
        <v>84</v>
      </c>
      <c r="Q55" s="16"/>
      <c r="R55" s="11"/>
      <c r="S55" s="16"/>
    </row>
    <row r="56" spans="1:19" x14ac:dyDescent="0.2">
      <c r="A56" s="20" t="s">
        <v>44</v>
      </c>
      <c r="B56" s="11">
        <v>12</v>
      </c>
      <c r="C56" s="85">
        <v>5</v>
      </c>
      <c r="D56" s="17"/>
      <c r="E56" s="17"/>
      <c r="F56" s="17"/>
      <c r="G56" s="17"/>
      <c r="H56" s="17"/>
      <c r="I56" s="17"/>
      <c r="J56" s="73"/>
      <c r="K56" s="13"/>
      <c r="L56" s="17"/>
      <c r="M56" s="73"/>
      <c r="N56" s="73">
        <v>197</v>
      </c>
      <c r="O56" s="19"/>
      <c r="P56" s="15"/>
      <c r="Q56" s="16"/>
      <c r="R56" s="11" t="s">
        <v>40</v>
      </c>
      <c r="S56" s="16"/>
    </row>
    <row r="57" spans="1:19" x14ac:dyDescent="0.2">
      <c r="A57" s="20" t="s">
        <v>477</v>
      </c>
      <c r="B57" s="11">
        <v>12</v>
      </c>
      <c r="C57" s="85">
        <v>60.3</v>
      </c>
      <c r="D57" s="17"/>
      <c r="E57" s="17"/>
      <c r="F57" s="17"/>
      <c r="G57" s="17"/>
      <c r="H57" s="17"/>
      <c r="I57" s="17"/>
      <c r="J57" s="73" t="s">
        <v>694</v>
      </c>
      <c r="K57" s="13"/>
      <c r="L57" s="17"/>
      <c r="M57" s="73"/>
      <c r="N57" s="73"/>
      <c r="O57" s="19"/>
      <c r="P57" s="15">
        <v>27</v>
      </c>
      <c r="Q57" s="16"/>
      <c r="R57" s="11"/>
      <c r="S57" s="16"/>
    </row>
    <row r="58" spans="1:19" x14ac:dyDescent="0.2">
      <c r="A58" s="17" t="s">
        <v>41</v>
      </c>
      <c r="B58" s="13">
        <v>12</v>
      </c>
      <c r="C58" s="86">
        <v>5.0999999999999996</v>
      </c>
      <c r="D58" s="17">
        <v>9301</v>
      </c>
      <c r="E58" s="17">
        <v>105</v>
      </c>
      <c r="F58" s="17">
        <v>9301</v>
      </c>
      <c r="G58" s="17">
        <v>105</v>
      </c>
      <c r="H58" s="17"/>
      <c r="I58" s="17"/>
      <c r="J58" s="73"/>
      <c r="K58" s="17"/>
      <c r="L58" s="17"/>
      <c r="M58" s="73"/>
      <c r="N58" s="73"/>
      <c r="O58" s="19"/>
      <c r="P58" s="15">
        <v>596</v>
      </c>
      <c r="Q58" s="16"/>
      <c r="R58" s="11" t="s">
        <v>42</v>
      </c>
      <c r="S58" s="16"/>
    </row>
    <row r="59" spans="1:19" x14ac:dyDescent="0.2">
      <c r="A59" s="17" t="s">
        <v>458</v>
      </c>
      <c r="B59" s="13">
        <v>12</v>
      </c>
      <c r="C59" s="86">
        <v>31.6</v>
      </c>
      <c r="D59" s="17"/>
      <c r="E59" s="17"/>
      <c r="F59" s="17"/>
      <c r="G59" s="17"/>
      <c r="H59" s="17"/>
      <c r="I59" s="17"/>
      <c r="J59" s="73"/>
      <c r="K59" s="17"/>
      <c r="L59" s="17"/>
      <c r="M59" s="73"/>
      <c r="N59" s="73"/>
      <c r="O59" s="19"/>
      <c r="P59" s="15">
        <v>6</v>
      </c>
      <c r="Q59" s="16"/>
      <c r="R59" s="11"/>
      <c r="S59" s="16"/>
    </row>
    <row r="60" spans="1:19" x14ac:dyDescent="0.2">
      <c r="A60" s="17" t="s">
        <v>423</v>
      </c>
      <c r="B60" s="11">
        <v>12</v>
      </c>
      <c r="C60" s="86">
        <v>61.7</v>
      </c>
      <c r="D60" s="17"/>
      <c r="E60" s="17"/>
      <c r="F60" s="17"/>
      <c r="G60" s="17"/>
      <c r="H60" s="17"/>
      <c r="I60" s="17"/>
      <c r="J60" s="73"/>
      <c r="K60" s="17"/>
      <c r="L60" s="17"/>
      <c r="M60" s="73"/>
      <c r="N60" s="73"/>
      <c r="O60" s="19"/>
      <c r="P60" s="15">
        <v>91</v>
      </c>
      <c r="Q60" s="16"/>
      <c r="R60" s="11"/>
      <c r="S60" s="16"/>
    </row>
    <row r="61" spans="1:19" x14ac:dyDescent="0.2">
      <c r="A61" s="17" t="s">
        <v>473</v>
      </c>
      <c r="B61" s="11">
        <v>12</v>
      </c>
      <c r="C61" s="86">
        <v>64.099999999999994</v>
      </c>
      <c r="D61" s="17"/>
      <c r="E61" s="17"/>
      <c r="F61" s="17"/>
      <c r="G61" s="17"/>
      <c r="H61" s="17"/>
      <c r="I61" s="17"/>
      <c r="J61" s="73" t="s">
        <v>695</v>
      </c>
      <c r="K61" s="17"/>
      <c r="L61" s="17"/>
      <c r="M61" s="73"/>
      <c r="N61" s="73"/>
      <c r="O61" s="19">
        <v>127</v>
      </c>
      <c r="P61" s="15"/>
      <c r="Q61" s="16"/>
      <c r="R61" s="11" t="s">
        <v>474</v>
      </c>
      <c r="S61" s="16"/>
    </row>
    <row r="62" spans="1:19" x14ac:dyDescent="0.2">
      <c r="A62" s="50" t="s">
        <v>46</v>
      </c>
      <c r="B62" s="13">
        <v>12</v>
      </c>
      <c r="C62" s="192">
        <v>37.4</v>
      </c>
      <c r="D62" s="17"/>
      <c r="E62" s="17"/>
      <c r="F62" s="17"/>
      <c r="G62" s="17"/>
      <c r="H62" s="17"/>
      <c r="I62" s="17"/>
      <c r="J62" s="73" t="s">
        <v>694</v>
      </c>
      <c r="K62" s="17"/>
      <c r="L62" s="17"/>
      <c r="M62" s="73"/>
      <c r="N62" s="73"/>
      <c r="O62" s="19"/>
      <c r="P62" s="15"/>
      <c r="Q62" s="16"/>
      <c r="R62" s="11" t="s">
        <v>40</v>
      </c>
      <c r="S62" s="16"/>
    </row>
    <row r="63" spans="1:19" x14ac:dyDescent="0.2">
      <c r="A63" s="17" t="s">
        <v>47</v>
      </c>
      <c r="B63" s="13">
        <v>12</v>
      </c>
      <c r="C63" s="86">
        <v>37.4</v>
      </c>
      <c r="D63" s="17"/>
      <c r="E63" s="17"/>
      <c r="F63" s="17"/>
      <c r="G63" s="17"/>
      <c r="H63" s="17"/>
      <c r="I63" s="17"/>
      <c r="J63" s="73" t="s">
        <v>696</v>
      </c>
      <c r="K63" s="17"/>
      <c r="L63" s="17"/>
      <c r="M63" s="73"/>
      <c r="N63" s="73"/>
      <c r="O63" s="19"/>
      <c r="P63" s="15"/>
      <c r="Q63" s="16"/>
      <c r="R63" s="11" t="s">
        <v>40</v>
      </c>
      <c r="S63" s="16"/>
    </row>
    <row r="64" spans="1:19" x14ac:dyDescent="0.2">
      <c r="A64" s="17" t="s">
        <v>48</v>
      </c>
      <c r="B64" s="13">
        <v>12</v>
      </c>
      <c r="C64" s="86">
        <v>37.5</v>
      </c>
      <c r="D64" s="17"/>
      <c r="E64" s="17"/>
      <c r="F64" s="17"/>
      <c r="G64" s="17"/>
      <c r="H64" s="17"/>
      <c r="I64" s="17"/>
      <c r="J64" s="73" t="s">
        <v>697</v>
      </c>
      <c r="K64" s="17"/>
      <c r="L64" s="17"/>
      <c r="M64" s="73"/>
      <c r="N64" s="73"/>
      <c r="O64" s="19"/>
      <c r="P64" s="15"/>
      <c r="Q64" s="16"/>
      <c r="R64" s="11" t="s">
        <v>49</v>
      </c>
      <c r="S64" s="16"/>
    </row>
    <row r="65" spans="1:19" x14ac:dyDescent="0.2">
      <c r="A65" s="20" t="s">
        <v>50</v>
      </c>
      <c r="B65" s="11">
        <v>12</v>
      </c>
      <c r="C65" s="85">
        <v>13.2</v>
      </c>
      <c r="D65" s="17"/>
      <c r="E65" s="17"/>
      <c r="F65" s="17"/>
      <c r="G65" s="17"/>
      <c r="H65" s="17"/>
      <c r="I65" s="17"/>
      <c r="J65" s="73" t="s">
        <v>696</v>
      </c>
      <c r="K65" s="17"/>
      <c r="L65" s="17"/>
      <c r="M65" s="73"/>
      <c r="N65" s="73"/>
      <c r="O65" s="19"/>
      <c r="P65" s="15"/>
      <c r="Q65" s="16"/>
      <c r="R65" s="11" t="s">
        <v>40</v>
      </c>
      <c r="S65" s="16"/>
    </row>
    <row r="66" spans="1:19" x14ac:dyDescent="0.2">
      <c r="A66" s="20" t="s">
        <v>51</v>
      </c>
      <c r="B66" s="11">
        <v>12</v>
      </c>
      <c r="C66" s="85">
        <v>27.4</v>
      </c>
      <c r="D66" s="17"/>
      <c r="E66" s="17"/>
      <c r="F66" s="17"/>
      <c r="G66" s="17"/>
      <c r="H66" s="17"/>
      <c r="I66" s="17"/>
      <c r="J66" s="73" t="s">
        <v>696</v>
      </c>
      <c r="K66" s="17"/>
      <c r="L66" s="17"/>
      <c r="M66" s="73"/>
      <c r="N66" s="73"/>
      <c r="O66" s="19"/>
      <c r="P66" s="15"/>
      <c r="Q66" s="16"/>
      <c r="R66" s="11" t="s">
        <v>40</v>
      </c>
      <c r="S66" s="16"/>
    </row>
    <row r="67" spans="1:19" x14ac:dyDescent="0.2">
      <c r="A67" s="20" t="s">
        <v>478</v>
      </c>
      <c r="B67" s="13">
        <v>13</v>
      </c>
      <c r="C67" s="85">
        <v>9.4</v>
      </c>
      <c r="D67" s="17"/>
      <c r="E67" s="17"/>
      <c r="F67" s="17"/>
      <c r="G67" s="17"/>
      <c r="H67" s="17"/>
      <c r="I67" s="17"/>
      <c r="J67" s="73"/>
      <c r="K67" s="17"/>
      <c r="L67" s="17"/>
      <c r="M67" s="73"/>
      <c r="N67" s="73"/>
      <c r="O67" s="19">
        <v>480</v>
      </c>
      <c r="P67" s="15"/>
      <c r="Q67" s="16"/>
      <c r="R67" s="11" t="s">
        <v>40</v>
      </c>
      <c r="S67" s="16"/>
    </row>
    <row r="68" spans="1:19" x14ac:dyDescent="0.2">
      <c r="A68" s="17" t="s">
        <v>52</v>
      </c>
      <c r="B68" s="13">
        <v>13</v>
      </c>
      <c r="C68" s="86">
        <v>12.2</v>
      </c>
      <c r="D68" s="17"/>
      <c r="E68" s="17"/>
      <c r="F68" s="17"/>
      <c r="G68" s="17"/>
      <c r="H68" s="17"/>
      <c r="I68" s="17"/>
      <c r="J68" s="73"/>
      <c r="K68" s="17"/>
      <c r="L68" s="17"/>
      <c r="M68" s="73"/>
      <c r="N68" s="73"/>
      <c r="O68" s="19">
        <v>301</v>
      </c>
      <c r="P68" s="15"/>
      <c r="Q68" s="16"/>
      <c r="R68" s="11" t="s">
        <v>40</v>
      </c>
      <c r="S68" s="16"/>
    </row>
    <row r="69" spans="1:19" x14ac:dyDescent="0.2">
      <c r="A69" s="17" t="s">
        <v>53</v>
      </c>
      <c r="B69" s="13">
        <v>13</v>
      </c>
      <c r="C69" s="86"/>
      <c r="D69" s="17"/>
      <c r="E69" s="17"/>
      <c r="F69" s="17"/>
      <c r="G69" s="17"/>
      <c r="H69" s="17"/>
      <c r="I69" s="17"/>
      <c r="J69" s="73"/>
      <c r="K69" s="17"/>
      <c r="L69" s="17"/>
      <c r="M69" s="73"/>
      <c r="N69" s="73"/>
      <c r="O69" s="19">
        <v>30</v>
      </c>
      <c r="P69" s="15"/>
      <c r="Q69" s="16"/>
      <c r="R69" s="11" t="s">
        <v>40</v>
      </c>
      <c r="S69" s="16"/>
    </row>
    <row r="70" spans="1:19" x14ac:dyDescent="0.2">
      <c r="A70" s="17" t="s">
        <v>54</v>
      </c>
      <c r="B70" s="13">
        <v>13</v>
      </c>
      <c r="C70" s="86">
        <v>16.3</v>
      </c>
      <c r="D70" s="17"/>
      <c r="E70" s="17"/>
      <c r="F70" s="17"/>
      <c r="G70" s="17"/>
      <c r="H70" s="17"/>
      <c r="I70" s="17"/>
      <c r="J70" s="73"/>
      <c r="K70" s="17"/>
      <c r="L70" s="17"/>
      <c r="M70" s="73"/>
      <c r="N70" s="73"/>
      <c r="O70" s="19">
        <v>254</v>
      </c>
      <c r="P70" s="15"/>
      <c r="Q70" s="16"/>
      <c r="R70" s="11" t="s">
        <v>40</v>
      </c>
      <c r="S70" s="16"/>
    </row>
    <row r="71" spans="1:19" x14ac:dyDescent="0.2">
      <c r="A71" s="17" t="s">
        <v>55</v>
      </c>
      <c r="B71" s="13">
        <v>13</v>
      </c>
      <c r="C71" s="86">
        <v>16.600000000000001</v>
      </c>
      <c r="D71" s="17"/>
      <c r="E71" s="17"/>
      <c r="F71" s="17"/>
      <c r="G71" s="17"/>
      <c r="H71" s="17"/>
      <c r="I71" s="17"/>
      <c r="J71" s="73"/>
      <c r="K71" s="17"/>
      <c r="L71" s="17"/>
      <c r="M71" s="73"/>
      <c r="N71" s="73"/>
      <c r="O71" s="19">
        <v>332</v>
      </c>
      <c r="P71" s="15"/>
      <c r="Q71" s="16"/>
      <c r="R71" s="11" t="s">
        <v>40</v>
      </c>
      <c r="S71" s="16"/>
    </row>
    <row r="72" spans="1:19" x14ac:dyDescent="0.2">
      <c r="A72" s="17" t="s">
        <v>56</v>
      </c>
      <c r="B72" s="13">
        <v>13</v>
      </c>
      <c r="C72" s="86">
        <v>9.5</v>
      </c>
      <c r="D72" s="17"/>
      <c r="E72" s="17"/>
      <c r="F72" s="17"/>
      <c r="G72" s="17"/>
      <c r="H72" s="17"/>
      <c r="I72" s="17"/>
      <c r="J72" s="73"/>
      <c r="K72" s="17"/>
      <c r="L72" s="17"/>
      <c r="M72" s="73"/>
      <c r="N72" s="73"/>
      <c r="O72" s="19">
        <v>1285</v>
      </c>
      <c r="P72" s="15"/>
      <c r="Q72" s="16"/>
      <c r="R72" s="11" t="s">
        <v>40</v>
      </c>
      <c r="S72" s="16"/>
    </row>
    <row r="73" spans="1:19" x14ac:dyDescent="0.2">
      <c r="A73" s="17" t="s">
        <v>57</v>
      </c>
      <c r="B73" s="13">
        <v>13</v>
      </c>
      <c r="C73" s="86">
        <v>8.1999999999999993</v>
      </c>
      <c r="D73" s="17"/>
      <c r="E73" s="17"/>
      <c r="F73" s="17"/>
      <c r="G73" s="17"/>
      <c r="H73" s="17"/>
      <c r="I73" s="17"/>
      <c r="J73" s="73"/>
      <c r="K73" s="17"/>
      <c r="L73" s="17"/>
      <c r="M73" s="73"/>
      <c r="N73" s="73"/>
      <c r="O73" s="19">
        <v>252</v>
      </c>
      <c r="P73" s="15"/>
      <c r="Q73" s="16"/>
      <c r="R73" s="11" t="s">
        <v>40</v>
      </c>
      <c r="S73" s="16"/>
    </row>
    <row r="74" spans="1:19" x14ac:dyDescent="0.2">
      <c r="A74" s="17" t="s">
        <v>58</v>
      </c>
      <c r="B74" s="13">
        <v>13</v>
      </c>
      <c r="C74" s="86">
        <v>6.2</v>
      </c>
      <c r="D74" s="17"/>
      <c r="E74" s="17"/>
      <c r="F74" s="17"/>
      <c r="G74" s="17"/>
      <c r="H74" s="17"/>
      <c r="I74" s="17"/>
      <c r="J74" s="73"/>
      <c r="K74" s="17"/>
      <c r="L74" s="17"/>
      <c r="M74" s="73"/>
      <c r="N74" s="73"/>
      <c r="O74" s="19">
        <v>225</v>
      </c>
      <c r="P74" s="15"/>
      <c r="Q74" s="16"/>
      <c r="R74" s="11" t="s">
        <v>40</v>
      </c>
      <c r="S74" s="16"/>
    </row>
    <row r="75" spans="1:19" x14ac:dyDescent="0.2">
      <c r="A75" s="17" t="s">
        <v>59</v>
      </c>
      <c r="B75" s="13">
        <v>13</v>
      </c>
      <c r="C75" s="86">
        <v>13</v>
      </c>
      <c r="D75" s="17"/>
      <c r="E75" s="17"/>
      <c r="F75" s="17"/>
      <c r="G75" s="17"/>
      <c r="H75" s="17"/>
      <c r="I75" s="17"/>
      <c r="J75" s="73"/>
      <c r="K75" s="17"/>
      <c r="L75" s="17"/>
      <c r="M75" s="73"/>
      <c r="N75" s="73"/>
      <c r="O75" s="19">
        <v>237</v>
      </c>
      <c r="P75" s="15"/>
      <c r="Q75" s="16"/>
      <c r="R75" s="11" t="s">
        <v>40</v>
      </c>
      <c r="S75" s="16"/>
    </row>
    <row r="76" spans="1:19" x14ac:dyDescent="0.2">
      <c r="A76" s="17" t="s">
        <v>60</v>
      </c>
      <c r="B76" s="13">
        <v>13</v>
      </c>
      <c r="C76" s="86">
        <v>8.1</v>
      </c>
      <c r="D76" s="17"/>
      <c r="E76" s="17"/>
      <c r="F76" s="17"/>
      <c r="G76" s="17"/>
      <c r="H76" s="17"/>
      <c r="I76" s="17"/>
      <c r="J76" s="73"/>
      <c r="K76" s="17"/>
      <c r="L76" s="17"/>
      <c r="M76" s="73"/>
      <c r="N76" s="73"/>
      <c r="O76" s="19">
        <v>978</v>
      </c>
      <c r="P76" s="15"/>
      <c r="Q76" s="16"/>
      <c r="R76" s="11" t="s">
        <v>40</v>
      </c>
      <c r="S76" s="16"/>
    </row>
    <row r="77" spans="1:19" x14ac:dyDescent="0.2">
      <c r="A77" s="17" t="s">
        <v>479</v>
      </c>
      <c r="B77" s="13">
        <v>13</v>
      </c>
      <c r="C77" s="86">
        <v>20.9</v>
      </c>
      <c r="D77" s="17"/>
      <c r="E77" s="17"/>
      <c r="F77" s="17"/>
      <c r="G77" s="17"/>
      <c r="H77" s="17"/>
      <c r="I77" s="17"/>
      <c r="J77" s="73"/>
      <c r="K77" s="17"/>
      <c r="L77" s="17"/>
      <c r="M77" s="73"/>
      <c r="N77" s="73"/>
      <c r="O77" s="19">
        <v>18</v>
      </c>
      <c r="P77" s="15"/>
      <c r="Q77" s="16"/>
      <c r="R77" s="11" t="s">
        <v>40</v>
      </c>
      <c r="S77" s="16"/>
    </row>
    <row r="78" spans="1:19" x14ac:dyDescent="0.2">
      <c r="A78" s="17" t="s">
        <v>61</v>
      </c>
      <c r="B78" s="13">
        <v>13</v>
      </c>
      <c r="C78" s="86">
        <v>6</v>
      </c>
      <c r="D78" s="17"/>
      <c r="E78" s="17"/>
      <c r="F78" s="17"/>
      <c r="G78" s="17"/>
      <c r="H78" s="17"/>
      <c r="I78" s="17"/>
      <c r="J78" s="73"/>
      <c r="K78" s="17"/>
      <c r="L78" s="17"/>
      <c r="M78" s="73"/>
      <c r="N78" s="73"/>
      <c r="O78" s="19">
        <v>494</v>
      </c>
      <c r="P78" s="15"/>
      <c r="Q78" s="16"/>
      <c r="R78" s="11" t="s">
        <v>40</v>
      </c>
      <c r="S78" s="16"/>
    </row>
    <row r="79" spans="1:19" x14ac:dyDescent="0.2">
      <c r="A79" s="17" t="s">
        <v>62</v>
      </c>
      <c r="B79" s="13">
        <v>13</v>
      </c>
      <c r="C79" s="86">
        <v>11.9</v>
      </c>
      <c r="D79" s="17"/>
      <c r="E79" s="17"/>
      <c r="F79" s="17"/>
      <c r="G79" s="17"/>
      <c r="H79" s="17"/>
      <c r="I79" s="17"/>
      <c r="J79" s="73"/>
      <c r="K79" s="17"/>
      <c r="L79" s="17"/>
      <c r="M79" s="73"/>
      <c r="N79" s="73"/>
      <c r="O79" s="19">
        <v>17</v>
      </c>
      <c r="P79" s="15"/>
      <c r="Q79" s="16"/>
      <c r="R79" s="11" t="s">
        <v>40</v>
      </c>
      <c r="S79" s="16"/>
    </row>
    <row r="80" spans="1:19" x14ac:dyDescent="0.2">
      <c r="A80" s="17" t="s">
        <v>63</v>
      </c>
      <c r="B80" s="13">
        <v>13</v>
      </c>
      <c r="C80" s="86">
        <v>42</v>
      </c>
      <c r="D80" s="17"/>
      <c r="E80" s="17"/>
      <c r="F80" s="17"/>
      <c r="G80" s="17"/>
      <c r="H80" s="17"/>
      <c r="I80" s="17"/>
      <c r="J80" s="73"/>
      <c r="K80" s="17"/>
      <c r="L80" s="17"/>
      <c r="M80" s="73"/>
      <c r="N80" s="73"/>
      <c r="O80" s="19">
        <v>236</v>
      </c>
      <c r="P80" s="15"/>
      <c r="Q80" s="16"/>
      <c r="R80" s="11" t="s">
        <v>40</v>
      </c>
      <c r="S80" s="16"/>
    </row>
    <row r="81" spans="1:21" x14ac:dyDescent="0.2">
      <c r="A81" s="17" t="s">
        <v>64</v>
      </c>
      <c r="B81" s="13">
        <v>13</v>
      </c>
      <c r="C81" s="86">
        <v>18.3</v>
      </c>
      <c r="D81" s="17"/>
      <c r="E81" s="17"/>
      <c r="F81" s="17"/>
      <c r="G81" s="17"/>
      <c r="H81" s="17"/>
      <c r="I81" s="17"/>
      <c r="J81" s="73"/>
      <c r="K81" s="17"/>
      <c r="L81" s="17"/>
      <c r="M81" s="73"/>
      <c r="N81" s="73"/>
      <c r="O81" s="19">
        <v>255</v>
      </c>
      <c r="P81" s="15"/>
      <c r="Q81" s="16"/>
      <c r="R81" s="11" t="s">
        <v>40</v>
      </c>
      <c r="S81" s="16"/>
    </row>
    <row r="82" spans="1:21" x14ac:dyDescent="0.2">
      <c r="A82" s="17" t="s">
        <v>65</v>
      </c>
      <c r="B82" s="13">
        <v>13</v>
      </c>
      <c r="C82" s="86">
        <v>16.399999999999999</v>
      </c>
      <c r="D82" s="17"/>
      <c r="E82" s="17"/>
      <c r="F82" s="17"/>
      <c r="G82" s="17"/>
      <c r="H82" s="17"/>
      <c r="I82" s="17"/>
      <c r="J82" s="73"/>
      <c r="K82" s="17"/>
      <c r="L82" s="17"/>
      <c r="M82" s="73"/>
      <c r="N82" s="73"/>
      <c r="O82" s="19">
        <v>36</v>
      </c>
      <c r="P82" s="15"/>
      <c r="Q82" s="16"/>
      <c r="R82" s="11" t="s">
        <v>40</v>
      </c>
      <c r="S82" s="16"/>
    </row>
    <row r="83" spans="1:21" x14ac:dyDescent="0.2">
      <c r="A83" s="17" t="s">
        <v>66</v>
      </c>
      <c r="B83" s="13">
        <v>13</v>
      </c>
      <c r="C83" s="86">
        <v>16</v>
      </c>
      <c r="D83" s="17"/>
      <c r="E83" s="17"/>
      <c r="F83" s="17"/>
      <c r="G83" s="17"/>
      <c r="H83" s="17"/>
      <c r="I83" s="17"/>
      <c r="J83" s="73"/>
      <c r="K83" s="17"/>
      <c r="L83" s="17"/>
      <c r="M83" s="73"/>
      <c r="N83" s="73"/>
      <c r="O83" s="19">
        <v>55</v>
      </c>
      <c r="P83" s="15"/>
      <c r="Q83" s="16"/>
      <c r="R83" s="11" t="s">
        <v>40</v>
      </c>
      <c r="S83" s="16"/>
    </row>
    <row r="84" spans="1:21" x14ac:dyDescent="0.2">
      <c r="A84" s="17" t="s">
        <v>730</v>
      </c>
      <c r="B84" s="13">
        <v>13</v>
      </c>
      <c r="C84" s="86"/>
      <c r="D84" s="17"/>
      <c r="E84" s="17"/>
      <c r="F84" s="17"/>
      <c r="G84" s="17"/>
      <c r="H84" s="17"/>
      <c r="I84" s="17"/>
      <c r="J84" s="73"/>
      <c r="K84" s="17"/>
      <c r="L84" s="17"/>
      <c r="M84" s="73"/>
      <c r="N84" s="73"/>
      <c r="O84" s="19">
        <v>116</v>
      </c>
      <c r="P84" s="15"/>
      <c r="Q84" s="16"/>
      <c r="R84" s="11" t="s">
        <v>40</v>
      </c>
      <c r="S84" s="16"/>
    </row>
    <row r="85" spans="1:21" x14ac:dyDescent="0.2">
      <c r="A85" s="17" t="s">
        <v>67</v>
      </c>
      <c r="B85" s="13">
        <v>22</v>
      </c>
      <c r="C85" s="86">
        <v>4.9000000000000004</v>
      </c>
      <c r="D85" s="17"/>
      <c r="E85" s="17"/>
      <c r="F85" s="17"/>
      <c r="G85" s="17"/>
      <c r="H85" s="17"/>
      <c r="I85" s="17"/>
      <c r="J85" s="73"/>
      <c r="K85" s="17">
        <v>124</v>
      </c>
      <c r="L85" s="17">
        <v>2.5</v>
      </c>
      <c r="M85" s="73">
        <v>271</v>
      </c>
      <c r="N85" s="196">
        <v>250</v>
      </c>
      <c r="O85" s="19"/>
      <c r="P85" s="15">
        <v>486</v>
      </c>
      <c r="Q85" s="16"/>
      <c r="R85" s="11"/>
      <c r="S85" s="15"/>
    </row>
    <row r="86" spans="1:21" x14ac:dyDescent="0.2">
      <c r="A86" s="20" t="s">
        <v>68</v>
      </c>
      <c r="B86" s="21">
        <v>21</v>
      </c>
      <c r="C86" s="85">
        <v>5.9</v>
      </c>
      <c r="D86" s="17"/>
      <c r="E86" s="17"/>
      <c r="F86" s="17"/>
      <c r="G86" s="17"/>
      <c r="H86" s="17"/>
      <c r="I86" s="17"/>
      <c r="J86" s="73"/>
      <c r="K86" s="17"/>
      <c r="L86" s="17">
        <v>7.9</v>
      </c>
      <c r="M86" s="73">
        <v>320</v>
      </c>
      <c r="N86" s="196">
        <v>250</v>
      </c>
      <c r="O86" s="19"/>
      <c r="P86" s="15">
        <v>532</v>
      </c>
      <c r="Q86" s="16"/>
      <c r="R86" s="11"/>
      <c r="S86" s="16"/>
      <c r="U86" t="s">
        <v>417</v>
      </c>
    </row>
    <row r="87" spans="1:21" x14ac:dyDescent="0.2">
      <c r="A87" s="20" t="s">
        <v>732</v>
      </c>
      <c r="B87" s="21">
        <v>22</v>
      </c>
      <c r="C87" s="85"/>
      <c r="D87" s="17"/>
      <c r="E87" s="17"/>
      <c r="F87" s="17"/>
      <c r="G87" s="17"/>
      <c r="H87" s="17"/>
      <c r="I87" s="17"/>
      <c r="J87" s="73"/>
      <c r="K87" s="17"/>
      <c r="L87" s="17"/>
      <c r="M87" s="73"/>
      <c r="N87" s="196">
        <v>250</v>
      </c>
      <c r="O87" s="19"/>
      <c r="P87" s="15">
        <v>91</v>
      </c>
      <c r="Q87" s="16"/>
      <c r="R87" s="11"/>
      <c r="S87" s="16"/>
    </row>
    <row r="88" spans="1:21" x14ac:dyDescent="0.2">
      <c r="A88" s="20" t="s">
        <v>731</v>
      </c>
      <c r="B88" s="21">
        <v>22</v>
      </c>
      <c r="C88" s="85"/>
      <c r="D88" s="17"/>
      <c r="E88" s="17"/>
      <c r="F88" s="17"/>
      <c r="G88" s="17"/>
      <c r="H88" s="17"/>
      <c r="I88" s="17"/>
      <c r="J88" s="73">
        <v>41</v>
      </c>
      <c r="K88" s="17">
        <v>22</v>
      </c>
      <c r="L88" s="17">
        <v>1.5</v>
      </c>
      <c r="M88" s="82">
        <v>255</v>
      </c>
      <c r="N88" s="196">
        <v>250</v>
      </c>
      <c r="O88" s="19"/>
      <c r="P88" s="15">
        <v>481</v>
      </c>
      <c r="Q88" s="16"/>
      <c r="R88" s="11"/>
      <c r="S88" s="16"/>
    </row>
    <row r="89" spans="1:21" x14ac:dyDescent="0.2">
      <c r="A89" s="17" t="s">
        <v>481</v>
      </c>
      <c r="B89" s="13">
        <v>22</v>
      </c>
      <c r="C89" s="86">
        <v>5.3</v>
      </c>
      <c r="D89" s="17"/>
      <c r="E89" s="17"/>
      <c r="F89" s="17"/>
      <c r="G89" s="17"/>
      <c r="H89" s="17"/>
      <c r="I89" s="17"/>
      <c r="J89" s="73"/>
      <c r="K89" s="17"/>
      <c r="L89" s="17">
        <v>0</v>
      </c>
      <c r="M89" s="82">
        <v>253</v>
      </c>
      <c r="N89" s="196">
        <v>250</v>
      </c>
      <c r="O89" s="19"/>
      <c r="P89" s="15">
        <v>962</v>
      </c>
      <c r="Q89" s="16"/>
      <c r="R89" s="11"/>
      <c r="S89" s="16"/>
    </row>
    <row r="90" spans="1:21" x14ac:dyDescent="0.2">
      <c r="A90" s="17" t="s">
        <v>482</v>
      </c>
      <c r="B90" s="13">
        <v>22</v>
      </c>
      <c r="C90" s="86">
        <v>5.0999999999999996</v>
      </c>
      <c r="D90" s="17"/>
      <c r="E90" s="17"/>
      <c r="F90" s="17"/>
      <c r="G90" s="17"/>
      <c r="H90" s="17"/>
      <c r="I90" s="17"/>
      <c r="J90" s="73"/>
      <c r="K90" s="17">
        <v>53</v>
      </c>
      <c r="L90" s="17">
        <v>2.8</v>
      </c>
      <c r="M90" s="73"/>
      <c r="N90" s="196">
        <v>250</v>
      </c>
      <c r="O90" s="19"/>
      <c r="P90" s="15"/>
      <c r="Q90" s="16"/>
      <c r="R90" s="11"/>
      <c r="S90" s="16"/>
    </row>
    <row r="91" spans="1:21" x14ac:dyDescent="0.2">
      <c r="A91" s="53" t="s">
        <v>698</v>
      </c>
      <c r="B91" s="13">
        <v>22</v>
      </c>
      <c r="C91" s="86">
        <v>9</v>
      </c>
      <c r="D91" s="17"/>
      <c r="E91" s="17"/>
      <c r="F91" s="17"/>
      <c r="G91" s="17"/>
      <c r="H91" s="17"/>
      <c r="I91" s="17"/>
      <c r="J91" s="73"/>
      <c r="K91" s="17"/>
      <c r="L91" s="17">
        <v>0</v>
      </c>
      <c r="M91" s="73"/>
      <c r="N91" s="196">
        <v>250</v>
      </c>
      <c r="O91" s="19"/>
      <c r="P91" s="15">
        <v>104</v>
      </c>
      <c r="Q91" s="16"/>
      <c r="R91" s="11"/>
      <c r="S91" s="16"/>
    </row>
    <row r="92" spans="1:21" x14ac:dyDescent="0.2">
      <c r="A92" s="17" t="s">
        <v>69</v>
      </c>
      <c r="B92" s="13">
        <v>22</v>
      </c>
      <c r="C92" s="86">
        <v>6</v>
      </c>
      <c r="D92" s="17"/>
      <c r="E92" s="17"/>
      <c r="F92" s="17"/>
      <c r="G92" s="17"/>
      <c r="H92" s="17"/>
      <c r="I92" s="17"/>
      <c r="J92" s="73">
        <v>37</v>
      </c>
      <c r="K92" s="17">
        <v>20</v>
      </c>
      <c r="L92" s="17">
        <v>1.9</v>
      </c>
      <c r="M92" s="82">
        <v>252</v>
      </c>
      <c r="N92" s="196">
        <v>250</v>
      </c>
      <c r="O92" s="19">
        <v>400</v>
      </c>
      <c r="P92" s="15">
        <v>280</v>
      </c>
      <c r="Q92" s="16"/>
      <c r="R92" s="11"/>
      <c r="S92" s="16"/>
    </row>
    <row r="93" spans="1:21" x14ac:dyDescent="0.2">
      <c r="A93" s="17" t="s">
        <v>70</v>
      </c>
      <c r="B93" s="13">
        <v>22</v>
      </c>
      <c r="C93" s="86">
        <v>8.8000000000000007</v>
      </c>
      <c r="D93" s="17">
        <v>1520</v>
      </c>
      <c r="E93" s="17">
        <v>100</v>
      </c>
      <c r="F93" s="17">
        <v>1520</v>
      </c>
      <c r="G93" s="17">
        <v>100</v>
      </c>
      <c r="H93" s="17"/>
      <c r="I93" s="17"/>
      <c r="J93" s="73">
        <v>33</v>
      </c>
      <c r="K93" s="17">
        <v>20</v>
      </c>
      <c r="L93" s="17">
        <v>1.3</v>
      </c>
      <c r="M93" s="82">
        <v>253</v>
      </c>
      <c r="N93" s="196">
        <v>250</v>
      </c>
      <c r="O93" s="19"/>
      <c r="P93" s="15">
        <v>100</v>
      </c>
      <c r="Q93" s="16"/>
      <c r="R93" s="11"/>
      <c r="S93" s="16"/>
    </row>
    <row r="94" spans="1:21" x14ac:dyDescent="0.2">
      <c r="A94" s="20" t="s">
        <v>71</v>
      </c>
      <c r="B94" s="21">
        <v>21</v>
      </c>
      <c r="C94" s="85">
        <v>7.6</v>
      </c>
      <c r="D94" s="17"/>
      <c r="E94" s="17"/>
      <c r="F94" s="17"/>
      <c r="G94" s="17"/>
      <c r="H94" s="17"/>
      <c r="I94" s="17"/>
      <c r="J94" s="73"/>
      <c r="K94" s="17">
        <v>153.4</v>
      </c>
      <c r="L94" s="17">
        <v>2</v>
      </c>
      <c r="M94" s="73">
        <v>324</v>
      </c>
      <c r="N94" s="196">
        <v>250</v>
      </c>
      <c r="O94" s="19"/>
      <c r="P94" s="15">
        <v>500</v>
      </c>
      <c r="Q94" s="16"/>
      <c r="R94" s="11"/>
      <c r="S94" s="16"/>
    </row>
    <row r="95" spans="1:21" x14ac:dyDescent="0.2">
      <c r="A95" s="57" t="s">
        <v>699</v>
      </c>
      <c r="B95" s="21">
        <v>22</v>
      </c>
      <c r="C95" s="85">
        <v>52.4</v>
      </c>
      <c r="D95" s="17"/>
      <c r="E95" s="17"/>
      <c r="F95" s="17"/>
      <c r="G95" s="17"/>
      <c r="H95" s="17"/>
      <c r="I95" s="17"/>
      <c r="J95" s="73">
        <v>58</v>
      </c>
      <c r="K95" s="17">
        <v>27</v>
      </c>
      <c r="L95" s="17">
        <v>1</v>
      </c>
      <c r="M95" s="73">
        <v>288</v>
      </c>
      <c r="N95" s="196">
        <v>250</v>
      </c>
      <c r="O95" s="19"/>
      <c r="P95" s="15">
        <v>863</v>
      </c>
      <c r="Q95" s="16"/>
      <c r="R95" s="11"/>
      <c r="S95" s="16"/>
    </row>
    <row r="96" spans="1:21" x14ac:dyDescent="0.2">
      <c r="A96" s="57" t="s">
        <v>700</v>
      </c>
      <c r="B96" s="21">
        <v>22</v>
      </c>
      <c r="C96" s="85">
        <v>69.900000000000006</v>
      </c>
      <c r="D96" s="17"/>
      <c r="E96" s="17"/>
      <c r="F96" s="17"/>
      <c r="G96" s="17"/>
      <c r="H96" s="17"/>
      <c r="I96" s="17"/>
      <c r="J96" s="73">
        <v>40</v>
      </c>
      <c r="K96" s="17">
        <v>26</v>
      </c>
      <c r="L96" s="17">
        <v>1</v>
      </c>
      <c r="M96" s="73">
        <v>272</v>
      </c>
      <c r="N96" s="196">
        <v>250</v>
      </c>
      <c r="O96" s="19"/>
      <c r="P96" s="15">
        <v>604</v>
      </c>
      <c r="Q96" s="16"/>
      <c r="R96" s="11"/>
      <c r="S96" s="16"/>
    </row>
    <row r="97" spans="1:19" x14ac:dyDescent="0.2">
      <c r="A97" s="20" t="s">
        <v>483</v>
      </c>
      <c r="B97" s="21">
        <v>22</v>
      </c>
      <c r="C97" s="85">
        <v>15.7</v>
      </c>
      <c r="D97" s="17"/>
      <c r="E97" s="17"/>
      <c r="F97" s="17"/>
      <c r="G97" s="17"/>
      <c r="H97" s="17"/>
      <c r="I97" s="17"/>
      <c r="J97" s="73">
        <v>38</v>
      </c>
      <c r="K97" s="17">
        <v>19</v>
      </c>
      <c r="L97" s="17">
        <v>0.9</v>
      </c>
      <c r="M97" s="82">
        <v>256</v>
      </c>
      <c r="N97" s="196">
        <v>250</v>
      </c>
      <c r="O97" s="19">
        <v>600</v>
      </c>
      <c r="P97" s="15">
        <v>420</v>
      </c>
      <c r="Q97" s="16"/>
      <c r="R97" s="11"/>
      <c r="S97" s="16"/>
    </row>
    <row r="98" spans="1:19" x14ac:dyDescent="0.2">
      <c r="A98" s="20" t="s">
        <v>72</v>
      </c>
      <c r="B98" s="13">
        <v>22</v>
      </c>
      <c r="C98" s="85">
        <v>12.8</v>
      </c>
      <c r="D98" s="17"/>
      <c r="E98" s="17"/>
      <c r="F98" s="17"/>
      <c r="G98" s="17"/>
      <c r="H98" s="17"/>
      <c r="I98" s="17"/>
      <c r="J98" s="73"/>
      <c r="K98" s="17">
        <v>0</v>
      </c>
      <c r="L98" s="17">
        <v>5</v>
      </c>
      <c r="M98" s="73"/>
      <c r="N98" s="73"/>
      <c r="O98" s="19"/>
      <c r="P98" s="15">
        <v>200</v>
      </c>
      <c r="Q98" s="16"/>
      <c r="R98" s="11"/>
      <c r="S98" s="16"/>
    </row>
    <row r="99" spans="1:19" x14ac:dyDescent="0.2">
      <c r="A99" s="20" t="s">
        <v>73</v>
      </c>
      <c r="B99" s="21">
        <v>21</v>
      </c>
      <c r="C99" s="85">
        <v>4.7</v>
      </c>
      <c r="D99" s="17"/>
      <c r="E99" s="17"/>
      <c r="F99" s="17"/>
      <c r="G99" s="17"/>
      <c r="H99" s="17"/>
      <c r="I99" s="17"/>
      <c r="J99" s="73">
        <v>159</v>
      </c>
      <c r="K99" s="17">
        <v>150</v>
      </c>
      <c r="L99" s="17">
        <v>1.2</v>
      </c>
      <c r="M99" s="73">
        <v>276</v>
      </c>
      <c r="N99" s="196">
        <v>250</v>
      </c>
      <c r="O99" s="19">
        <v>1200</v>
      </c>
      <c r="P99" s="15"/>
      <c r="Q99" s="16"/>
      <c r="R99" s="11"/>
      <c r="S99" s="16"/>
    </row>
    <row r="100" spans="1:19" x14ac:dyDescent="0.2">
      <c r="A100" s="20" t="s">
        <v>74</v>
      </c>
      <c r="B100" s="21">
        <v>22</v>
      </c>
      <c r="C100" s="85">
        <v>44.5</v>
      </c>
      <c r="D100" s="17"/>
      <c r="E100" s="17"/>
      <c r="F100" s="17"/>
      <c r="G100" s="17"/>
      <c r="H100" s="17"/>
      <c r="I100" s="17"/>
      <c r="J100" s="73"/>
      <c r="K100" s="17">
        <v>0</v>
      </c>
      <c r="L100" s="17">
        <v>0</v>
      </c>
      <c r="M100" s="73"/>
      <c r="N100" s="196"/>
      <c r="O100" s="19"/>
      <c r="P100" s="15">
        <v>44</v>
      </c>
      <c r="Q100" s="16"/>
      <c r="R100" s="11"/>
      <c r="S100" s="16"/>
    </row>
    <row r="101" spans="1:19" x14ac:dyDescent="0.2">
      <c r="A101" s="20" t="s">
        <v>75</v>
      </c>
      <c r="B101" s="13">
        <v>22</v>
      </c>
      <c r="C101" s="85">
        <v>91.2</v>
      </c>
      <c r="D101" s="17"/>
      <c r="E101" s="17"/>
      <c r="F101" s="17"/>
      <c r="G101" s="17"/>
      <c r="H101" s="17"/>
      <c r="I101" s="17"/>
      <c r="J101" s="73">
        <v>153</v>
      </c>
      <c r="K101" s="17">
        <v>132</v>
      </c>
      <c r="L101" s="17">
        <v>2.1</v>
      </c>
      <c r="M101" s="73">
        <v>278</v>
      </c>
      <c r="N101" s="73">
        <v>250</v>
      </c>
      <c r="O101" s="19"/>
      <c r="P101" s="15">
        <v>614</v>
      </c>
      <c r="Q101" s="16"/>
      <c r="R101" s="11"/>
      <c r="S101" s="16"/>
    </row>
    <row r="102" spans="1:19" x14ac:dyDescent="0.2">
      <c r="A102" s="17" t="s">
        <v>76</v>
      </c>
      <c r="B102" s="13">
        <v>22</v>
      </c>
      <c r="C102" s="86">
        <v>8.4</v>
      </c>
      <c r="D102" s="17"/>
      <c r="E102" s="17"/>
      <c r="F102" s="17"/>
      <c r="G102" s="17"/>
      <c r="H102" s="17"/>
      <c r="I102" s="17"/>
      <c r="J102" s="73"/>
      <c r="K102" s="17">
        <v>17</v>
      </c>
      <c r="L102" s="17">
        <v>0.7</v>
      </c>
      <c r="M102" s="82">
        <v>254</v>
      </c>
      <c r="N102" s="73">
        <v>250</v>
      </c>
      <c r="O102" s="19">
        <v>1000</v>
      </c>
      <c r="P102" s="15">
        <v>1200</v>
      </c>
      <c r="Q102" s="16"/>
      <c r="R102" s="11"/>
      <c r="S102" s="16"/>
    </row>
    <row r="103" spans="1:19" x14ac:dyDescent="0.2">
      <c r="A103" s="17" t="s">
        <v>491</v>
      </c>
      <c r="B103" s="13">
        <v>22</v>
      </c>
      <c r="C103" s="86">
        <v>6.3</v>
      </c>
      <c r="D103" s="17"/>
      <c r="E103" s="17"/>
      <c r="F103" s="17"/>
      <c r="G103" s="17"/>
      <c r="H103" s="17"/>
      <c r="I103" s="17"/>
      <c r="J103" s="73">
        <v>27</v>
      </c>
      <c r="K103" s="17">
        <v>15</v>
      </c>
      <c r="L103" s="17">
        <v>0.9</v>
      </c>
      <c r="M103" s="73">
        <v>261</v>
      </c>
      <c r="N103" s="73">
        <v>250</v>
      </c>
      <c r="O103" s="19">
        <v>300</v>
      </c>
      <c r="P103" s="15">
        <v>410</v>
      </c>
      <c r="Q103" s="16"/>
      <c r="R103" s="11"/>
      <c r="S103" s="16"/>
    </row>
    <row r="104" spans="1:19" x14ac:dyDescent="0.2">
      <c r="A104" s="17" t="s">
        <v>493</v>
      </c>
      <c r="B104" s="13">
        <v>22</v>
      </c>
      <c r="C104" s="86">
        <v>11</v>
      </c>
      <c r="D104" s="17"/>
      <c r="E104" s="17"/>
      <c r="F104" s="17"/>
      <c r="G104" s="17"/>
      <c r="H104" s="17"/>
      <c r="I104" s="17"/>
      <c r="J104" s="73">
        <v>30</v>
      </c>
      <c r="K104" s="17">
        <v>15</v>
      </c>
      <c r="L104" s="17">
        <v>1.4</v>
      </c>
      <c r="M104" s="73">
        <v>264</v>
      </c>
      <c r="N104" s="73">
        <v>250</v>
      </c>
      <c r="O104" s="19">
        <v>500</v>
      </c>
      <c r="P104" s="15">
        <v>593</v>
      </c>
      <c r="Q104" s="16"/>
      <c r="R104" s="11"/>
      <c r="S104" s="16"/>
    </row>
    <row r="105" spans="1:19" x14ac:dyDescent="0.2">
      <c r="A105" s="17" t="s">
        <v>492</v>
      </c>
      <c r="B105" s="13">
        <v>22</v>
      </c>
      <c r="C105" s="86">
        <v>22</v>
      </c>
      <c r="D105" s="17"/>
      <c r="E105" s="17"/>
      <c r="F105" s="17"/>
      <c r="G105" s="17"/>
      <c r="H105" s="17"/>
      <c r="I105" s="17"/>
      <c r="J105" s="73"/>
      <c r="K105" s="17">
        <v>41</v>
      </c>
      <c r="L105" s="17">
        <v>1.8</v>
      </c>
      <c r="M105" s="73"/>
      <c r="N105" s="73">
        <v>250</v>
      </c>
      <c r="O105" s="19">
        <v>500</v>
      </c>
      <c r="P105" s="15">
        <v>814</v>
      </c>
      <c r="Q105" s="16"/>
      <c r="R105" s="11"/>
      <c r="S105" s="16"/>
    </row>
    <row r="106" spans="1:19" x14ac:dyDescent="0.2">
      <c r="A106" s="53" t="s">
        <v>716</v>
      </c>
      <c r="B106" s="51"/>
      <c r="C106" s="193"/>
      <c r="D106" s="53"/>
      <c r="E106" s="53"/>
      <c r="F106" s="53"/>
      <c r="G106" s="53"/>
      <c r="H106" s="53"/>
      <c r="I106" s="53"/>
      <c r="J106" s="82"/>
      <c r="K106" s="53">
        <v>36</v>
      </c>
      <c r="L106" s="53">
        <v>1</v>
      </c>
      <c r="M106" s="197">
        <v>246</v>
      </c>
      <c r="N106" s="73">
        <v>250</v>
      </c>
      <c r="O106" s="54">
        <v>300</v>
      </c>
      <c r="P106" s="30"/>
      <c r="Q106" s="55"/>
      <c r="R106" s="56"/>
      <c r="S106" s="55"/>
    </row>
    <row r="107" spans="1:19" x14ac:dyDescent="0.2">
      <c r="A107" s="57" t="s">
        <v>765</v>
      </c>
      <c r="B107" s="13">
        <v>22</v>
      </c>
      <c r="C107" s="85">
        <v>5.4</v>
      </c>
      <c r="D107" s="17"/>
      <c r="E107" s="17"/>
      <c r="F107" s="17"/>
      <c r="G107" s="17"/>
      <c r="H107" s="17"/>
      <c r="I107" s="17"/>
      <c r="J107" s="73"/>
      <c r="K107" s="17">
        <v>242</v>
      </c>
      <c r="L107" s="17">
        <v>1.8</v>
      </c>
      <c r="M107" s="82">
        <v>253</v>
      </c>
      <c r="N107" s="73">
        <v>250</v>
      </c>
      <c r="O107" s="19"/>
      <c r="P107" s="15">
        <v>800</v>
      </c>
      <c r="Q107" s="16"/>
      <c r="R107" s="11"/>
      <c r="S107" s="16"/>
    </row>
    <row r="108" spans="1:19" x14ac:dyDescent="0.2">
      <c r="A108" s="20" t="s">
        <v>77</v>
      </c>
      <c r="B108" s="21">
        <v>22</v>
      </c>
      <c r="C108" s="85">
        <v>6.5</v>
      </c>
      <c r="D108" s="17"/>
      <c r="E108" s="17"/>
      <c r="F108" s="17"/>
      <c r="G108" s="17"/>
      <c r="H108" s="17"/>
      <c r="I108" s="17"/>
      <c r="J108" s="73"/>
      <c r="K108" s="17">
        <v>45.8</v>
      </c>
      <c r="L108" s="17">
        <v>1.9</v>
      </c>
      <c r="M108" s="73">
        <v>431</v>
      </c>
      <c r="N108" s="73">
        <v>250</v>
      </c>
      <c r="O108" s="19">
        <v>1000</v>
      </c>
      <c r="P108" s="15"/>
      <c r="Q108" s="16"/>
      <c r="R108" s="11"/>
      <c r="S108" s="16"/>
    </row>
    <row r="109" spans="1:19" x14ac:dyDescent="0.2">
      <c r="A109" s="57" t="s">
        <v>701</v>
      </c>
      <c r="B109" s="21">
        <v>22</v>
      </c>
      <c r="C109" s="85">
        <v>304.39999999999998</v>
      </c>
      <c r="D109" s="17"/>
      <c r="E109" s="17"/>
      <c r="F109" s="17"/>
      <c r="G109" s="17"/>
      <c r="H109" s="17"/>
      <c r="I109" s="17"/>
      <c r="J109" s="73">
        <v>23</v>
      </c>
      <c r="K109" s="17">
        <v>16</v>
      </c>
      <c r="L109" s="17">
        <v>0.9</v>
      </c>
      <c r="M109" s="82">
        <v>251</v>
      </c>
      <c r="N109" s="73">
        <v>250</v>
      </c>
      <c r="O109" s="19"/>
      <c r="P109" s="15"/>
      <c r="Q109" s="16"/>
      <c r="R109" s="11"/>
      <c r="S109" s="16"/>
    </row>
    <row r="110" spans="1:19" x14ac:dyDescent="0.2">
      <c r="A110" s="17" t="s">
        <v>78</v>
      </c>
      <c r="B110" s="13">
        <v>22</v>
      </c>
      <c r="C110" s="86">
        <v>11.8</v>
      </c>
      <c r="D110" s="17"/>
      <c r="E110" s="17"/>
      <c r="F110" s="17"/>
      <c r="G110" s="17"/>
      <c r="H110" s="17"/>
      <c r="I110" s="17"/>
      <c r="J110" s="73">
        <v>199</v>
      </c>
      <c r="K110" s="17">
        <v>68</v>
      </c>
      <c r="L110" s="17">
        <v>5.8</v>
      </c>
      <c r="M110" s="73"/>
      <c r="N110" s="73"/>
      <c r="O110" s="19"/>
      <c r="P110" s="15">
        <v>644</v>
      </c>
      <c r="Q110" s="16"/>
      <c r="R110" s="11"/>
      <c r="S110" s="16"/>
    </row>
    <row r="111" spans="1:19" x14ac:dyDescent="0.2">
      <c r="A111" s="20" t="s">
        <v>498</v>
      </c>
      <c r="B111" s="21">
        <v>22</v>
      </c>
      <c r="C111" s="85">
        <v>101.3</v>
      </c>
      <c r="D111" s="17"/>
      <c r="E111" s="17"/>
      <c r="F111" s="17"/>
      <c r="G111" s="17"/>
      <c r="H111" s="17"/>
      <c r="I111" s="17"/>
      <c r="J111" s="73">
        <v>40</v>
      </c>
      <c r="K111" s="17">
        <v>23</v>
      </c>
      <c r="L111" s="17">
        <v>1.7</v>
      </c>
      <c r="M111" s="73">
        <v>279</v>
      </c>
      <c r="N111" s="196">
        <v>250</v>
      </c>
      <c r="O111" s="19"/>
      <c r="P111" s="15">
        <v>383</v>
      </c>
      <c r="Q111" s="16"/>
      <c r="R111" s="11"/>
      <c r="S111" s="16"/>
    </row>
    <row r="112" spans="1:19" x14ac:dyDescent="0.2">
      <c r="A112" s="20" t="s">
        <v>499</v>
      </c>
      <c r="B112" s="21">
        <v>22</v>
      </c>
      <c r="C112" s="85">
        <v>168.1</v>
      </c>
      <c r="D112" s="17"/>
      <c r="E112" s="17"/>
      <c r="F112" s="17"/>
      <c r="G112" s="17"/>
      <c r="H112" s="17"/>
      <c r="I112" s="17"/>
      <c r="J112" s="73">
        <v>55</v>
      </c>
      <c r="K112" s="17">
        <v>23</v>
      </c>
      <c r="L112" s="17">
        <v>3.2</v>
      </c>
      <c r="M112" s="73">
        <v>283</v>
      </c>
      <c r="N112" s="196">
        <v>250</v>
      </c>
      <c r="O112" s="19"/>
      <c r="P112" s="15">
        <v>459</v>
      </c>
      <c r="Q112" s="16"/>
      <c r="R112" s="11"/>
      <c r="S112" s="16"/>
    </row>
    <row r="113" spans="1:19" x14ac:dyDescent="0.2">
      <c r="A113" s="53" t="s">
        <v>702</v>
      </c>
      <c r="B113" s="13">
        <v>22</v>
      </c>
      <c r="C113" s="86">
        <v>9.6999999999999993</v>
      </c>
      <c r="D113" s="17"/>
      <c r="E113" s="17"/>
      <c r="F113" s="17"/>
      <c r="G113" s="17"/>
      <c r="H113" s="17"/>
      <c r="I113" s="17"/>
      <c r="J113" s="73"/>
      <c r="K113" s="17">
        <v>22</v>
      </c>
      <c r="L113" s="17">
        <v>1</v>
      </c>
      <c r="M113" s="73">
        <v>274</v>
      </c>
      <c r="N113" s="196">
        <v>250</v>
      </c>
      <c r="O113" s="19"/>
      <c r="P113" s="15">
        <v>710</v>
      </c>
      <c r="Q113" s="16"/>
      <c r="R113" s="11"/>
      <c r="S113" s="16"/>
    </row>
    <row r="114" spans="1:19" x14ac:dyDescent="0.2">
      <c r="A114" s="17" t="s">
        <v>79</v>
      </c>
      <c r="B114" s="13">
        <v>22</v>
      </c>
      <c r="C114" s="86">
        <v>212.7</v>
      </c>
      <c r="D114" s="17"/>
      <c r="E114" s="17"/>
      <c r="F114" s="17"/>
      <c r="G114" s="17"/>
      <c r="H114" s="17"/>
      <c r="I114" s="17"/>
      <c r="J114" s="73"/>
      <c r="K114" s="17">
        <v>21</v>
      </c>
      <c r="L114" s="17">
        <v>2.8</v>
      </c>
      <c r="M114" s="73">
        <v>293</v>
      </c>
      <c r="N114" s="196">
        <v>250</v>
      </c>
      <c r="O114" s="19"/>
      <c r="P114" s="15">
        <v>200</v>
      </c>
      <c r="Q114" s="16"/>
      <c r="R114" s="11"/>
      <c r="S114" s="16"/>
    </row>
    <row r="115" spans="1:19" x14ac:dyDescent="0.2">
      <c r="A115" s="17" t="s">
        <v>80</v>
      </c>
      <c r="B115" s="13">
        <v>22</v>
      </c>
      <c r="C115" s="86">
        <v>391</v>
      </c>
      <c r="D115" s="17"/>
      <c r="E115" s="17"/>
      <c r="F115" s="17"/>
      <c r="G115" s="17"/>
      <c r="H115" s="17"/>
      <c r="I115" s="17"/>
      <c r="J115" s="73"/>
      <c r="K115" s="17">
        <v>21</v>
      </c>
      <c r="L115" s="17">
        <v>2.7</v>
      </c>
      <c r="M115" s="73">
        <v>280</v>
      </c>
      <c r="N115" s="196">
        <v>250</v>
      </c>
      <c r="O115" s="19"/>
      <c r="P115" s="15">
        <v>600</v>
      </c>
      <c r="Q115" s="16"/>
      <c r="R115" s="11"/>
      <c r="S115" s="16"/>
    </row>
    <row r="116" spans="1:19" x14ac:dyDescent="0.2">
      <c r="A116" s="20" t="s">
        <v>81</v>
      </c>
      <c r="B116" s="21">
        <v>21</v>
      </c>
      <c r="C116" s="85">
        <v>5.9</v>
      </c>
      <c r="D116" s="17"/>
      <c r="E116" s="17"/>
      <c r="F116" s="17"/>
      <c r="G116" s="17"/>
      <c r="H116" s="17"/>
      <c r="I116" s="17"/>
      <c r="J116" s="73"/>
      <c r="K116" s="17">
        <v>46</v>
      </c>
      <c r="L116" s="17">
        <v>1.5</v>
      </c>
      <c r="M116" s="73">
        <v>266</v>
      </c>
      <c r="N116" s="196">
        <v>250</v>
      </c>
      <c r="O116" s="19">
        <v>1000</v>
      </c>
      <c r="P116" s="15"/>
      <c r="Q116" s="16"/>
      <c r="R116" s="11"/>
      <c r="S116" s="16"/>
    </row>
    <row r="117" spans="1:19" x14ac:dyDescent="0.2">
      <c r="A117" s="57" t="s">
        <v>703</v>
      </c>
      <c r="B117" s="21">
        <v>22</v>
      </c>
      <c r="C117" s="89">
        <v>49.1</v>
      </c>
      <c r="D117" s="17"/>
      <c r="E117" s="17"/>
      <c r="F117" s="17"/>
      <c r="G117" s="17"/>
      <c r="H117" s="17"/>
      <c r="I117" s="17"/>
      <c r="J117" s="73">
        <v>89</v>
      </c>
      <c r="K117" s="17">
        <v>36</v>
      </c>
      <c r="L117" s="17">
        <v>1.8</v>
      </c>
      <c r="M117" s="73">
        <v>270</v>
      </c>
      <c r="N117" s="196">
        <v>250</v>
      </c>
      <c r="O117" s="19">
        <v>600</v>
      </c>
      <c r="P117" s="15">
        <v>515</v>
      </c>
      <c r="Q117" s="16"/>
      <c r="R117" s="11"/>
      <c r="S117" s="16"/>
    </row>
    <row r="118" spans="1:19" x14ac:dyDescent="0.2">
      <c r="A118" s="57" t="s">
        <v>704</v>
      </c>
      <c r="B118" s="21">
        <v>22</v>
      </c>
      <c r="C118" s="89">
        <v>9</v>
      </c>
      <c r="D118" s="17"/>
      <c r="E118" s="17"/>
      <c r="F118" s="17"/>
      <c r="G118" s="17"/>
      <c r="H118" s="17"/>
      <c r="I118" s="17"/>
      <c r="J118" s="73"/>
      <c r="K118" s="17">
        <v>15</v>
      </c>
      <c r="L118" s="17">
        <v>1</v>
      </c>
      <c r="M118" s="73">
        <v>261</v>
      </c>
      <c r="N118" s="196">
        <v>250</v>
      </c>
      <c r="O118" s="19">
        <v>500</v>
      </c>
      <c r="P118" s="15">
        <v>378</v>
      </c>
      <c r="Q118" s="16"/>
      <c r="R118" s="11"/>
      <c r="S118" s="16"/>
    </row>
    <row r="119" spans="1:19" x14ac:dyDescent="0.2">
      <c r="A119" s="57" t="s">
        <v>705</v>
      </c>
      <c r="B119" s="60">
        <v>22</v>
      </c>
      <c r="C119" s="87">
        <v>30.5</v>
      </c>
      <c r="D119" s="53"/>
      <c r="E119" s="53"/>
      <c r="F119" s="53"/>
      <c r="G119" s="53"/>
      <c r="H119" s="53"/>
      <c r="I119" s="53"/>
      <c r="J119" s="82"/>
      <c r="K119" s="53"/>
      <c r="L119" s="53">
        <v>0</v>
      </c>
      <c r="M119" s="82"/>
      <c r="N119" s="198"/>
      <c r="O119" s="54"/>
      <c r="P119" s="30"/>
      <c r="Q119" s="55"/>
      <c r="R119" s="56"/>
      <c r="S119" s="55"/>
    </row>
    <row r="120" spans="1:19" x14ac:dyDescent="0.2">
      <c r="A120" s="53" t="s">
        <v>706</v>
      </c>
      <c r="B120" s="13">
        <v>22</v>
      </c>
      <c r="C120" s="86">
        <v>4.2</v>
      </c>
      <c r="D120" s="17"/>
      <c r="E120" s="17"/>
      <c r="F120" s="17"/>
      <c r="G120" s="17"/>
      <c r="H120" s="17"/>
      <c r="I120" s="17"/>
      <c r="J120" s="73"/>
      <c r="K120" s="17">
        <v>43</v>
      </c>
      <c r="L120" s="17">
        <v>1.1000000000000001</v>
      </c>
      <c r="M120" s="73"/>
      <c r="N120" s="196"/>
      <c r="O120" s="19"/>
      <c r="P120" s="15">
        <v>2000</v>
      </c>
      <c r="Q120" s="16"/>
      <c r="R120" s="11"/>
      <c r="S120" s="16"/>
    </row>
    <row r="121" spans="1:19" x14ac:dyDescent="0.2">
      <c r="A121" s="53" t="s">
        <v>707</v>
      </c>
      <c r="B121" s="13">
        <v>22</v>
      </c>
      <c r="C121" s="86">
        <v>6.4</v>
      </c>
      <c r="D121" s="17"/>
      <c r="E121" s="17"/>
      <c r="F121" s="17"/>
      <c r="G121" s="17"/>
      <c r="H121" s="17"/>
      <c r="I121" s="17"/>
      <c r="J121" s="73"/>
      <c r="K121" s="17">
        <v>48</v>
      </c>
      <c r="L121" s="17">
        <v>1.3</v>
      </c>
      <c r="M121" s="73"/>
      <c r="N121" s="196"/>
      <c r="O121" s="19"/>
      <c r="P121" s="15">
        <v>1940</v>
      </c>
      <c r="Q121" s="16"/>
      <c r="R121" s="11"/>
      <c r="S121" s="16"/>
    </row>
    <row r="122" spans="1:19" x14ac:dyDescent="0.2">
      <c r="A122" s="17" t="s">
        <v>505</v>
      </c>
      <c r="B122" s="13"/>
      <c r="C122" s="86">
        <v>7.3</v>
      </c>
      <c r="D122" s="17"/>
      <c r="E122" s="17"/>
      <c r="F122" s="17"/>
      <c r="G122" s="17"/>
      <c r="H122" s="17"/>
      <c r="I122" s="17"/>
      <c r="J122" s="73"/>
      <c r="K122" s="17"/>
      <c r="L122" s="17">
        <v>2.6</v>
      </c>
      <c r="M122" s="73">
        <v>272</v>
      </c>
      <c r="N122" s="196">
        <v>250</v>
      </c>
      <c r="O122" s="19">
        <v>100</v>
      </c>
      <c r="P122" s="15"/>
      <c r="Q122" s="16"/>
      <c r="R122" s="11"/>
      <c r="S122" s="16"/>
    </row>
    <row r="123" spans="1:19" x14ac:dyDescent="0.2">
      <c r="A123" s="17" t="s">
        <v>82</v>
      </c>
      <c r="B123" s="26">
        <v>21</v>
      </c>
      <c r="C123" s="194">
        <v>9.1999999999999993</v>
      </c>
      <c r="D123" s="28">
        <v>6100</v>
      </c>
      <c r="E123" s="17" t="s">
        <v>83</v>
      </c>
      <c r="F123" s="17" t="s">
        <v>84</v>
      </c>
      <c r="G123" s="29" t="s">
        <v>85</v>
      </c>
      <c r="H123" s="17">
        <v>1000</v>
      </c>
      <c r="I123" s="17" t="s">
        <v>86</v>
      </c>
      <c r="J123" s="73">
        <v>136</v>
      </c>
      <c r="K123" s="17">
        <v>106</v>
      </c>
      <c r="L123" s="17">
        <v>1.1000000000000001</v>
      </c>
      <c r="M123" s="73">
        <v>296</v>
      </c>
      <c r="N123" s="196">
        <v>250</v>
      </c>
      <c r="O123" s="19">
        <v>1000</v>
      </c>
      <c r="P123" s="15"/>
      <c r="Q123" s="16"/>
      <c r="R123" s="11"/>
      <c r="S123" s="16"/>
    </row>
    <row r="124" spans="1:19" x14ac:dyDescent="0.2">
      <c r="A124" s="20" t="s">
        <v>87</v>
      </c>
      <c r="B124" s="13">
        <v>22</v>
      </c>
      <c r="C124" s="85">
        <v>37.6</v>
      </c>
      <c r="D124" s="17"/>
      <c r="E124" s="17"/>
      <c r="F124" s="17"/>
      <c r="G124" s="17"/>
      <c r="H124" s="17"/>
      <c r="I124" s="17"/>
      <c r="J124" s="73"/>
      <c r="K124" s="17">
        <v>19</v>
      </c>
      <c r="L124" s="17">
        <v>0.8</v>
      </c>
      <c r="M124" s="82">
        <v>257</v>
      </c>
      <c r="N124" s="196">
        <v>250</v>
      </c>
      <c r="O124" s="19"/>
      <c r="P124" s="15">
        <v>200</v>
      </c>
      <c r="Q124" s="16"/>
      <c r="R124" s="11"/>
      <c r="S124" s="16"/>
    </row>
    <row r="125" spans="1:19" x14ac:dyDescent="0.2">
      <c r="A125" s="17" t="s">
        <v>88</v>
      </c>
      <c r="B125" s="13">
        <v>22</v>
      </c>
      <c r="C125" s="86">
        <v>57.4</v>
      </c>
      <c r="D125" s="17">
        <v>10973</v>
      </c>
      <c r="E125" s="17">
        <v>100</v>
      </c>
      <c r="F125" s="17">
        <v>10973</v>
      </c>
      <c r="G125" s="17">
        <v>100</v>
      </c>
      <c r="H125" s="17"/>
      <c r="I125" s="17"/>
      <c r="J125" s="73">
        <v>28</v>
      </c>
      <c r="K125" s="17">
        <v>20</v>
      </c>
      <c r="L125" s="17">
        <v>2.5</v>
      </c>
      <c r="M125" s="73"/>
      <c r="N125" s="73"/>
      <c r="O125" s="19"/>
      <c r="P125" s="15">
        <v>200</v>
      </c>
      <c r="Q125" s="16"/>
      <c r="R125" s="11"/>
      <c r="S125" s="16"/>
    </row>
    <row r="126" spans="1:19" x14ac:dyDescent="0.2">
      <c r="A126" s="53" t="s">
        <v>708</v>
      </c>
      <c r="B126" s="13">
        <v>22</v>
      </c>
      <c r="C126" s="86">
        <v>18.600000000000001</v>
      </c>
      <c r="D126" s="17"/>
      <c r="E126" s="17"/>
      <c r="F126" s="17"/>
      <c r="G126" s="17"/>
      <c r="H126" s="17"/>
      <c r="I126" s="17"/>
      <c r="J126" s="73"/>
      <c r="K126" s="17">
        <v>14</v>
      </c>
      <c r="L126" s="17">
        <v>1.8</v>
      </c>
      <c r="M126" s="73">
        <v>265</v>
      </c>
      <c r="N126" s="73">
        <v>250</v>
      </c>
      <c r="O126" s="19"/>
      <c r="P126" s="15">
        <v>849</v>
      </c>
      <c r="Q126" s="16"/>
      <c r="R126" s="11"/>
      <c r="S126" s="16"/>
    </row>
    <row r="127" spans="1:19" x14ac:dyDescent="0.2">
      <c r="A127" s="17" t="s">
        <v>502</v>
      </c>
      <c r="B127" s="11">
        <v>22</v>
      </c>
      <c r="C127" s="86">
        <v>17</v>
      </c>
      <c r="D127" s="17">
        <v>153656</v>
      </c>
      <c r="E127" s="17">
        <v>500</v>
      </c>
      <c r="F127" s="17">
        <v>153656</v>
      </c>
      <c r="G127" s="17">
        <v>500</v>
      </c>
      <c r="H127" s="17"/>
      <c r="I127" s="17"/>
      <c r="J127" s="73">
        <v>24</v>
      </c>
      <c r="K127" s="17">
        <v>16</v>
      </c>
      <c r="L127" s="17">
        <v>0.9</v>
      </c>
      <c r="M127" s="73"/>
      <c r="N127" s="196">
        <v>250</v>
      </c>
      <c r="O127" s="19"/>
      <c r="P127" s="15">
        <v>448</v>
      </c>
      <c r="Q127" s="16"/>
      <c r="R127" s="11"/>
      <c r="S127" s="16"/>
    </row>
    <row r="128" spans="1:19" x14ac:dyDescent="0.2">
      <c r="A128" s="53" t="s">
        <v>503</v>
      </c>
      <c r="B128" s="56">
        <v>22</v>
      </c>
      <c r="C128" s="193">
        <v>163.30000000000001</v>
      </c>
      <c r="D128" s="53"/>
      <c r="E128" s="53"/>
      <c r="F128" s="53"/>
      <c r="G128" s="53"/>
      <c r="H128" s="53"/>
      <c r="I128" s="53"/>
      <c r="J128" s="82"/>
      <c r="K128" s="53"/>
      <c r="L128" s="53">
        <v>0</v>
      </c>
      <c r="M128" s="82"/>
      <c r="N128" s="198"/>
      <c r="O128" s="54"/>
      <c r="P128" s="30"/>
      <c r="Q128" s="55"/>
      <c r="R128" s="56"/>
      <c r="S128" s="55"/>
    </row>
    <row r="129" spans="1:19" x14ac:dyDescent="0.2">
      <c r="A129" s="17" t="s">
        <v>89</v>
      </c>
      <c r="B129" s="11">
        <v>21</v>
      </c>
      <c r="C129" s="86">
        <v>14.1</v>
      </c>
      <c r="D129" s="17"/>
      <c r="E129" s="17"/>
      <c r="F129" s="17"/>
      <c r="G129" s="17"/>
      <c r="H129" s="17"/>
      <c r="I129" s="17"/>
      <c r="J129" s="73">
        <v>113</v>
      </c>
      <c r="K129" s="17">
        <v>46</v>
      </c>
      <c r="L129" s="17">
        <v>1.2</v>
      </c>
      <c r="M129" s="73">
        <v>274</v>
      </c>
      <c r="N129" s="196">
        <v>250</v>
      </c>
      <c r="O129" s="19"/>
      <c r="P129" s="15"/>
      <c r="Q129" s="16"/>
      <c r="R129" s="11"/>
      <c r="S129" s="16"/>
    </row>
    <row r="130" spans="1:19" x14ac:dyDescent="0.2">
      <c r="A130" s="20" t="s">
        <v>90</v>
      </c>
      <c r="B130" s="21">
        <v>21</v>
      </c>
      <c r="C130" s="85"/>
      <c r="D130" s="17"/>
      <c r="E130" s="17"/>
      <c r="F130" s="17"/>
      <c r="G130" s="17"/>
      <c r="H130" s="17"/>
      <c r="I130" s="17"/>
      <c r="J130" s="73"/>
      <c r="K130" s="17">
        <v>192.7</v>
      </c>
      <c r="L130" s="17">
        <v>1.7</v>
      </c>
      <c r="M130" s="73"/>
      <c r="N130" s="196"/>
      <c r="O130" s="19">
        <v>100</v>
      </c>
      <c r="P130" s="15"/>
      <c r="Q130" s="16"/>
      <c r="R130" s="11"/>
      <c r="S130" s="16"/>
    </row>
    <row r="131" spans="1:19" x14ac:dyDescent="0.2">
      <c r="A131" s="20" t="s">
        <v>506</v>
      </c>
      <c r="B131" s="21">
        <v>22</v>
      </c>
      <c r="C131" s="85">
        <v>107</v>
      </c>
      <c r="D131" s="17"/>
      <c r="E131" s="17"/>
      <c r="F131" s="17"/>
      <c r="G131" s="17"/>
      <c r="H131" s="17"/>
      <c r="I131" s="17"/>
      <c r="J131" s="73"/>
      <c r="K131" s="17"/>
      <c r="L131" s="17">
        <v>0.9</v>
      </c>
      <c r="M131" s="82">
        <v>254</v>
      </c>
      <c r="N131" s="196">
        <v>250</v>
      </c>
      <c r="O131" s="19"/>
      <c r="P131" s="15"/>
      <c r="Q131" s="16"/>
      <c r="R131" s="11"/>
      <c r="S131" s="16"/>
    </row>
    <row r="132" spans="1:19" x14ac:dyDescent="0.2">
      <c r="A132" s="57" t="s">
        <v>709</v>
      </c>
      <c r="B132" s="21">
        <v>22</v>
      </c>
      <c r="C132" s="85">
        <v>9.5</v>
      </c>
      <c r="D132" s="17"/>
      <c r="E132" s="17"/>
      <c r="F132" s="17"/>
      <c r="G132" s="17"/>
      <c r="H132" s="17"/>
      <c r="I132" s="17"/>
      <c r="J132" s="73"/>
      <c r="K132" s="17"/>
      <c r="L132" s="17">
        <v>0</v>
      </c>
      <c r="M132" s="73"/>
      <c r="N132" s="196"/>
      <c r="O132" s="19"/>
      <c r="P132" s="15"/>
      <c r="Q132" s="16"/>
      <c r="R132" s="11"/>
      <c r="S132" s="16"/>
    </row>
    <row r="133" spans="1:19" x14ac:dyDescent="0.2">
      <c r="A133" s="20" t="s">
        <v>507</v>
      </c>
      <c r="B133" s="21">
        <v>22</v>
      </c>
      <c r="C133" s="85">
        <v>40.700000000000003</v>
      </c>
      <c r="D133" s="17"/>
      <c r="E133" s="17"/>
      <c r="F133" s="17"/>
      <c r="G133" s="17"/>
      <c r="H133" s="17"/>
      <c r="I133" s="17"/>
      <c r="J133" s="73"/>
      <c r="K133" s="17"/>
      <c r="L133" s="17">
        <v>0</v>
      </c>
      <c r="M133" s="73"/>
      <c r="N133" s="196"/>
      <c r="O133" s="19"/>
      <c r="P133" s="15"/>
      <c r="Q133" s="16"/>
      <c r="R133" s="11"/>
      <c r="S133" s="16"/>
    </row>
    <row r="134" spans="1:19" x14ac:dyDescent="0.2">
      <c r="A134" s="20" t="s">
        <v>508</v>
      </c>
      <c r="B134" s="21">
        <v>22</v>
      </c>
      <c r="C134" s="85">
        <v>103.9</v>
      </c>
      <c r="D134" s="17"/>
      <c r="E134" s="17"/>
      <c r="F134" s="17"/>
      <c r="G134" s="17"/>
      <c r="H134" s="17"/>
      <c r="I134" s="17"/>
      <c r="J134" s="73"/>
      <c r="K134" s="17"/>
      <c r="L134" s="17">
        <v>0</v>
      </c>
      <c r="M134" s="73"/>
      <c r="N134" s="196"/>
      <c r="O134" s="19">
        <v>1643</v>
      </c>
      <c r="P134" s="15"/>
      <c r="Q134" s="16"/>
      <c r="R134" s="11"/>
      <c r="S134" s="16"/>
    </row>
    <row r="135" spans="1:19" x14ac:dyDescent="0.2">
      <c r="A135" s="57" t="s">
        <v>509</v>
      </c>
      <c r="B135" s="60">
        <v>22</v>
      </c>
      <c r="C135" s="87">
        <v>881.6</v>
      </c>
      <c r="D135" s="53"/>
      <c r="E135" s="53"/>
      <c r="F135" s="53"/>
      <c r="G135" s="53"/>
      <c r="H135" s="53"/>
      <c r="I135" s="53"/>
      <c r="J135" s="82"/>
      <c r="K135" s="53"/>
      <c r="L135" s="53">
        <v>0</v>
      </c>
      <c r="M135" s="82"/>
      <c r="N135" s="198"/>
      <c r="O135" s="54"/>
      <c r="P135" s="30"/>
      <c r="Q135" s="55"/>
      <c r="R135" s="56"/>
      <c r="S135" s="55"/>
    </row>
    <row r="136" spans="1:19" ht="12.75" customHeight="1" x14ac:dyDescent="0.2">
      <c r="A136" s="17" t="s">
        <v>91</v>
      </c>
      <c r="B136" s="13">
        <v>22</v>
      </c>
      <c r="C136" s="86">
        <v>8.9</v>
      </c>
      <c r="D136" s="17"/>
      <c r="E136" s="17"/>
      <c r="F136" s="17"/>
      <c r="G136" s="17"/>
      <c r="H136" s="17"/>
      <c r="I136" s="17"/>
      <c r="J136" s="73">
        <v>27</v>
      </c>
      <c r="K136" s="17">
        <v>17</v>
      </c>
      <c r="L136" s="17">
        <v>1.4</v>
      </c>
      <c r="M136" s="73"/>
      <c r="N136" s="196">
        <v>250</v>
      </c>
      <c r="O136" s="19">
        <v>500</v>
      </c>
      <c r="P136" s="15">
        <v>517</v>
      </c>
      <c r="Q136" s="16"/>
      <c r="R136" s="11"/>
      <c r="S136" s="16"/>
    </row>
    <row r="137" spans="1:19" x14ac:dyDescent="0.2">
      <c r="A137" s="17" t="s">
        <v>92</v>
      </c>
      <c r="B137" s="13">
        <v>22</v>
      </c>
      <c r="C137" s="86">
        <v>18.100000000000001</v>
      </c>
      <c r="D137" s="17"/>
      <c r="E137" s="17"/>
      <c r="F137" s="17"/>
      <c r="G137" s="17"/>
      <c r="H137" s="17"/>
      <c r="I137" s="17"/>
      <c r="J137" s="73"/>
      <c r="K137" s="17">
        <v>20</v>
      </c>
      <c r="L137" s="17">
        <v>2</v>
      </c>
      <c r="M137" s="73">
        <v>273</v>
      </c>
      <c r="N137" s="196">
        <v>250</v>
      </c>
      <c r="O137" s="19">
        <v>1000</v>
      </c>
      <c r="P137" s="15">
        <v>487</v>
      </c>
      <c r="Q137" s="16"/>
      <c r="R137" s="11"/>
      <c r="S137" s="16"/>
    </row>
    <row r="138" spans="1:19" x14ac:dyDescent="0.2">
      <c r="A138" s="17" t="s">
        <v>93</v>
      </c>
      <c r="B138" s="13">
        <v>22</v>
      </c>
      <c r="C138" s="86">
        <v>31.9</v>
      </c>
      <c r="D138" s="17"/>
      <c r="E138" s="17"/>
      <c r="F138" s="17"/>
      <c r="G138" s="17"/>
      <c r="H138" s="17"/>
      <c r="I138" s="17"/>
      <c r="J138" s="73"/>
      <c r="K138" s="17">
        <v>29</v>
      </c>
      <c r="L138" s="17">
        <v>3.8</v>
      </c>
      <c r="M138" s="73">
        <v>355</v>
      </c>
      <c r="N138" s="196">
        <v>250</v>
      </c>
      <c r="O138" s="19"/>
      <c r="P138" s="15">
        <v>343</v>
      </c>
      <c r="Q138" s="16"/>
      <c r="R138" s="11"/>
      <c r="S138" s="16"/>
    </row>
    <row r="139" spans="1:19" x14ac:dyDescent="0.2">
      <c r="A139" s="17" t="s">
        <v>510</v>
      </c>
      <c r="B139" s="13">
        <v>22</v>
      </c>
      <c r="C139" s="86">
        <v>24.3</v>
      </c>
      <c r="D139" s="17"/>
      <c r="E139" s="17"/>
      <c r="F139" s="17"/>
      <c r="G139" s="17"/>
      <c r="H139" s="17"/>
      <c r="I139" s="17"/>
      <c r="J139" s="73"/>
      <c r="K139" s="17"/>
      <c r="L139" s="17">
        <v>0.8</v>
      </c>
      <c r="M139" s="73"/>
      <c r="N139" s="196">
        <v>250</v>
      </c>
      <c r="O139" s="19"/>
      <c r="P139" s="15"/>
      <c r="Q139" s="16"/>
      <c r="R139" s="11"/>
      <c r="S139" s="16"/>
    </row>
    <row r="140" spans="1:19" x14ac:dyDescent="0.2">
      <c r="A140" s="17" t="s">
        <v>494</v>
      </c>
      <c r="B140" s="13">
        <v>22</v>
      </c>
      <c r="C140" s="86">
        <v>8.6999999999999993</v>
      </c>
      <c r="D140" s="17"/>
      <c r="E140" s="17"/>
      <c r="F140" s="17"/>
      <c r="G140" s="17"/>
      <c r="H140" s="17"/>
      <c r="I140" s="17"/>
      <c r="J140" s="73">
        <v>48</v>
      </c>
      <c r="K140" s="17">
        <v>22</v>
      </c>
      <c r="L140" s="17">
        <v>1.4</v>
      </c>
      <c r="M140" s="73">
        <v>267</v>
      </c>
      <c r="N140" s="196">
        <v>250</v>
      </c>
      <c r="O140" s="19"/>
      <c r="P140" s="15">
        <v>718</v>
      </c>
      <c r="Q140" s="16"/>
      <c r="R140" s="11"/>
      <c r="S140" s="16"/>
    </row>
    <row r="141" spans="1:19" x14ac:dyDescent="0.2">
      <c r="A141" s="17" t="s">
        <v>94</v>
      </c>
      <c r="B141" s="13">
        <v>22</v>
      </c>
      <c r="C141" s="86">
        <v>5.0999999999999996</v>
      </c>
      <c r="D141" s="17"/>
      <c r="E141" s="17"/>
      <c r="F141" s="17"/>
      <c r="G141" s="17"/>
      <c r="H141" s="17"/>
      <c r="I141" s="17"/>
      <c r="J141" s="73"/>
      <c r="K141" s="17">
        <v>82</v>
      </c>
      <c r="L141" s="17">
        <v>0</v>
      </c>
      <c r="M141" s="73"/>
      <c r="N141" s="73"/>
      <c r="O141" s="19">
        <v>200</v>
      </c>
      <c r="P141" s="15">
        <v>32</v>
      </c>
      <c r="Q141" s="16"/>
      <c r="R141" s="11"/>
      <c r="S141" s="16"/>
    </row>
    <row r="142" spans="1:19" x14ac:dyDescent="0.2">
      <c r="A142" s="17" t="s">
        <v>96</v>
      </c>
      <c r="B142" s="13">
        <v>22</v>
      </c>
      <c r="C142" s="86">
        <v>6.3</v>
      </c>
      <c r="D142" s="17"/>
      <c r="E142" s="17"/>
      <c r="F142" s="17"/>
      <c r="G142" s="17"/>
      <c r="H142" s="17"/>
      <c r="I142" s="17"/>
      <c r="J142" s="73">
        <v>189</v>
      </c>
      <c r="K142" s="17">
        <v>149.6</v>
      </c>
      <c r="L142" s="17">
        <v>1.3</v>
      </c>
      <c r="M142" s="73"/>
      <c r="N142" s="73">
        <v>250</v>
      </c>
      <c r="O142" s="19"/>
      <c r="P142" s="15">
        <v>903</v>
      </c>
      <c r="Q142" s="16"/>
      <c r="R142" s="11"/>
      <c r="S142" s="16"/>
    </row>
    <row r="143" spans="1:19" x14ac:dyDescent="0.2">
      <c r="A143" s="53" t="s">
        <v>710</v>
      </c>
      <c r="B143" s="13">
        <v>22</v>
      </c>
      <c r="C143" s="86">
        <v>20.7</v>
      </c>
      <c r="D143" s="17"/>
      <c r="E143" s="17"/>
      <c r="F143" s="17"/>
      <c r="G143" s="17"/>
      <c r="H143" s="17"/>
      <c r="I143" s="17"/>
      <c r="J143" s="73"/>
      <c r="K143" s="17">
        <v>14</v>
      </c>
      <c r="L143" s="17">
        <v>1.2</v>
      </c>
      <c r="M143" s="73">
        <v>274</v>
      </c>
      <c r="N143" s="73">
        <v>250</v>
      </c>
      <c r="O143" s="19">
        <v>700</v>
      </c>
      <c r="P143" s="15">
        <v>700</v>
      </c>
      <c r="Q143" s="16"/>
      <c r="R143" s="11"/>
      <c r="S143" s="16"/>
    </row>
    <row r="144" spans="1:19" x14ac:dyDescent="0.2">
      <c r="A144" s="53" t="s">
        <v>711</v>
      </c>
      <c r="B144" s="13">
        <v>22</v>
      </c>
      <c r="C144" s="86">
        <v>34.1</v>
      </c>
      <c r="D144" s="17"/>
      <c r="E144" s="17"/>
      <c r="F144" s="17"/>
      <c r="G144" s="17"/>
      <c r="H144" s="17"/>
      <c r="I144" s="17"/>
      <c r="J144" s="73">
        <v>22</v>
      </c>
      <c r="K144" s="17">
        <v>14</v>
      </c>
      <c r="L144" s="17">
        <v>1.7</v>
      </c>
      <c r="M144" s="73">
        <v>260</v>
      </c>
      <c r="N144" s="73">
        <v>250</v>
      </c>
      <c r="O144" s="19"/>
      <c r="P144" s="15">
        <v>168</v>
      </c>
      <c r="Q144" s="16"/>
      <c r="R144" s="11"/>
      <c r="S144" s="16"/>
    </row>
    <row r="145" spans="1:19" x14ac:dyDescent="0.2">
      <c r="A145" s="17" t="s">
        <v>552</v>
      </c>
      <c r="B145" s="13">
        <v>22</v>
      </c>
      <c r="C145" s="86">
        <v>9.6</v>
      </c>
      <c r="D145" s="17"/>
      <c r="E145" s="17"/>
      <c r="F145" s="17"/>
      <c r="G145" s="17"/>
      <c r="H145" s="17"/>
      <c r="I145" s="17"/>
      <c r="J145" s="73"/>
      <c r="K145" s="17"/>
      <c r="L145" s="17">
        <v>0</v>
      </c>
      <c r="M145" s="73"/>
      <c r="N145" s="73"/>
      <c r="O145" s="19"/>
      <c r="P145" s="15">
        <v>502</v>
      </c>
      <c r="Q145" s="16"/>
      <c r="R145" s="11"/>
      <c r="S145" s="16"/>
    </row>
    <row r="146" spans="1:19" x14ac:dyDescent="0.2">
      <c r="A146" s="17" t="s">
        <v>97</v>
      </c>
      <c r="B146" s="13">
        <v>22</v>
      </c>
      <c r="C146" s="86">
        <v>5.0999999999999996</v>
      </c>
      <c r="D146" s="17"/>
      <c r="E146" s="17"/>
      <c r="F146" s="17"/>
      <c r="G146" s="17"/>
      <c r="H146" s="17"/>
      <c r="I146" s="17"/>
      <c r="J146" s="73">
        <v>103</v>
      </c>
      <c r="K146" s="17">
        <v>33</v>
      </c>
      <c r="L146" s="17">
        <v>1.4</v>
      </c>
      <c r="M146" s="82">
        <v>254</v>
      </c>
      <c r="N146" s="196">
        <v>250</v>
      </c>
      <c r="O146" s="19">
        <v>500</v>
      </c>
      <c r="P146" s="15"/>
      <c r="Q146" s="16"/>
      <c r="R146" s="11"/>
      <c r="S146" s="16"/>
    </row>
    <row r="147" spans="1:19" x14ac:dyDescent="0.2">
      <c r="A147" s="17" t="s">
        <v>98</v>
      </c>
      <c r="B147" s="13">
        <v>21</v>
      </c>
      <c r="C147" s="86">
        <v>7.6</v>
      </c>
      <c r="D147" s="17"/>
      <c r="E147" s="17"/>
      <c r="F147" s="17"/>
      <c r="G147" s="17"/>
      <c r="H147" s="17"/>
      <c r="I147" s="17"/>
      <c r="J147" s="73">
        <v>183</v>
      </c>
      <c r="K147" s="17">
        <v>42</v>
      </c>
      <c r="L147" s="17">
        <v>2.8</v>
      </c>
      <c r="M147" s="73">
        <v>301</v>
      </c>
      <c r="N147" s="196">
        <v>250</v>
      </c>
      <c r="O147" s="19">
        <v>3500</v>
      </c>
      <c r="P147" s="15"/>
      <c r="Q147" s="16"/>
      <c r="R147" s="11"/>
      <c r="S147" s="16"/>
    </row>
    <row r="148" spans="1:19" x14ac:dyDescent="0.2">
      <c r="A148" s="20" t="s">
        <v>99</v>
      </c>
      <c r="B148" s="13">
        <v>22</v>
      </c>
      <c r="C148" s="85">
        <v>9.1999999999999993</v>
      </c>
      <c r="D148" s="17"/>
      <c r="E148" s="17"/>
      <c r="F148" s="17"/>
      <c r="G148" s="17"/>
      <c r="H148" s="17"/>
      <c r="I148" s="17"/>
      <c r="J148" s="73">
        <v>23</v>
      </c>
      <c r="K148" s="17">
        <v>15</v>
      </c>
      <c r="L148" s="17">
        <v>1.3</v>
      </c>
      <c r="M148" s="82">
        <v>257</v>
      </c>
      <c r="N148" s="196">
        <v>250</v>
      </c>
      <c r="O148" s="19"/>
      <c r="P148" s="15">
        <v>220</v>
      </c>
      <c r="Q148" s="16"/>
      <c r="R148" s="11"/>
      <c r="S148" s="16"/>
    </row>
    <row r="149" spans="1:19" x14ac:dyDescent="0.2">
      <c r="A149" s="20" t="s">
        <v>100</v>
      </c>
      <c r="B149" s="21">
        <v>22</v>
      </c>
      <c r="C149" s="85">
        <v>4.8</v>
      </c>
      <c r="D149" s="17"/>
      <c r="E149" s="17"/>
      <c r="F149" s="17"/>
      <c r="G149" s="17"/>
      <c r="H149" s="17"/>
      <c r="I149" s="17"/>
      <c r="J149" s="73"/>
      <c r="K149" s="17">
        <v>77</v>
      </c>
      <c r="L149" s="17">
        <v>3.7</v>
      </c>
      <c r="M149" s="73">
        <v>337</v>
      </c>
      <c r="N149" s="196">
        <v>250</v>
      </c>
      <c r="O149" s="19">
        <v>1000</v>
      </c>
      <c r="P149" s="15">
        <v>1214</v>
      </c>
      <c r="Q149" s="16"/>
      <c r="R149" s="11"/>
      <c r="S149" s="16"/>
    </row>
    <row r="150" spans="1:19" x14ac:dyDescent="0.2">
      <c r="A150" s="20" t="s">
        <v>101</v>
      </c>
      <c r="B150" s="13">
        <v>22</v>
      </c>
      <c r="C150" s="85">
        <v>5.3</v>
      </c>
      <c r="D150" s="17"/>
      <c r="E150" s="17"/>
      <c r="F150" s="17"/>
      <c r="G150" s="17"/>
      <c r="H150" s="17"/>
      <c r="I150" s="17"/>
      <c r="J150" s="73"/>
      <c r="K150" s="17">
        <v>22</v>
      </c>
      <c r="L150" s="17">
        <v>3</v>
      </c>
      <c r="M150" s="73">
        <v>352</v>
      </c>
      <c r="N150" s="196">
        <v>250</v>
      </c>
      <c r="O150" s="19"/>
      <c r="P150" s="15">
        <v>3081</v>
      </c>
      <c r="Q150" s="16"/>
      <c r="R150" s="11"/>
      <c r="S150" s="16"/>
    </row>
    <row r="151" spans="1:19" x14ac:dyDescent="0.2">
      <c r="A151" s="20" t="s">
        <v>102</v>
      </c>
      <c r="B151" s="21">
        <v>22</v>
      </c>
      <c r="C151" s="85">
        <v>21.6</v>
      </c>
      <c r="D151" s="17"/>
      <c r="E151" s="17"/>
      <c r="F151" s="17"/>
      <c r="G151" s="17"/>
      <c r="H151" s="17"/>
      <c r="I151" s="17"/>
      <c r="J151" s="73">
        <v>95</v>
      </c>
      <c r="K151" s="17">
        <v>42</v>
      </c>
      <c r="L151" s="17">
        <v>1.2</v>
      </c>
      <c r="M151" s="73"/>
      <c r="N151" s="196">
        <v>250</v>
      </c>
      <c r="O151" s="19"/>
      <c r="P151" s="15"/>
      <c r="Q151" s="16"/>
      <c r="R151" s="11"/>
      <c r="S151" s="16"/>
    </row>
    <row r="152" spans="1:19" x14ac:dyDescent="0.2">
      <c r="A152" s="17" t="s">
        <v>103</v>
      </c>
      <c r="B152" s="13">
        <v>22</v>
      </c>
      <c r="C152" s="86">
        <v>6.3</v>
      </c>
      <c r="D152" s="17"/>
      <c r="E152" s="17"/>
      <c r="F152" s="17"/>
      <c r="G152" s="17"/>
      <c r="H152" s="17"/>
      <c r="I152" s="17"/>
      <c r="J152" s="73">
        <v>30</v>
      </c>
      <c r="K152" s="17">
        <v>13</v>
      </c>
      <c r="L152" s="17">
        <v>0.9</v>
      </c>
      <c r="M152" s="73">
        <v>268</v>
      </c>
      <c r="N152" s="196">
        <v>250</v>
      </c>
      <c r="O152" s="19">
        <v>400</v>
      </c>
      <c r="P152" s="15">
        <v>798</v>
      </c>
      <c r="Q152" s="16"/>
      <c r="R152" s="11"/>
      <c r="S152" s="16"/>
    </row>
    <row r="153" spans="1:19" x14ac:dyDescent="0.2">
      <c r="A153" s="17" t="s">
        <v>104</v>
      </c>
      <c r="B153" s="13">
        <v>22</v>
      </c>
      <c r="C153" s="86">
        <v>7.5</v>
      </c>
      <c r="D153" s="17"/>
      <c r="E153" s="17"/>
      <c r="F153" s="17"/>
      <c r="G153" s="17"/>
      <c r="H153" s="17"/>
      <c r="I153" s="17"/>
      <c r="J153" s="73"/>
      <c r="K153" s="17">
        <v>32</v>
      </c>
      <c r="L153" s="17">
        <v>1</v>
      </c>
      <c r="M153" s="73">
        <v>285</v>
      </c>
      <c r="N153" s="196">
        <v>250</v>
      </c>
      <c r="O153" s="19">
        <v>1000</v>
      </c>
      <c r="P153" s="15">
        <v>669</v>
      </c>
      <c r="Q153" s="16"/>
      <c r="R153" s="11"/>
      <c r="S153" s="16"/>
    </row>
    <row r="154" spans="1:19" x14ac:dyDescent="0.2">
      <c r="A154" s="17" t="s">
        <v>105</v>
      </c>
      <c r="B154" s="13">
        <v>22</v>
      </c>
      <c r="C154" s="86">
        <v>16.2</v>
      </c>
      <c r="D154" s="17"/>
      <c r="E154" s="17"/>
      <c r="F154" s="17"/>
      <c r="G154" s="17"/>
      <c r="H154" s="17"/>
      <c r="I154" s="17"/>
      <c r="J154" s="73"/>
      <c r="K154" s="17">
        <v>56</v>
      </c>
      <c r="L154" s="17">
        <v>2.5</v>
      </c>
      <c r="M154" s="73"/>
      <c r="N154" s="196">
        <v>250</v>
      </c>
      <c r="O154" s="19"/>
      <c r="P154" s="15">
        <v>592</v>
      </c>
      <c r="Q154" s="16"/>
      <c r="R154" s="11"/>
      <c r="S154" s="16"/>
    </row>
    <row r="155" spans="1:19" x14ac:dyDescent="0.2">
      <c r="A155" s="17" t="s">
        <v>511</v>
      </c>
      <c r="B155" s="13">
        <v>22</v>
      </c>
      <c r="C155" s="86">
        <v>29.8</v>
      </c>
      <c r="D155" s="17"/>
      <c r="E155" s="17"/>
      <c r="F155" s="17"/>
      <c r="G155" s="17"/>
      <c r="H155" s="17"/>
      <c r="I155" s="17"/>
      <c r="J155" s="73">
        <v>234</v>
      </c>
      <c r="K155" s="17">
        <v>71</v>
      </c>
      <c r="L155" s="17">
        <v>5.0999999999999996</v>
      </c>
      <c r="M155" s="73">
        <v>265</v>
      </c>
      <c r="N155" s="196">
        <v>250</v>
      </c>
      <c r="O155" s="19"/>
      <c r="P155" s="15">
        <v>540</v>
      </c>
      <c r="Q155" s="16"/>
      <c r="R155" s="11"/>
      <c r="S155" s="16"/>
    </row>
    <row r="156" spans="1:19" x14ac:dyDescent="0.2">
      <c r="A156" s="17" t="s">
        <v>512</v>
      </c>
      <c r="B156" s="13">
        <v>22</v>
      </c>
      <c r="C156" s="86">
        <v>76.599999999999994</v>
      </c>
      <c r="D156" s="17"/>
      <c r="E156" s="17"/>
      <c r="F156" s="17"/>
      <c r="G156" s="17"/>
      <c r="H156" s="17"/>
      <c r="I156" s="17"/>
      <c r="J156" s="73">
        <v>143</v>
      </c>
      <c r="K156" s="17">
        <v>84</v>
      </c>
      <c r="L156" s="17">
        <v>1.1000000000000001</v>
      </c>
      <c r="M156" s="197">
        <v>245</v>
      </c>
      <c r="N156" s="196">
        <v>250</v>
      </c>
      <c r="O156" s="19"/>
      <c r="P156" s="15">
        <v>466</v>
      </c>
      <c r="Q156" s="16"/>
      <c r="R156" s="11"/>
      <c r="S156" s="16"/>
    </row>
    <row r="157" spans="1:19" x14ac:dyDescent="0.2">
      <c r="A157" s="17" t="s">
        <v>106</v>
      </c>
      <c r="B157" s="11">
        <v>21</v>
      </c>
      <c r="C157" s="86">
        <v>103</v>
      </c>
      <c r="D157" s="17">
        <v>14640</v>
      </c>
      <c r="E157" s="17">
        <v>100</v>
      </c>
      <c r="F157" s="17">
        <v>14640</v>
      </c>
      <c r="G157" s="17">
        <v>100</v>
      </c>
      <c r="H157" s="17"/>
      <c r="I157" s="17"/>
      <c r="J157" s="73">
        <v>126</v>
      </c>
      <c r="K157" s="17">
        <v>23</v>
      </c>
      <c r="L157" s="17">
        <v>2.1</v>
      </c>
      <c r="M157" s="73">
        <v>281</v>
      </c>
      <c r="N157" s="196">
        <v>250</v>
      </c>
      <c r="O157" s="19"/>
      <c r="P157" s="15"/>
      <c r="Q157" s="16"/>
      <c r="R157" s="11"/>
      <c r="S157" s="16"/>
    </row>
    <row r="158" spans="1:19" x14ac:dyDescent="0.2">
      <c r="A158" s="17" t="s">
        <v>513</v>
      </c>
      <c r="B158" s="11">
        <v>22</v>
      </c>
      <c r="C158" s="86">
        <v>12.5</v>
      </c>
      <c r="D158" s="17"/>
      <c r="E158" s="17"/>
      <c r="F158" s="17"/>
      <c r="G158" s="17"/>
      <c r="H158" s="17"/>
      <c r="I158" s="17"/>
      <c r="J158" s="73"/>
      <c r="K158" s="17">
        <v>42</v>
      </c>
      <c r="L158" s="17">
        <v>0.9</v>
      </c>
      <c r="M158" s="73">
        <v>342</v>
      </c>
      <c r="N158" s="196">
        <v>250</v>
      </c>
      <c r="O158" s="19">
        <v>1000</v>
      </c>
      <c r="P158" s="15"/>
      <c r="Q158" s="16"/>
      <c r="R158" s="11"/>
      <c r="S158" s="16"/>
    </row>
    <row r="159" spans="1:19" x14ac:dyDescent="0.2">
      <c r="A159" s="17" t="s">
        <v>514</v>
      </c>
      <c r="B159" s="11">
        <v>21</v>
      </c>
      <c r="C159" s="86">
        <v>16</v>
      </c>
      <c r="D159" s="17"/>
      <c r="E159" s="17"/>
      <c r="F159" s="17"/>
      <c r="G159" s="17"/>
      <c r="H159" s="17"/>
      <c r="I159" s="17"/>
      <c r="J159" s="73"/>
      <c r="K159" s="17">
        <v>18</v>
      </c>
      <c r="L159" s="17">
        <v>1.4</v>
      </c>
      <c r="M159" s="73">
        <v>270</v>
      </c>
      <c r="N159" s="196">
        <v>250</v>
      </c>
      <c r="O159" s="19">
        <v>200</v>
      </c>
      <c r="P159" s="15"/>
      <c r="Q159" s="16"/>
      <c r="R159" s="11"/>
      <c r="S159" s="16"/>
    </row>
    <row r="160" spans="1:19" x14ac:dyDescent="0.2">
      <c r="A160" s="17" t="s">
        <v>107</v>
      </c>
      <c r="B160" s="13">
        <v>22</v>
      </c>
      <c r="C160" s="86">
        <v>35.299999999999997</v>
      </c>
      <c r="D160" s="17"/>
      <c r="E160" s="17"/>
      <c r="F160" s="17"/>
      <c r="G160" s="17"/>
      <c r="H160" s="17"/>
      <c r="I160" s="17"/>
      <c r="J160" s="73">
        <v>31</v>
      </c>
      <c r="K160" s="17">
        <v>17</v>
      </c>
      <c r="L160" s="17">
        <v>2.5</v>
      </c>
      <c r="M160" s="82">
        <v>253</v>
      </c>
      <c r="N160" s="196">
        <v>250</v>
      </c>
      <c r="O160" s="19"/>
      <c r="P160" s="15">
        <v>214</v>
      </c>
      <c r="Q160" s="16"/>
      <c r="R160" s="11"/>
      <c r="S160" s="16"/>
    </row>
    <row r="161" spans="1:21" x14ac:dyDescent="0.2">
      <c r="A161" s="20" t="s">
        <v>108</v>
      </c>
      <c r="B161" s="13">
        <v>22</v>
      </c>
      <c r="C161" s="85">
        <v>38.1</v>
      </c>
      <c r="D161" s="17"/>
      <c r="E161" s="17"/>
      <c r="F161" s="17"/>
      <c r="G161" s="17"/>
      <c r="H161" s="17"/>
      <c r="I161" s="17"/>
      <c r="J161" s="73">
        <v>24</v>
      </c>
      <c r="K161" s="17">
        <v>14</v>
      </c>
      <c r="L161" s="17">
        <v>1</v>
      </c>
      <c r="M161" s="82">
        <v>256</v>
      </c>
      <c r="N161" s="196">
        <v>250</v>
      </c>
      <c r="O161" s="19"/>
      <c r="P161" s="15">
        <v>585</v>
      </c>
      <c r="Q161" s="16"/>
      <c r="R161" s="11"/>
      <c r="S161" s="16"/>
    </row>
    <row r="162" spans="1:21" x14ac:dyDescent="0.2">
      <c r="A162" s="20" t="s">
        <v>515</v>
      </c>
      <c r="B162" s="13">
        <v>22</v>
      </c>
      <c r="C162" s="85">
        <v>9.1999999999999993</v>
      </c>
      <c r="D162" s="17"/>
      <c r="E162" s="17"/>
      <c r="F162" s="17"/>
      <c r="G162" s="17"/>
      <c r="H162" s="17"/>
      <c r="I162" s="17"/>
      <c r="J162" s="73"/>
      <c r="K162" s="17"/>
      <c r="L162" s="17">
        <v>0</v>
      </c>
      <c r="M162" s="73"/>
      <c r="N162" s="73"/>
      <c r="O162" s="19"/>
      <c r="P162" s="15">
        <v>60</v>
      </c>
      <c r="Q162" s="16"/>
      <c r="R162" s="11"/>
      <c r="S162" s="16"/>
    </row>
    <row r="163" spans="1:21" x14ac:dyDescent="0.2">
      <c r="A163" s="17" t="s">
        <v>109</v>
      </c>
      <c r="B163" s="13">
        <v>21</v>
      </c>
      <c r="C163" s="86">
        <v>5.0999999999999996</v>
      </c>
      <c r="D163" s="17"/>
      <c r="E163" s="17"/>
      <c r="F163" s="17"/>
      <c r="G163" s="17"/>
      <c r="H163" s="17"/>
      <c r="I163" s="17"/>
      <c r="J163" s="73"/>
      <c r="K163" s="17">
        <v>56</v>
      </c>
      <c r="L163" s="17">
        <v>2.5</v>
      </c>
      <c r="M163" s="73">
        <v>325</v>
      </c>
      <c r="N163" s="196">
        <v>250</v>
      </c>
      <c r="O163" s="19">
        <v>1000</v>
      </c>
      <c r="P163" s="15"/>
      <c r="Q163" s="16"/>
      <c r="R163" s="11"/>
      <c r="S163" s="16"/>
    </row>
    <row r="164" spans="1:21" x14ac:dyDescent="0.2">
      <c r="A164" s="17" t="s">
        <v>487</v>
      </c>
      <c r="B164" s="13">
        <v>22</v>
      </c>
      <c r="C164" s="86">
        <v>7.1</v>
      </c>
      <c r="D164" s="17"/>
      <c r="E164" s="17"/>
      <c r="F164" s="17"/>
      <c r="G164" s="17"/>
      <c r="H164" s="17"/>
      <c r="I164" s="17"/>
      <c r="J164" s="73"/>
      <c r="K164" s="17">
        <v>24</v>
      </c>
      <c r="L164" s="17">
        <v>0.8</v>
      </c>
      <c r="M164" s="73">
        <v>285</v>
      </c>
      <c r="N164" s="196">
        <v>250</v>
      </c>
      <c r="O164" s="19">
        <v>100</v>
      </c>
      <c r="P164" s="15"/>
      <c r="Q164" s="16"/>
      <c r="R164" s="11"/>
      <c r="S164" s="16"/>
    </row>
    <row r="165" spans="1:21" x14ac:dyDescent="0.2">
      <c r="A165" s="17" t="s">
        <v>516</v>
      </c>
      <c r="B165" s="13">
        <v>22</v>
      </c>
      <c r="C165" s="86">
        <v>29</v>
      </c>
      <c r="D165" s="17"/>
      <c r="E165" s="17"/>
      <c r="F165" s="17"/>
      <c r="G165" s="17"/>
      <c r="H165" s="17"/>
      <c r="I165" s="17"/>
      <c r="J165" s="73"/>
      <c r="K165" s="17">
        <v>23</v>
      </c>
      <c r="L165" s="17">
        <v>2</v>
      </c>
      <c r="M165" s="73">
        <v>267</v>
      </c>
      <c r="N165" s="196">
        <v>250</v>
      </c>
      <c r="O165" s="19">
        <v>200</v>
      </c>
      <c r="P165" s="15"/>
      <c r="Q165" s="16"/>
      <c r="R165" s="11"/>
      <c r="S165" s="16"/>
    </row>
    <row r="166" spans="1:21" x14ac:dyDescent="0.2">
      <c r="A166" s="20" t="s">
        <v>110</v>
      </c>
      <c r="B166" s="21">
        <v>21</v>
      </c>
      <c r="C166" s="85">
        <v>16.899999999999999</v>
      </c>
      <c r="D166" s="17"/>
      <c r="E166" s="17"/>
      <c r="F166" s="17"/>
      <c r="G166" s="17"/>
      <c r="H166" s="17"/>
      <c r="I166" s="17"/>
      <c r="J166" s="73"/>
      <c r="K166" s="17">
        <v>54</v>
      </c>
      <c r="L166" s="17">
        <v>1.3</v>
      </c>
      <c r="M166" s="73"/>
      <c r="N166" s="196"/>
      <c r="O166" s="19"/>
      <c r="P166" s="15"/>
      <c r="Q166" s="16"/>
      <c r="R166" s="11"/>
      <c r="S166" s="16"/>
    </row>
    <row r="167" spans="1:21" x14ac:dyDescent="0.2">
      <c r="A167" s="20" t="s">
        <v>517</v>
      </c>
      <c r="B167" s="21">
        <v>22</v>
      </c>
      <c r="C167" s="85">
        <v>4.8</v>
      </c>
      <c r="D167" s="17"/>
      <c r="E167" s="17"/>
      <c r="F167" s="17"/>
      <c r="G167" s="17"/>
      <c r="H167" s="17"/>
      <c r="I167" s="17"/>
      <c r="J167" s="73"/>
      <c r="K167" s="17"/>
      <c r="L167" s="17">
        <v>1.9</v>
      </c>
      <c r="M167" s="73">
        <v>304</v>
      </c>
      <c r="N167" s="196">
        <v>250</v>
      </c>
      <c r="O167" s="19"/>
      <c r="P167" s="15">
        <v>162</v>
      </c>
      <c r="Q167" s="16"/>
      <c r="R167" s="11"/>
      <c r="S167" s="16"/>
    </row>
    <row r="168" spans="1:21" x14ac:dyDescent="0.2">
      <c r="A168" s="17" t="s">
        <v>111</v>
      </c>
      <c r="B168" s="13">
        <v>22</v>
      </c>
      <c r="C168" s="86">
        <v>48.7</v>
      </c>
      <c r="D168" s="17">
        <v>5032</v>
      </c>
      <c r="E168" s="17">
        <v>100</v>
      </c>
      <c r="F168" s="17">
        <v>5032</v>
      </c>
      <c r="G168" s="17">
        <v>100</v>
      </c>
      <c r="H168" s="17"/>
      <c r="I168" s="17"/>
      <c r="J168" s="73"/>
      <c r="K168" s="17">
        <v>0</v>
      </c>
      <c r="L168" s="17">
        <v>0</v>
      </c>
      <c r="M168" s="73"/>
      <c r="N168" s="73"/>
      <c r="O168" s="19"/>
      <c r="P168" s="15">
        <v>111</v>
      </c>
      <c r="Q168" s="16"/>
      <c r="R168" s="11"/>
      <c r="S168" s="16"/>
      <c r="U168" t="s">
        <v>420</v>
      </c>
    </row>
    <row r="169" spans="1:21" x14ac:dyDescent="0.2">
      <c r="A169" s="20" t="s">
        <v>112</v>
      </c>
      <c r="B169" s="13">
        <v>22</v>
      </c>
      <c r="C169" s="85">
        <v>48.9</v>
      </c>
      <c r="D169" s="17"/>
      <c r="E169" s="17"/>
      <c r="F169" s="17"/>
      <c r="G169" s="17"/>
      <c r="H169" s="17"/>
      <c r="I169" s="17"/>
      <c r="J169" s="73">
        <v>97</v>
      </c>
      <c r="K169" s="17">
        <v>84</v>
      </c>
      <c r="L169" s="17">
        <v>1.2</v>
      </c>
      <c r="M169" s="82">
        <v>259</v>
      </c>
      <c r="N169" s="73">
        <v>250</v>
      </c>
      <c r="O169" s="19"/>
      <c r="P169" s="15">
        <v>200</v>
      </c>
      <c r="Q169" s="16"/>
      <c r="R169" s="11"/>
      <c r="S169" s="16"/>
    </row>
    <row r="170" spans="1:21" x14ac:dyDescent="0.2">
      <c r="A170" s="20" t="s">
        <v>733</v>
      </c>
      <c r="B170" s="13">
        <v>22</v>
      </c>
      <c r="C170" s="85"/>
      <c r="D170" s="17"/>
      <c r="E170" s="17"/>
      <c r="F170" s="17"/>
      <c r="G170" s="17"/>
      <c r="H170" s="17"/>
      <c r="I170" s="17"/>
      <c r="J170" s="73"/>
      <c r="K170" s="17"/>
      <c r="L170" s="17"/>
      <c r="M170" s="73"/>
      <c r="N170" s="73"/>
      <c r="O170" s="19"/>
      <c r="P170" s="15">
        <v>97</v>
      </c>
      <c r="Q170" s="16"/>
      <c r="R170" s="11"/>
      <c r="S170" s="16"/>
    </row>
    <row r="171" spans="1:21" x14ac:dyDescent="0.2">
      <c r="A171" s="20" t="s">
        <v>113</v>
      </c>
      <c r="B171" s="21">
        <v>21</v>
      </c>
      <c r="C171" s="85">
        <v>8</v>
      </c>
      <c r="D171" s="17"/>
      <c r="E171" s="17"/>
      <c r="F171" s="17"/>
      <c r="G171" s="17"/>
      <c r="H171" s="17"/>
      <c r="I171" s="17"/>
      <c r="J171" s="73">
        <v>123</v>
      </c>
      <c r="K171" s="17">
        <v>36</v>
      </c>
      <c r="L171" s="17">
        <v>4</v>
      </c>
      <c r="M171" s="73">
        <v>345</v>
      </c>
      <c r="N171" s="196">
        <v>250</v>
      </c>
      <c r="O171" s="19">
        <v>900</v>
      </c>
      <c r="P171" s="15"/>
      <c r="Q171" s="16"/>
      <c r="R171" s="11"/>
      <c r="S171" s="16"/>
    </row>
    <row r="172" spans="1:21" x14ac:dyDescent="0.2">
      <c r="A172" s="20" t="s">
        <v>114</v>
      </c>
      <c r="B172" s="21">
        <v>22</v>
      </c>
      <c r="C172" s="85">
        <v>8</v>
      </c>
      <c r="D172" s="17"/>
      <c r="E172" s="17"/>
      <c r="F172" s="17"/>
      <c r="G172" s="17"/>
      <c r="H172" s="17"/>
      <c r="I172" s="17"/>
      <c r="J172" s="73"/>
      <c r="K172" s="17">
        <v>44</v>
      </c>
      <c r="L172" s="17">
        <v>2.2000000000000002</v>
      </c>
      <c r="M172" s="73"/>
      <c r="N172" s="196"/>
      <c r="O172" s="19"/>
      <c r="P172" s="15"/>
      <c r="Q172" s="16"/>
      <c r="R172" s="11"/>
      <c r="S172" s="16"/>
    </row>
    <row r="173" spans="1:21" x14ac:dyDescent="0.2">
      <c r="A173" s="20" t="s">
        <v>115</v>
      </c>
      <c r="B173" s="21">
        <v>21</v>
      </c>
      <c r="C173" s="85">
        <v>8</v>
      </c>
      <c r="D173" s="17"/>
      <c r="E173" s="17"/>
      <c r="F173" s="17"/>
      <c r="G173" s="17"/>
      <c r="H173" s="17"/>
      <c r="I173" s="17"/>
      <c r="J173" s="73"/>
      <c r="K173" s="17">
        <v>76</v>
      </c>
      <c r="L173" s="17">
        <v>3</v>
      </c>
      <c r="M173" s="73"/>
      <c r="N173" s="196"/>
      <c r="O173" s="19"/>
      <c r="P173" s="15"/>
      <c r="Q173" s="16"/>
      <c r="R173" s="11"/>
      <c r="S173" s="16"/>
    </row>
    <row r="174" spans="1:21" x14ac:dyDescent="0.2">
      <c r="A174" s="20" t="s">
        <v>116</v>
      </c>
      <c r="B174" s="13">
        <v>22</v>
      </c>
      <c r="C174" s="89">
        <v>9.1999999999999993</v>
      </c>
      <c r="D174" s="17"/>
      <c r="E174" s="17"/>
      <c r="F174" s="17"/>
      <c r="G174" s="17"/>
      <c r="H174" s="17"/>
      <c r="I174" s="17"/>
      <c r="J174" s="73"/>
      <c r="K174" s="17">
        <v>0</v>
      </c>
      <c r="L174" s="17">
        <v>0</v>
      </c>
      <c r="M174" s="73"/>
      <c r="N174" s="73"/>
      <c r="O174" s="19"/>
      <c r="P174" s="15">
        <v>387</v>
      </c>
      <c r="Q174" s="16"/>
      <c r="R174" s="11"/>
      <c r="S174" s="16"/>
    </row>
    <row r="175" spans="1:21" x14ac:dyDescent="0.2">
      <c r="A175" s="20" t="s">
        <v>117</v>
      </c>
      <c r="B175" s="21">
        <v>22</v>
      </c>
      <c r="C175" s="85">
        <v>4.5</v>
      </c>
      <c r="D175" s="17"/>
      <c r="E175" s="17"/>
      <c r="F175" s="17"/>
      <c r="G175" s="17"/>
      <c r="H175" s="17"/>
      <c r="I175" s="17"/>
      <c r="J175" s="73">
        <v>152</v>
      </c>
      <c r="K175" s="17">
        <v>128</v>
      </c>
      <c r="L175" s="17">
        <v>1</v>
      </c>
      <c r="M175" s="82">
        <v>259</v>
      </c>
      <c r="N175" s="196">
        <v>250</v>
      </c>
      <c r="O175" s="19"/>
      <c r="P175" s="15">
        <v>500</v>
      </c>
      <c r="Q175" s="16"/>
      <c r="R175" s="11"/>
      <c r="S175" s="16"/>
    </row>
    <row r="176" spans="1:21" x14ac:dyDescent="0.2">
      <c r="A176" s="20" t="s">
        <v>118</v>
      </c>
      <c r="B176" s="21">
        <v>22</v>
      </c>
      <c r="C176" s="85">
        <v>5</v>
      </c>
      <c r="D176" s="17"/>
      <c r="E176" s="17"/>
      <c r="F176" s="17"/>
      <c r="G176" s="17"/>
      <c r="H176" s="17"/>
      <c r="I176" s="17"/>
      <c r="J176" s="73">
        <v>30</v>
      </c>
      <c r="K176" s="17">
        <v>19</v>
      </c>
      <c r="L176" s="17">
        <v>1</v>
      </c>
      <c r="M176" s="73">
        <v>263</v>
      </c>
      <c r="N176" s="196">
        <v>250</v>
      </c>
      <c r="O176" s="19"/>
      <c r="P176" s="15">
        <v>551</v>
      </c>
      <c r="Q176" s="16"/>
      <c r="R176" s="11"/>
      <c r="S176" s="16"/>
    </row>
    <row r="177" spans="1:19" x14ac:dyDescent="0.2">
      <c r="A177" s="17" t="s">
        <v>119</v>
      </c>
      <c r="B177" s="13">
        <v>22</v>
      </c>
      <c r="C177" s="86">
        <v>50.1</v>
      </c>
      <c r="D177" s="17"/>
      <c r="E177" s="17"/>
      <c r="F177" s="17"/>
      <c r="G177" s="17"/>
      <c r="H177" s="17"/>
      <c r="I177" s="17"/>
      <c r="J177" s="73"/>
      <c r="K177" s="17">
        <v>20</v>
      </c>
      <c r="L177" s="17">
        <v>0.8</v>
      </c>
      <c r="M177" s="73">
        <v>347</v>
      </c>
      <c r="N177" s="196">
        <v>250</v>
      </c>
      <c r="O177" s="19">
        <v>500</v>
      </c>
      <c r="P177" s="15">
        <v>623</v>
      </c>
      <c r="Q177" s="16"/>
      <c r="R177" s="11"/>
      <c r="S177" s="16"/>
    </row>
    <row r="178" spans="1:19" x14ac:dyDescent="0.2">
      <c r="A178" s="17" t="s">
        <v>120</v>
      </c>
      <c r="B178" s="13">
        <v>22</v>
      </c>
      <c r="C178" s="86">
        <v>170.7</v>
      </c>
      <c r="D178" s="17"/>
      <c r="E178" s="17"/>
      <c r="F178" s="17"/>
      <c r="G178" s="17"/>
      <c r="H178" s="17"/>
      <c r="I178" s="17"/>
      <c r="J178" s="73"/>
      <c r="K178" s="17">
        <v>0</v>
      </c>
      <c r="L178" s="17">
        <v>0</v>
      </c>
      <c r="M178" s="73"/>
      <c r="N178" s="73"/>
      <c r="O178" s="19"/>
      <c r="P178" s="15">
        <v>174</v>
      </c>
      <c r="Q178" s="16"/>
      <c r="R178" s="11"/>
      <c r="S178" s="16"/>
    </row>
    <row r="179" spans="1:19" x14ac:dyDescent="0.2">
      <c r="A179" s="17" t="s">
        <v>121</v>
      </c>
      <c r="B179" s="13">
        <v>22</v>
      </c>
      <c r="C179" s="86">
        <v>200.3</v>
      </c>
      <c r="D179" s="17"/>
      <c r="E179" s="17"/>
      <c r="F179" s="17"/>
      <c r="G179" s="17"/>
      <c r="H179" s="17"/>
      <c r="I179" s="17"/>
      <c r="J179" s="73"/>
      <c r="K179" s="17">
        <v>0</v>
      </c>
      <c r="L179" s="17">
        <v>0</v>
      </c>
      <c r="M179" s="73"/>
      <c r="N179" s="73"/>
      <c r="O179" s="19"/>
      <c r="P179" s="15">
        <v>374</v>
      </c>
      <c r="Q179" s="16"/>
      <c r="R179" s="11"/>
      <c r="S179" s="16"/>
    </row>
    <row r="180" spans="1:19" x14ac:dyDescent="0.2">
      <c r="A180" s="17" t="s">
        <v>122</v>
      </c>
      <c r="B180" s="13">
        <v>22</v>
      </c>
      <c r="C180" s="86">
        <v>304.60000000000002</v>
      </c>
      <c r="D180" s="17"/>
      <c r="E180" s="17"/>
      <c r="F180" s="17"/>
      <c r="G180" s="17"/>
      <c r="H180" s="17"/>
      <c r="I180" s="17"/>
      <c r="J180" s="73"/>
      <c r="K180" s="17">
        <v>0</v>
      </c>
      <c r="L180" s="17">
        <v>0</v>
      </c>
      <c r="M180" s="73"/>
      <c r="N180" s="73"/>
      <c r="O180" s="19"/>
      <c r="P180" s="15">
        <v>71</v>
      </c>
      <c r="Q180" s="16"/>
      <c r="R180" s="11"/>
      <c r="S180" s="16"/>
    </row>
    <row r="181" spans="1:19" x14ac:dyDescent="0.2">
      <c r="A181" s="17" t="s">
        <v>519</v>
      </c>
      <c r="B181" s="13">
        <v>22</v>
      </c>
      <c r="C181" s="86">
        <v>68.5</v>
      </c>
      <c r="D181" s="17"/>
      <c r="E181" s="17"/>
      <c r="F181" s="17"/>
      <c r="G181" s="17"/>
      <c r="H181" s="17"/>
      <c r="I181" s="17"/>
      <c r="J181" s="73"/>
      <c r="K181" s="17"/>
      <c r="L181" s="17">
        <v>0</v>
      </c>
      <c r="M181" s="73"/>
      <c r="N181" s="73"/>
      <c r="O181" s="19"/>
      <c r="P181" s="15"/>
      <c r="Q181" s="16"/>
      <c r="R181" s="11"/>
      <c r="S181" s="16"/>
    </row>
    <row r="182" spans="1:19" x14ac:dyDescent="0.2">
      <c r="A182" s="17" t="s">
        <v>123</v>
      </c>
      <c r="B182" s="26">
        <v>22</v>
      </c>
      <c r="C182" s="194">
        <v>9</v>
      </c>
      <c r="D182" s="28">
        <v>3855</v>
      </c>
      <c r="E182" s="17" t="s">
        <v>124</v>
      </c>
      <c r="F182" s="17" t="s">
        <v>95</v>
      </c>
      <c r="G182" s="29" t="s">
        <v>125</v>
      </c>
      <c r="H182" s="17">
        <v>500</v>
      </c>
      <c r="I182" s="17" t="s">
        <v>86</v>
      </c>
      <c r="J182" s="73">
        <v>198</v>
      </c>
      <c r="K182" s="17">
        <v>146</v>
      </c>
      <c r="L182" s="17">
        <v>1.3</v>
      </c>
      <c r="M182" s="73">
        <v>286</v>
      </c>
      <c r="N182" s="196">
        <v>250</v>
      </c>
      <c r="O182" s="19"/>
      <c r="P182" s="15"/>
      <c r="Q182" s="16"/>
      <c r="R182" s="11"/>
      <c r="S182" s="16"/>
    </row>
    <row r="183" spans="1:19" x14ac:dyDescent="0.2">
      <c r="A183" s="17" t="s">
        <v>126</v>
      </c>
      <c r="B183" s="13">
        <v>22</v>
      </c>
      <c r="C183" s="194">
        <v>3.7</v>
      </c>
      <c r="D183" s="28">
        <v>2650</v>
      </c>
      <c r="E183" s="17" t="s">
        <v>127</v>
      </c>
      <c r="F183" s="17" t="s">
        <v>95</v>
      </c>
      <c r="G183" s="29" t="s">
        <v>128</v>
      </c>
      <c r="H183" s="17">
        <v>1200</v>
      </c>
      <c r="I183" s="17" t="s">
        <v>86</v>
      </c>
      <c r="J183" s="73">
        <v>24</v>
      </c>
      <c r="K183" s="17">
        <v>19.399999999999999</v>
      </c>
      <c r="L183" s="17">
        <v>1</v>
      </c>
      <c r="M183" s="82">
        <v>254</v>
      </c>
      <c r="N183" s="196">
        <v>250</v>
      </c>
      <c r="O183" s="19"/>
      <c r="P183" s="15">
        <v>1778</v>
      </c>
      <c r="Q183" s="16"/>
      <c r="R183" s="11"/>
      <c r="S183" s="16"/>
    </row>
    <row r="184" spans="1:19" x14ac:dyDescent="0.2">
      <c r="A184" s="17" t="s">
        <v>129</v>
      </c>
      <c r="B184" s="13">
        <v>22</v>
      </c>
      <c r="C184" s="86">
        <v>192.8</v>
      </c>
      <c r="D184" s="17">
        <v>149389</v>
      </c>
      <c r="E184" s="17">
        <v>350</v>
      </c>
      <c r="F184" s="17">
        <v>149389</v>
      </c>
      <c r="G184" s="17">
        <v>350</v>
      </c>
      <c r="H184" s="17"/>
      <c r="I184" s="17"/>
      <c r="J184" s="73"/>
      <c r="K184" s="17">
        <v>0</v>
      </c>
      <c r="L184" s="17">
        <v>0</v>
      </c>
      <c r="M184" s="73"/>
      <c r="N184" s="73"/>
      <c r="O184" s="19"/>
      <c r="P184" s="15">
        <v>245</v>
      </c>
      <c r="Q184" s="16"/>
      <c r="R184" s="11"/>
      <c r="S184" s="16"/>
    </row>
    <row r="185" spans="1:19" x14ac:dyDescent="0.2">
      <c r="A185" s="17" t="s">
        <v>130</v>
      </c>
      <c r="B185" s="13">
        <v>22</v>
      </c>
      <c r="C185" s="86">
        <v>99.1</v>
      </c>
      <c r="D185" s="17">
        <v>78751</v>
      </c>
      <c r="E185" s="17">
        <v>350</v>
      </c>
      <c r="F185" s="17">
        <v>78751</v>
      </c>
      <c r="G185" s="17">
        <v>350</v>
      </c>
      <c r="H185" s="17"/>
      <c r="I185" s="17"/>
      <c r="J185" s="73"/>
      <c r="K185" s="17">
        <v>0</v>
      </c>
      <c r="L185" s="17">
        <v>0</v>
      </c>
      <c r="M185" s="73"/>
      <c r="N185" s="73"/>
      <c r="O185" s="19"/>
      <c r="P185" s="15">
        <v>310</v>
      </c>
      <c r="Q185" s="16"/>
      <c r="R185" s="11"/>
      <c r="S185" s="16"/>
    </row>
    <row r="186" spans="1:19" x14ac:dyDescent="0.2">
      <c r="A186" s="17" t="s">
        <v>495</v>
      </c>
      <c r="B186" s="11">
        <v>22</v>
      </c>
      <c r="C186" s="86">
        <v>4.8</v>
      </c>
      <c r="D186" s="17"/>
      <c r="E186" s="17"/>
      <c r="F186" s="17"/>
      <c r="G186" s="17"/>
      <c r="H186" s="17"/>
      <c r="I186" s="17"/>
      <c r="J186" s="73"/>
      <c r="K186" s="17">
        <v>127</v>
      </c>
      <c r="L186" s="17">
        <v>2.1</v>
      </c>
      <c r="M186" s="73">
        <v>278</v>
      </c>
      <c r="N186" s="196">
        <v>250</v>
      </c>
      <c r="O186" s="19">
        <v>1000</v>
      </c>
      <c r="P186" s="15">
        <v>431</v>
      </c>
      <c r="Q186" s="16"/>
      <c r="R186" s="11"/>
      <c r="S186" s="16"/>
    </row>
    <row r="187" spans="1:19" x14ac:dyDescent="0.2">
      <c r="A187" s="17" t="s">
        <v>497</v>
      </c>
      <c r="B187" s="11">
        <v>21</v>
      </c>
      <c r="C187" s="86">
        <v>5.3</v>
      </c>
      <c r="D187" s="17"/>
      <c r="E187" s="17"/>
      <c r="F187" s="17"/>
      <c r="G187" s="17"/>
      <c r="H187" s="17"/>
      <c r="I187" s="17"/>
      <c r="J187" s="73"/>
      <c r="K187" s="17">
        <v>56</v>
      </c>
      <c r="L187" s="17">
        <v>1.8</v>
      </c>
      <c r="M187" s="73">
        <v>318</v>
      </c>
      <c r="N187" s="196">
        <v>250</v>
      </c>
      <c r="O187" s="19">
        <v>1000</v>
      </c>
      <c r="P187" s="15"/>
      <c r="Q187" s="16"/>
      <c r="R187" s="11"/>
      <c r="S187" s="16"/>
    </row>
    <row r="188" spans="1:19" x14ac:dyDescent="0.2">
      <c r="A188" s="17" t="s">
        <v>131</v>
      </c>
      <c r="B188" s="26">
        <v>22</v>
      </c>
      <c r="C188" s="194">
        <v>11.9</v>
      </c>
      <c r="D188" s="28">
        <v>15405</v>
      </c>
      <c r="E188" s="17" t="s">
        <v>124</v>
      </c>
      <c r="F188" s="17" t="s">
        <v>95</v>
      </c>
      <c r="G188" s="29" t="s">
        <v>132</v>
      </c>
      <c r="H188" s="17">
        <v>500</v>
      </c>
      <c r="I188" s="17" t="s">
        <v>86</v>
      </c>
      <c r="J188" s="73"/>
      <c r="K188" s="17">
        <v>34</v>
      </c>
      <c r="L188" s="17">
        <v>1.7</v>
      </c>
      <c r="M188" s="73">
        <v>296</v>
      </c>
      <c r="N188" s="196">
        <v>250</v>
      </c>
      <c r="O188" s="19">
        <v>700</v>
      </c>
      <c r="P188" s="15"/>
      <c r="Q188" s="16"/>
      <c r="R188" s="11"/>
      <c r="S188" s="16"/>
    </row>
    <row r="189" spans="1:19" x14ac:dyDescent="0.2">
      <c r="A189" s="17" t="s">
        <v>133</v>
      </c>
      <c r="B189" s="13">
        <v>22</v>
      </c>
      <c r="C189" s="86">
        <v>82.6</v>
      </c>
      <c r="D189" s="17"/>
      <c r="E189" s="17"/>
      <c r="F189" s="17"/>
      <c r="G189" s="17"/>
      <c r="H189" s="17"/>
      <c r="I189" s="17"/>
      <c r="J189" s="73">
        <v>27</v>
      </c>
      <c r="K189" s="17">
        <v>15</v>
      </c>
      <c r="L189" s="17">
        <v>2</v>
      </c>
      <c r="M189" s="73">
        <v>261</v>
      </c>
      <c r="N189" s="196">
        <v>250</v>
      </c>
      <c r="O189" s="19"/>
      <c r="P189" s="15">
        <v>239</v>
      </c>
      <c r="Q189" s="16"/>
      <c r="R189" s="11"/>
      <c r="S189" s="16"/>
    </row>
    <row r="190" spans="1:19" x14ac:dyDescent="0.2">
      <c r="A190" s="17" t="s">
        <v>134</v>
      </c>
      <c r="B190" s="13">
        <v>22</v>
      </c>
      <c r="C190" s="86">
        <v>8.4</v>
      </c>
      <c r="D190" s="17">
        <v>1474</v>
      </c>
      <c r="E190" s="17">
        <v>100</v>
      </c>
      <c r="F190" s="17">
        <v>1474</v>
      </c>
      <c r="G190" s="17">
        <v>100</v>
      </c>
      <c r="H190" s="17"/>
      <c r="I190" s="17"/>
      <c r="J190" s="73"/>
      <c r="K190" s="17">
        <v>15</v>
      </c>
      <c r="L190" s="17">
        <v>0</v>
      </c>
      <c r="M190" s="73"/>
      <c r="N190" s="73"/>
      <c r="O190" s="19">
        <v>10</v>
      </c>
      <c r="P190" s="15">
        <v>200</v>
      </c>
      <c r="Q190" s="16"/>
      <c r="R190" s="11"/>
      <c r="S190" s="16"/>
    </row>
    <row r="191" spans="1:19" x14ac:dyDescent="0.2">
      <c r="A191" s="20" t="s">
        <v>135</v>
      </c>
      <c r="B191" s="21">
        <v>22</v>
      </c>
      <c r="C191" s="85">
        <v>5.2</v>
      </c>
      <c r="D191" s="17"/>
      <c r="E191" s="17"/>
      <c r="F191" s="17"/>
      <c r="G191" s="17"/>
      <c r="H191" s="17"/>
      <c r="I191" s="17"/>
      <c r="J191" s="73">
        <v>160</v>
      </c>
      <c r="K191" s="17">
        <v>37</v>
      </c>
      <c r="L191" s="17">
        <v>1.2</v>
      </c>
      <c r="M191" s="73">
        <v>288</v>
      </c>
      <c r="N191" s="196">
        <v>250</v>
      </c>
      <c r="O191" s="19"/>
      <c r="P191" s="15"/>
      <c r="Q191" s="16"/>
      <c r="R191" s="11"/>
      <c r="S191" s="16"/>
    </row>
    <row r="192" spans="1:19" x14ac:dyDescent="0.2">
      <c r="A192" s="20" t="s">
        <v>136</v>
      </c>
      <c r="B192" s="21">
        <v>22</v>
      </c>
      <c r="C192" s="85">
        <v>7.1</v>
      </c>
      <c r="D192" s="17"/>
      <c r="E192" s="17"/>
      <c r="F192" s="17"/>
      <c r="G192" s="17"/>
      <c r="H192" s="17"/>
      <c r="I192" s="17"/>
      <c r="J192" s="73"/>
      <c r="K192" s="17">
        <v>58</v>
      </c>
      <c r="L192" s="17">
        <v>2.5</v>
      </c>
      <c r="M192" s="73">
        <v>289</v>
      </c>
      <c r="N192" s="196">
        <v>250</v>
      </c>
      <c r="O192" s="19">
        <v>100</v>
      </c>
      <c r="P192" s="15">
        <v>489</v>
      </c>
      <c r="Q192" s="16"/>
      <c r="R192" s="11"/>
      <c r="S192" s="16"/>
    </row>
    <row r="193" spans="1:19" x14ac:dyDescent="0.2">
      <c r="A193" s="20" t="s">
        <v>137</v>
      </c>
      <c r="B193" s="13">
        <v>22</v>
      </c>
      <c r="C193" s="86">
        <v>4.4000000000000004</v>
      </c>
      <c r="D193" s="17"/>
      <c r="E193" s="17"/>
      <c r="F193" s="17"/>
      <c r="G193" s="17"/>
      <c r="H193" s="17"/>
      <c r="I193" s="17"/>
      <c r="J193" s="73">
        <v>106</v>
      </c>
      <c r="K193" s="17">
        <v>36</v>
      </c>
      <c r="L193" s="17">
        <v>1.2</v>
      </c>
      <c r="M193" s="73">
        <v>315</v>
      </c>
      <c r="N193" s="196">
        <v>250</v>
      </c>
      <c r="O193" s="19"/>
      <c r="P193" s="15">
        <v>576</v>
      </c>
      <c r="Q193" s="16"/>
      <c r="R193" s="11"/>
      <c r="S193" s="16"/>
    </row>
    <row r="194" spans="1:19" x14ac:dyDescent="0.2">
      <c r="A194" s="17" t="s">
        <v>138</v>
      </c>
      <c r="B194" s="13">
        <v>22</v>
      </c>
      <c r="C194" s="86">
        <v>16.7</v>
      </c>
      <c r="D194" s="17"/>
      <c r="E194" s="17"/>
      <c r="F194" s="17"/>
      <c r="G194" s="17"/>
      <c r="H194" s="17"/>
      <c r="I194" s="17"/>
      <c r="J194" s="73"/>
      <c r="K194" s="17">
        <v>20</v>
      </c>
      <c r="L194" s="17">
        <v>0.8</v>
      </c>
      <c r="M194" s="73">
        <v>273</v>
      </c>
      <c r="N194" s="196">
        <v>250</v>
      </c>
      <c r="O194" s="19">
        <v>100</v>
      </c>
      <c r="P194" s="15">
        <v>270</v>
      </c>
      <c r="Q194" s="16"/>
      <c r="R194" s="11"/>
      <c r="S194" s="16"/>
    </row>
    <row r="195" spans="1:19" x14ac:dyDescent="0.2">
      <c r="A195" s="20" t="s">
        <v>139</v>
      </c>
      <c r="B195" s="21">
        <v>22</v>
      </c>
      <c r="C195" s="85">
        <v>5</v>
      </c>
      <c r="D195" s="17"/>
      <c r="E195" s="17"/>
      <c r="F195" s="17"/>
      <c r="G195" s="17"/>
      <c r="H195" s="17"/>
      <c r="I195" s="17"/>
      <c r="J195" s="73"/>
      <c r="K195" s="17">
        <v>105.2</v>
      </c>
      <c r="L195" s="17">
        <v>0.8</v>
      </c>
      <c r="M195" s="73">
        <v>312</v>
      </c>
      <c r="N195" s="196">
        <v>250</v>
      </c>
      <c r="O195" s="19"/>
      <c r="P195" s="15">
        <v>1628</v>
      </c>
      <c r="Q195" s="16"/>
      <c r="R195" s="11"/>
      <c r="S195" s="16"/>
    </row>
    <row r="196" spans="1:19" x14ac:dyDescent="0.2">
      <c r="A196" s="20" t="s">
        <v>140</v>
      </c>
      <c r="B196" s="21">
        <v>22</v>
      </c>
      <c r="C196" s="85">
        <v>5</v>
      </c>
      <c r="D196" s="17"/>
      <c r="E196" s="17"/>
      <c r="F196" s="17"/>
      <c r="G196" s="17"/>
      <c r="H196" s="17"/>
      <c r="I196" s="17"/>
      <c r="J196" s="73"/>
      <c r="K196" s="17">
        <v>152.19999999999999</v>
      </c>
      <c r="L196" s="17">
        <v>1.2</v>
      </c>
      <c r="M196" s="73">
        <v>264</v>
      </c>
      <c r="N196" s="196">
        <v>250</v>
      </c>
      <c r="O196" s="19"/>
      <c r="P196" s="15">
        <v>1826</v>
      </c>
      <c r="Q196" s="16"/>
      <c r="R196" s="11"/>
      <c r="S196" s="16"/>
    </row>
    <row r="197" spans="1:19" x14ac:dyDescent="0.2">
      <c r="A197" s="17" t="s">
        <v>522</v>
      </c>
      <c r="B197" s="11">
        <v>22</v>
      </c>
      <c r="C197" s="86">
        <v>5.8</v>
      </c>
      <c r="D197" s="17">
        <v>30000</v>
      </c>
      <c r="E197" s="17">
        <v>500</v>
      </c>
      <c r="F197" s="17">
        <v>30000</v>
      </c>
      <c r="G197" s="17">
        <v>500</v>
      </c>
      <c r="H197" s="17"/>
      <c r="I197" s="17"/>
      <c r="J197" s="73"/>
      <c r="K197" s="17">
        <v>38</v>
      </c>
      <c r="L197" s="17">
        <v>1.8</v>
      </c>
      <c r="M197" s="73">
        <v>323</v>
      </c>
      <c r="N197" s="196">
        <v>250</v>
      </c>
      <c r="O197" s="19">
        <v>500</v>
      </c>
      <c r="P197" s="15">
        <v>186</v>
      </c>
      <c r="Q197" s="16"/>
      <c r="R197" s="11"/>
      <c r="S197" s="16"/>
    </row>
    <row r="198" spans="1:19" x14ac:dyDescent="0.2">
      <c r="A198" s="17" t="s">
        <v>141</v>
      </c>
      <c r="B198" s="11">
        <v>21</v>
      </c>
      <c r="C198" s="86">
        <v>7.4</v>
      </c>
      <c r="D198" s="17">
        <v>973</v>
      </c>
      <c r="E198" s="17">
        <v>100</v>
      </c>
      <c r="F198" s="17">
        <v>973</v>
      </c>
      <c r="G198" s="17">
        <v>100</v>
      </c>
      <c r="H198" s="17"/>
      <c r="I198" s="17"/>
      <c r="J198" s="73">
        <v>28</v>
      </c>
      <c r="K198" s="17">
        <v>21</v>
      </c>
      <c r="L198" s="17">
        <v>1.9</v>
      </c>
      <c r="M198" s="73"/>
      <c r="N198" s="196"/>
      <c r="O198" s="19">
        <v>100</v>
      </c>
      <c r="P198" s="15"/>
      <c r="Q198" s="16"/>
      <c r="R198" s="11"/>
      <c r="S198" s="16"/>
    </row>
    <row r="199" spans="1:19" x14ac:dyDescent="0.2">
      <c r="A199" s="53" t="s">
        <v>712</v>
      </c>
      <c r="B199" s="13">
        <v>22</v>
      </c>
      <c r="C199" s="86">
        <v>4.2</v>
      </c>
      <c r="D199" s="17"/>
      <c r="E199" s="17"/>
      <c r="F199" s="17"/>
      <c r="G199" s="17"/>
      <c r="H199" s="17"/>
      <c r="I199" s="17"/>
      <c r="J199" s="73"/>
      <c r="K199" s="17">
        <v>51</v>
      </c>
      <c r="L199" s="17">
        <v>2</v>
      </c>
      <c r="M199" s="73">
        <v>270</v>
      </c>
      <c r="N199" s="196">
        <v>250</v>
      </c>
      <c r="O199" s="19">
        <v>1000</v>
      </c>
      <c r="P199" s="15">
        <v>953</v>
      </c>
      <c r="Q199" s="16"/>
      <c r="R199" s="11"/>
      <c r="S199" s="16"/>
    </row>
    <row r="200" spans="1:19" x14ac:dyDescent="0.2">
      <c r="A200" s="17" t="s">
        <v>142</v>
      </c>
      <c r="B200" s="13">
        <v>21</v>
      </c>
      <c r="C200" s="86">
        <v>11.2</v>
      </c>
      <c r="D200" s="17"/>
      <c r="E200" s="17"/>
      <c r="F200" s="17"/>
      <c r="G200" s="17"/>
      <c r="H200" s="17"/>
      <c r="I200" s="17"/>
      <c r="J200" s="73">
        <v>224</v>
      </c>
      <c r="K200" s="17">
        <v>47</v>
      </c>
      <c r="L200" s="17">
        <v>1.9</v>
      </c>
      <c r="M200" s="73">
        <v>362</v>
      </c>
      <c r="N200" s="196">
        <v>250</v>
      </c>
      <c r="O200" s="19">
        <v>1000</v>
      </c>
      <c r="P200" s="15"/>
      <c r="Q200" s="16"/>
      <c r="R200" s="11"/>
      <c r="S200" s="16"/>
    </row>
    <row r="201" spans="1:19" x14ac:dyDescent="0.2">
      <c r="A201" s="17" t="s">
        <v>425</v>
      </c>
      <c r="B201" s="13">
        <v>22</v>
      </c>
      <c r="C201" s="86">
        <v>5.8</v>
      </c>
      <c r="D201" s="17"/>
      <c r="E201" s="17"/>
      <c r="F201" s="17"/>
      <c r="G201" s="17"/>
      <c r="H201" s="17"/>
      <c r="I201" s="17"/>
      <c r="J201" s="73"/>
      <c r="K201" s="17">
        <v>48</v>
      </c>
      <c r="L201" s="17">
        <v>1.8</v>
      </c>
      <c r="M201" s="73">
        <v>367</v>
      </c>
      <c r="N201" s="196">
        <v>250</v>
      </c>
      <c r="O201" s="19">
        <v>1000</v>
      </c>
      <c r="P201" s="15">
        <v>1879</v>
      </c>
      <c r="Q201" s="16"/>
      <c r="R201" s="11"/>
      <c r="S201" s="16"/>
    </row>
    <row r="202" spans="1:19" x14ac:dyDescent="0.2">
      <c r="A202" s="17" t="s">
        <v>553</v>
      </c>
      <c r="B202" s="13">
        <v>22</v>
      </c>
      <c r="C202" s="86">
        <v>2160</v>
      </c>
      <c r="D202" s="17"/>
      <c r="E202" s="17"/>
      <c r="F202" s="17"/>
      <c r="G202" s="17"/>
      <c r="H202" s="17"/>
      <c r="I202" s="17"/>
      <c r="J202" s="73"/>
      <c r="K202" s="17"/>
      <c r="L202" s="17">
        <v>0</v>
      </c>
      <c r="M202" s="73"/>
      <c r="N202" s="196"/>
      <c r="O202" s="19"/>
      <c r="P202" s="15">
        <v>126</v>
      </c>
      <c r="Q202" s="16"/>
      <c r="R202" s="11"/>
      <c r="S202" s="16"/>
    </row>
    <row r="203" spans="1:19" x14ac:dyDescent="0.2">
      <c r="A203" s="20" t="s">
        <v>143</v>
      </c>
      <c r="B203" s="21">
        <v>22</v>
      </c>
      <c r="C203" s="85">
        <v>5.2</v>
      </c>
      <c r="D203" s="17"/>
      <c r="E203" s="17"/>
      <c r="F203" s="17"/>
      <c r="G203" s="17"/>
      <c r="H203" s="17"/>
      <c r="I203" s="17"/>
      <c r="J203" s="73"/>
      <c r="K203" s="17">
        <v>83</v>
      </c>
      <c r="L203" s="17">
        <v>1.2</v>
      </c>
      <c r="M203" s="73">
        <v>273</v>
      </c>
      <c r="N203" s="196">
        <v>250</v>
      </c>
      <c r="O203" s="19">
        <v>500</v>
      </c>
      <c r="P203" s="15">
        <v>610</v>
      </c>
      <c r="Q203" s="16"/>
      <c r="R203" s="11"/>
      <c r="S203" s="16"/>
    </row>
    <row r="204" spans="1:19" x14ac:dyDescent="0.2">
      <c r="A204" s="20" t="s">
        <v>144</v>
      </c>
      <c r="B204" s="21">
        <v>22</v>
      </c>
      <c r="C204" s="85">
        <v>8.6999999999999993</v>
      </c>
      <c r="D204" s="17"/>
      <c r="E204" s="17"/>
      <c r="F204" s="17"/>
      <c r="G204" s="17"/>
      <c r="H204" s="17"/>
      <c r="I204" s="17"/>
      <c r="J204" s="73">
        <v>138</v>
      </c>
      <c r="K204" s="17">
        <v>83</v>
      </c>
      <c r="L204" s="17">
        <v>1.3</v>
      </c>
      <c r="M204" s="82">
        <v>257</v>
      </c>
      <c r="N204" s="196">
        <v>250</v>
      </c>
      <c r="O204" s="19">
        <v>500</v>
      </c>
      <c r="P204" s="15">
        <v>643</v>
      </c>
      <c r="Q204" s="16"/>
      <c r="R204" s="11"/>
      <c r="S204" s="16"/>
    </row>
    <row r="205" spans="1:19" x14ac:dyDescent="0.2">
      <c r="A205" s="20" t="s">
        <v>145</v>
      </c>
      <c r="B205" s="21">
        <v>22</v>
      </c>
      <c r="C205" s="85">
        <v>85.9</v>
      </c>
      <c r="D205" s="17"/>
      <c r="E205" s="17"/>
      <c r="F205" s="17"/>
      <c r="G205" s="17"/>
      <c r="H205" s="17"/>
      <c r="I205" s="17"/>
      <c r="J205" s="73"/>
      <c r="K205" s="17">
        <v>24</v>
      </c>
      <c r="L205" s="17">
        <v>1.1000000000000001</v>
      </c>
      <c r="M205" s="73">
        <v>293</v>
      </c>
      <c r="N205" s="196">
        <v>250</v>
      </c>
      <c r="O205" s="19">
        <v>500</v>
      </c>
      <c r="P205" s="15">
        <v>238</v>
      </c>
      <c r="Q205" s="16"/>
      <c r="R205" s="11"/>
      <c r="S205" s="16"/>
    </row>
    <row r="206" spans="1:19" x14ac:dyDescent="0.2">
      <c r="A206" s="20" t="s">
        <v>146</v>
      </c>
      <c r="B206" s="21">
        <v>22</v>
      </c>
      <c r="C206" s="85">
        <v>128.5</v>
      </c>
      <c r="D206" s="17"/>
      <c r="E206" s="17"/>
      <c r="F206" s="17"/>
      <c r="G206" s="17"/>
      <c r="H206" s="17"/>
      <c r="I206" s="17"/>
      <c r="J206" s="73"/>
      <c r="K206" s="17">
        <v>13</v>
      </c>
      <c r="L206" s="17">
        <v>2.4</v>
      </c>
      <c r="M206" s="73">
        <v>284</v>
      </c>
      <c r="N206" s="196">
        <v>250</v>
      </c>
      <c r="O206" s="19"/>
      <c r="P206" s="15">
        <v>186</v>
      </c>
      <c r="Q206" s="16"/>
      <c r="R206" s="11"/>
      <c r="S206" s="16"/>
    </row>
    <row r="207" spans="1:19" x14ac:dyDescent="0.2">
      <c r="A207" s="20" t="s">
        <v>555</v>
      </c>
      <c r="B207" s="21">
        <v>21</v>
      </c>
      <c r="C207" s="85"/>
      <c r="D207" s="17"/>
      <c r="E207" s="17"/>
      <c r="F207" s="17"/>
      <c r="G207" s="17"/>
      <c r="H207" s="17"/>
      <c r="I207" s="17"/>
      <c r="J207" s="73"/>
      <c r="K207" s="17">
        <v>214</v>
      </c>
      <c r="L207" s="17">
        <v>5.8</v>
      </c>
      <c r="M207" s="73"/>
      <c r="N207" s="196"/>
      <c r="O207" s="19">
        <v>703</v>
      </c>
      <c r="P207" s="15"/>
      <c r="Q207" s="16"/>
      <c r="R207" s="11"/>
      <c r="S207" s="16"/>
    </row>
    <row r="208" spans="1:19" x14ac:dyDescent="0.2">
      <c r="A208" s="20" t="s">
        <v>147</v>
      </c>
      <c r="B208" s="21">
        <v>21</v>
      </c>
      <c r="C208" s="85">
        <v>19.2</v>
      </c>
      <c r="D208" s="17"/>
      <c r="E208" s="17"/>
      <c r="F208" s="17"/>
      <c r="G208" s="17"/>
      <c r="H208" s="17"/>
      <c r="I208" s="17"/>
      <c r="J208" s="73"/>
      <c r="K208" s="17">
        <v>34</v>
      </c>
      <c r="L208" s="17">
        <v>1.6</v>
      </c>
      <c r="M208" s="73">
        <v>287</v>
      </c>
      <c r="N208" s="196">
        <v>250</v>
      </c>
      <c r="O208" s="19">
        <v>300</v>
      </c>
      <c r="P208" s="15"/>
      <c r="Q208" s="16"/>
      <c r="R208" s="11"/>
      <c r="S208" s="16"/>
    </row>
    <row r="209" spans="1:19" x14ac:dyDescent="0.2">
      <c r="A209" s="20" t="s">
        <v>148</v>
      </c>
      <c r="B209" s="21">
        <v>22</v>
      </c>
      <c r="C209" s="85">
        <v>5.4</v>
      </c>
      <c r="D209" s="17"/>
      <c r="E209" s="17"/>
      <c r="F209" s="17"/>
      <c r="G209" s="17"/>
      <c r="H209" s="17"/>
      <c r="I209" s="17"/>
      <c r="J209" s="73"/>
      <c r="K209" s="17">
        <v>29</v>
      </c>
      <c r="L209" s="17">
        <v>2.8</v>
      </c>
      <c r="M209" s="73">
        <v>272</v>
      </c>
      <c r="N209" s="196">
        <v>250</v>
      </c>
      <c r="O209" s="19">
        <v>3000</v>
      </c>
      <c r="P209" s="15">
        <v>292</v>
      </c>
      <c r="Q209" s="16"/>
      <c r="R209" s="11"/>
      <c r="S209" s="16"/>
    </row>
    <row r="210" spans="1:19" x14ac:dyDescent="0.2">
      <c r="A210" s="20" t="s">
        <v>149</v>
      </c>
      <c r="B210" s="21">
        <v>22</v>
      </c>
      <c r="C210" s="85">
        <v>5.3</v>
      </c>
      <c r="D210" s="17"/>
      <c r="E210" s="17"/>
      <c r="F210" s="17"/>
      <c r="G210" s="17"/>
      <c r="H210" s="17"/>
      <c r="I210" s="17"/>
      <c r="J210" s="73"/>
      <c r="K210" s="17">
        <v>27</v>
      </c>
      <c r="L210" s="17">
        <v>2</v>
      </c>
      <c r="M210" s="73">
        <v>268</v>
      </c>
      <c r="N210" s="196">
        <v>250</v>
      </c>
      <c r="O210" s="19">
        <v>45000</v>
      </c>
      <c r="P210" s="15">
        <v>850</v>
      </c>
      <c r="Q210" s="16"/>
      <c r="R210" s="11"/>
      <c r="S210" s="16"/>
    </row>
    <row r="211" spans="1:19" x14ac:dyDescent="0.2">
      <c r="A211" s="17" t="s">
        <v>150</v>
      </c>
      <c r="B211" s="13">
        <v>22</v>
      </c>
      <c r="C211" s="86">
        <v>17.899999999999999</v>
      </c>
      <c r="D211" s="17"/>
      <c r="E211" s="17"/>
      <c r="F211" s="17"/>
      <c r="G211" s="17"/>
      <c r="H211" s="17"/>
      <c r="I211" s="17"/>
      <c r="J211" s="73"/>
      <c r="K211" s="17">
        <v>14</v>
      </c>
      <c r="L211" s="17">
        <v>0</v>
      </c>
      <c r="M211" s="73"/>
      <c r="N211" s="73"/>
      <c r="O211" s="19"/>
      <c r="P211" s="15">
        <v>100</v>
      </c>
      <c r="Q211" s="16"/>
      <c r="R211" s="11"/>
      <c r="S211" s="16"/>
    </row>
    <row r="212" spans="1:19" x14ac:dyDescent="0.2">
      <c r="A212" s="17" t="s">
        <v>557</v>
      </c>
      <c r="B212" s="13">
        <v>22</v>
      </c>
      <c r="C212" s="86">
        <v>4.8</v>
      </c>
      <c r="D212" s="17"/>
      <c r="E212" s="17"/>
      <c r="F212" s="17"/>
      <c r="G212" s="17"/>
      <c r="H212" s="17"/>
      <c r="I212" s="17"/>
      <c r="J212" s="73"/>
      <c r="K212" s="17">
        <v>152.4</v>
      </c>
      <c r="L212" s="17">
        <v>1.1000000000000001</v>
      </c>
      <c r="M212" s="73">
        <v>274</v>
      </c>
      <c r="N212" s="196">
        <v>250</v>
      </c>
      <c r="O212" s="19">
        <v>1000</v>
      </c>
      <c r="P212" s="15">
        <v>100</v>
      </c>
      <c r="Q212" s="16"/>
      <c r="R212" s="11"/>
      <c r="S212" s="16"/>
    </row>
    <row r="213" spans="1:19" x14ac:dyDescent="0.2">
      <c r="A213" s="17" t="s">
        <v>558</v>
      </c>
      <c r="B213" s="13">
        <v>21</v>
      </c>
      <c r="C213" s="86">
        <v>8.6999999999999993</v>
      </c>
      <c r="D213" s="17"/>
      <c r="E213" s="17"/>
      <c r="F213" s="17"/>
      <c r="G213" s="17"/>
      <c r="H213" s="17"/>
      <c r="I213" s="17"/>
      <c r="J213" s="73">
        <v>63</v>
      </c>
      <c r="K213" s="17">
        <v>22</v>
      </c>
      <c r="L213" s="17">
        <v>1</v>
      </c>
      <c r="M213" s="82">
        <v>255</v>
      </c>
      <c r="N213" s="196">
        <v>250</v>
      </c>
      <c r="O213" s="19">
        <v>500</v>
      </c>
      <c r="P213" s="15"/>
      <c r="Q213" s="16"/>
      <c r="R213" s="11"/>
      <c r="S213" s="16"/>
    </row>
    <row r="214" spans="1:19" x14ac:dyDescent="0.2">
      <c r="A214" s="17" t="s">
        <v>151</v>
      </c>
      <c r="B214" s="13">
        <v>21</v>
      </c>
      <c r="C214" s="86">
        <v>8.6999999999999993</v>
      </c>
      <c r="D214" s="17"/>
      <c r="E214" s="17"/>
      <c r="F214" s="17"/>
      <c r="G214" s="17"/>
      <c r="H214" s="17"/>
      <c r="I214" s="17"/>
      <c r="J214" s="73"/>
      <c r="K214" s="17">
        <v>22</v>
      </c>
      <c r="L214" s="17">
        <v>1</v>
      </c>
      <c r="M214" s="82">
        <v>256</v>
      </c>
      <c r="N214" s="196">
        <v>250</v>
      </c>
      <c r="O214" s="19">
        <v>500</v>
      </c>
      <c r="P214" s="15"/>
      <c r="Q214" s="16"/>
      <c r="R214" s="11"/>
      <c r="S214" s="16"/>
    </row>
    <row r="215" spans="1:19" x14ac:dyDescent="0.2">
      <c r="A215" s="17" t="s">
        <v>559</v>
      </c>
      <c r="B215" s="13">
        <v>22</v>
      </c>
      <c r="C215" s="86">
        <v>45.7</v>
      </c>
      <c r="D215" s="17"/>
      <c r="E215" s="17"/>
      <c r="F215" s="17"/>
      <c r="G215" s="17"/>
      <c r="H215" s="17"/>
      <c r="I215" s="17"/>
      <c r="J215" s="73">
        <v>107</v>
      </c>
      <c r="K215" s="17">
        <v>82</v>
      </c>
      <c r="L215" s="17">
        <v>1.2</v>
      </c>
      <c r="M215" s="82">
        <v>252</v>
      </c>
      <c r="N215" s="196">
        <v>250</v>
      </c>
      <c r="O215" s="19"/>
      <c r="P215" s="15">
        <v>367</v>
      </c>
      <c r="Q215" s="16"/>
      <c r="R215" s="11"/>
      <c r="S215" s="16"/>
    </row>
    <row r="216" spans="1:19" x14ac:dyDescent="0.2">
      <c r="A216" s="17" t="s">
        <v>560</v>
      </c>
      <c r="B216" s="13">
        <v>22</v>
      </c>
      <c r="C216" s="86">
        <v>72.5</v>
      </c>
      <c r="D216" s="17"/>
      <c r="E216" s="17"/>
      <c r="F216" s="17"/>
      <c r="G216" s="17"/>
      <c r="H216" s="17"/>
      <c r="I216" s="17"/>
      <c r="J216" s="73">
        <v>60</v>
      </c>
      <c r="K216" s="17">
        <v>35</v>
      </c>
      <c r="L216" s="17">
        <v>1.2</v>
      </c>
      <c r="M216" s="82">
        <v>257</v>
      </c>
      <c r="N216" s="196">
        <v>250</v>
      </c>
      <c r="O216" s="19">
        <v>100</v>
      </c>
      <c r="P216" s="15">
        <v>500</v>
      </c>
      <c r="Q216" s="16"/>
      <c r="R216" s="11"/>
      <c r="S216" s="16"/>
    </row>
    <row r="217" spans="1:19" x14ac:dyDescent="0.2">
      <c r="A217" s="17" t="s">
        <v>152</v>
      </c>
      <c r="B217" s="13">
        <v>22</v>
      </c>
      <c r="C217" s="86">
        <v>5.0999999999999996</v>
      </c>
      <c r="D217" s="17"/>
      <c r="E217" s="17"/>
      <c r="F217" s="17"/>
      <c r="G217" s="17"/>
      <c r="H217" s="17"/>
      <c r="I217" s="17"/>
      <c r="J217" s="73"/>
      <c r="K217" s="17">
        <v>28</v>
      </c>
      <c r="L217" s="17">
        <v>2.2999999999999998</v>
      </c>
      <c r="M217" s="73">
        <v>308</v>
      </c>
      <c r="N217" s="196">
        <v>250</v>
      </c>
      <c r="O217" s="19">
        <v>62</v>
      </c>
      <c r="P217" s="15">
        <v>200</v>
      </c>
      <c r="Q217" s="16"/>
      <c r="R217" s="11"/>
      <c r="S217" s="16"/>
    </row>
    <row r="218" spans="1:19" x14ac:dyDescent="0.2">
      <c r="A218" s="20" t="s">
        <v>153</v>
      </c>
      <c r="B218" s="21">
        <v>22</v>
      </c>
      <c r="C218" s="85">
        <v>9.9</v>
      </c>
      <c r="D218" s="17"/>
      <c r="E218" s="17"/>
      <c r="F218" s="17"/>
      <c r="G218" s="17"/>
      <c r="H218" s="17"/>
      <c r="I218" s="17"/>
      <c r="J218" s="73"/>
      <c r="K218" s="17">
        <v>101.6</v>
      </c>
      <c r="L218" s="17">
        <v>1</v>
      </c>
      <c r="M218" s="73">
        <v>342</v>
      </c>
      <c r="N218" s="196">
        <v>250</v>
      </c>
      <c r="O218" s="19">
        <v>1000</v>
      </c>
      <c r="P218" s="15">
        <v>405</v>
      </c>
      <c r="Q218" s="16"/>
      <c r="R218" s="11"/>
      <c r="S218" s="16"/>
    </row>
    <row r="219" spans="1:19" x14ac:dyDescent="0.2">
      <c r="A219" s="20" t="s">
        <v>154</v>
      </c>
      <c r="B219" s="21">
        <v>21</v>
      </c>
      <c r="C219" s="85">
        <v>27.2</v>
      </c>
      <c r="D219" s="17"/>
      <c r="E219" s="17"/>
      <c r="F219" s="17"/>
      <c r="G219" s="17"/>
      <c r="H219" s="17"/>
      <c r="I219" s="17"/>
      <c r="J219" s="73"/>
      <c r="K219" s="17">
        <v>146.4</v>
      </c>
      <c r="L219" s="17">
        <v>3</v>
      </c>
      <c r="M219" s="73">
        <v>362</v>
      </c>
      <c r="N219" s="196">
        <v>250</v>
      </c>
      <c r="O219" s="19">
        <v>500</v>
      </c>
      <c r="P219" s="15"/>
      <c r="Q219" s="16"/>
      <c r="R219" s="11"/>
      <c r="S219" s="16"/>
    </row>
    <row r="220" spans="1:19" x14ac:dyDescent="0.2">
      <c r="A220" s="20" t="s">
        <v>155</v>
      </c>
      <c r="B220" s="21">
        <v>22</v>
      </c>
      <c r="C220" s="85">
        <v>10.4</v>
      </c>
      <c r="D220" s="17"/>
      <c r="E220" s="17"/>
      <c r="F220" s="17"/>
      <c r="G220" s="17"/>
      <c r="H220" s="17"/>
      <c r="I220" s="17"/>
      <c r="J220" s="73"/>
      <c r="K220" s="17">
        <v>109.4</v>
      </c>
      <c r="L220" s="17">
        <v>5.0999999999999996</v>
      </c>
      <c r="M220" s="73">
        <v>369</v>
      </c>
      <c r="N220" s="196">
        <v>250</v>
      </c>
      <c r="O220" s="19">
        <v>1000</v>
      </c>
      <c r="P220" s="15">
        <v>280</v>
      </c>
      <c r="Q220" s="16"/>
      <c r="R220" s="11"/>
      <c r="S220" s="16"/>
    </row>
    <row r="221" spans="1:19" x14ac:dyDescent="0.2">
      <c r="A221" s="20" t="s">
        <v>734</v>
      </c>
      <c r="B221" s="21">
        <v>22</v>
      </c>
      <c r="C221" s="85"/>
      <c r="D221" s="17"/>
      <c r="E221" s="17"/>
      <c r="F221" s="17"/>
      <c r="G221" s="17"/>
      <c r="H221" s="17"/>
      <c r="I221" s="17"/>
      <c r="J221" s="73"/>
      <c r="K221" s="17"/>
      <c r="L221" s="17"/>
      <c r="M221" s="82">
        <v>255</v>
      </c>
      <c r="N221" s="196">
        <v>250</v>
      </c>
      <c r="O221" s="19"/>
      <c r="P221" s="15">
        <v>335</v>
      </c>
      <c r="Q221" s="16"/>
      <c r="R221" s="11"/>
      <c r="S221" s="16"/>
    </row>
    <row r="222" spans="1:19" x14ac:dyDescent="0.2">
      <c r="A222" s="20" t="s">
        <v>756</v>
      </c>
      <c r="B222" s="21">
        <v>22</v>
      </c>
      <c r="C222" s="85"/>
      <c r="D222" s="17"/>
      <c r="E222" s="17"/>
      <c r="F222" s="17"/>
      <c r="G222" s="17"/>
      <c r="H222" s="17"/>
      <c r="I222" s="17"/>
      <c r="J222" s="73"/>
      <c r="K222" s="17"/>
      <c r="L222" s="17"/>
      <c r="M222" s="73">
        <v>339</v>
      </c>
      <c r="N222" s="196">
        <v>250</v>
      </c>
      <c r="O222" s="19"/>
      <c r="P222" s="15"/>
      <c r="Q222" s="16"/>
      <c r="R222" s="11"/>
      <c r="S222" s="16"/>
    </row>
    <row r="223" spans="1:19" x14ac:dyDescent="0.2">
      <c r="A223" s="20" t="s">
        <v>156</v>
      </c>
      <c r="B223" s="21">
        <v>22</v>
      </c>
      <c r="C223" s="85">
        <v>5.7</v>
      </c>
      <c r="D223" s="17"/>
      <c r="E223" s="17"/>
      <c r="F223" s="17"/>
      <c r="G223" s="17"/>
      <c r="H223" s="17"/>
      <c r="I223" s="17"/>
      <c r="J223" s="73"/>
      <c r="K223" s="17">
        <v>14</v>
      </c>
      <c r="L223" s="17">
        <v>1.6</v>
      </c>
      <c r="M223" s="73">
        <v>299</v>
      </c>
      <c r="N223" s="196">
        <v>250</v>
      </c>
      <c r="O223" s="19">
        <v>5500</v>
      </c>
      <c r="P223" s="15">
        <v>406</v>
      </c>
      <c r="Q223" s="16"/>
      <c r="R223" s="11"/>
      <c r="S223" s="16"/>
    </row>
    <row r="224" spans="1:19" x14ac:dyDescent="0.2">
      <c r="A224" s="20" t="s">
        <v>607</v>
      </c>
      <c r="B224" s="21">
        <v>22</v>
      </c>
      <c r="C224" s="85">
        <v>19.8</v>
      </c>
      <c r="D224" s="17"/>
      <c r="E224" s="17"/>
      <c r="F224" s="17"/>
      <c r="G224" s="17"/>
      <c r="H224" s="17"/>
      <c r="I224" s="17"/>
      <c r="J224" s="73">
        <v>71</v>
      </c>
      <c r="K224" s="17">
        <v>25</v>
      </c>
      <c r="L224" s="17">
        <v>0.5</v>
      </c>
      <c r="M224" s="73">
        <v>283</v>
      </c>
      <c r="N224" s="196">
        <v>250</v>
      </c>
      <c r="O224" s="19"/>
      <c r="P224" s="15">
        <v>1933</v>
      </c>
      <c r="Q224" s="16"/>
      <c r="R224" s="11"/>
      <c r="S224" s="16"/>
    </row>
    <row r="225" spans="1:19" x14ac:dyDescent="0.2">
      <c r="A225" s="20" t="s">
        <v>518</v>
      </c>
      <c r="B225" s="21">
        <v>22</v>
      </c>
      <c r="C225" s="85">
        <v>24.1</v>
      </c>
      <c r="D225" s="17"/>
      <c r="E225" s="17"/>
      <c r="F225" s="17"/>
      <c r="G225" s="17"/>
      <c r="H225" s="17"/>
      <c r="I225" s="17"/>
      <c r="J225" s="73">
        <v>122</v>
      </c>
      <c r="K225" s="17">
        <v>44</v>
      </c>
      <c r="L225" s="17">
        <v>1.5</v>
      </c>
      <c r="M225" s="73">
        <v>294</v>
      </c>
      <c r="N225" s="196">
        <v>250</v>
      </c>
      <c r="O225" s="19">
        <v>500</v>
      </c>
      <c r="P225" s="15">
        <v>497</v>
      </c>
      <c r="Q225" s="16"/>
      <c r="R225" s="11"/>
      <c r="S225" s="16"/>
    </row>
    <row r="226" spans="1:19" x14ac:dyDescent="0.2">
      <c r="A226" s="20" t="s">
        <v>424</v>
      </c>
      <c r="B226" s="21">
        <v>22</v>
      </c>
      <c r="C226" s="85">
        <v>9.1999999999999993</v>
      </c>
      <c r="D226" s="17"/>
      <c r="E226" s="17"/>
      <c r="F226" s="17"/>
      <c r="G226" s="17"/>
      <c r="H226" s="17"/>
      <c r="I226" s="17"/>
      <c r="J226" s="73"/>
      <c r="K226" s="17">
        <v>26</v>
      </c>
      <c r="L226" s="17">
        <v>0.9</v>
      </c>
      <c r="M226" s="82">
        <v>259</v>
      </c>
      <c r="N226" s="196">
        <v>250</v>
      </c>
      <c r="O226" s="19">
        <v>920</v>
      </c>
      <c r="P226" s="15">
        <v>227</v>
      </c>
      <c r="Q226" s="16"/>
      <c r="R226" s="11"/>
      <c r="S226" s="16"/>
    </row>
    <row r="227" spans="1:19" x14ac:dyDescent="0.2">
      <c r="A227" s="20" t="s">
        <v>735</v>
      </c>
      <c r="B227" s="21">
        <v>22</v>
      </c>
      <c r="C227" s="85"/>
      <c r="D227" s="17"/>
      <c r="E227" s="17"/>
      <c r="F227" s="17"/>
      <c r="G227" s="17"/>
      <c r="H227" s="17"/>
      <c r="I227" s="17"/>
      <c r="J227" s="73"/>
      <c r="K227" s="17"/>
      <c r="L227" s="17"/>
      <c r="M227" s="73"/>
      <c r="N227" s="73"/>
      <c r="O227" s="19"/>
      <c r="P227" s="15">
        <v>100</v>
      </c>
      <c r="Q227" s="16"/>
      <c r="R227" s="11"/>
      <c r="S227" s="16"/>
    </row>
    <row r="228" spans="1:19" x14ac:dyDescent="0.2">
      <c r="A228" s="17" t="s">
        <v>488</v>
      </c>
      <c r="B228" s="13">
        <v>22</v>
      </c>
      <c r="C228" s="86">
        <v>30.9</v>
      </c>
      <c r="D228" s="17">
        <v>1710</v>
      </c>
      <c r="E228" s="17">
        <v>28</v>
      </c>
      <c r="F228" s="17">
        <v>1710</v>
      </c>
      <c r="G228" s="17">
        <v>28</v>
      </c>
      <c r="H228" s="17"/>
      <c r="I228" s="17"/>
      <c r="J228" s="73">
        <v>25</v>
      </c>
      <c r="K228" s="17">
        <v>15</v>
      </c>
      <c r="L228" s="17">
        <v>1.4</v>
      </c>
      <c r="M228" s="73"/>
      <c r="N228" s="73">
        <v>250</v>
      </c>
      <c r="O228" s="19">
        <v>900</v>
      </c>
      <c r="P228" s="15">
        <v>275</v>
      </c>
      <c r="Q228" s="16"/>
      <c r="R228" s="11"/>
      <c r="S228" s="16"/>
    </row>
    <row r="229" spans="1:19" x14ac:dyDescent="0.2">
      <c r="A229" s="17" t="s">
        <v>489</v>
      </c>
      <c r="B229" s="11">
        <v>22</v>
      </c>
      <c r="C229" s="86">
        <v>46.2</v>
      </c>
      <c r="D229" s="17">
        <v>9113</v>
      </c>
      <c r="E229" s="17">
        <v>100</v>
      </c>
      <c r="F229" s="17">
        <v>9113</v>
      </c>
      <c r="G229" s="17">
        <v>100</v>
      </c>
      <c r="H229" s="17"/>
      <c r="I229" s="17"/>
      <c r="J229" s="73"/>
      <c r="K229" s="17">
        <v>14</v>
      </c>
      <c r="L229" s="17">
        <v>1.4</v>
      </c>
      <c r="M229" s="73">
        <v>265</v>
      </c>
      <c r="N229" s="73">
        <v>250</v>
      </c>
      <c r="O229" s="19">
        <v>400</v>
      </c>
      <c r="P229" s="15">
        <v>417</v>
      </c>
      <c r="Q229" s="16"/>
      <c r="R229" s="11"/>
      <c r="S229" s="16"/>
    </row>
    <row r="230" spans="1:19" x14ac:dyDescent="0.2">
      <c r="A230" s="17" t="s">
        <v>490</v>
      </c>
      <c r="B230" s="11">
        <v>22</v>
      </c>
      <c r="C230" s="86">
        <v>78.900000000000006</v>
      </c>
      <c r="D230" s="17"/>
      <c r="E230" s="17"/>
      <c r="F230" s="17"/>
      <c r="G230" s="17"/>
      <c r="H230" s="17"/>
      <c r="I230" s="17"/>
      <c r="J230" s="73">
        <v>41</v>
      </c>
      <c r="K230" s="17">
        <v>23</v>
      </c>
      <c r="L230" s="17">
        <v>3.1</v>
      </c>
      <c r="M230" s="82">
        <v>255</v>
      </c>
      <c r="N230" s="73">
        <v>250</v>
      </c>
      <c r="O230" s="19"/>
      <c r="P230" s="15">
        <v>784</v>
      </c>
      <c r="Q230" s="16"/>
      <c r="R230" s="11"/>
      <c r="S230" s="16"/>
    </row>
    <row r="231" spans="1:19" x14ac:dyDescent="0.2">
      <c r="A231" s="17" t="s">
        <v>736</v>
      </c>
      <c r="B231" s="11">
        <v>22</v>
      </c>
      <c r="C231" s="86"/>
      <c r="D231" s="17"/>
      <c r="E231" s="17"/>
      <c r="F231" s="17"/>
      <c r="G231" s="17"/>
      <c r="H231" s="17"/>
      <c r="I231" s="17"/>
      <c r="J231" s="73">
        <v>27</v>
      </c>
      <c r="K231" s="17">
        <v>19</v>
      </c>
      <c r="L231" s="17"/>
      <c r="M231" s="82">
        <v>253</v>
      </c>
      <c r="N231" s="73">
        <v>250</v>
      </c>
      <c r="O231" s="19"/>
      <c r="P231" s="15">
        <v>854</v>
      </c>
      <c r="Q231" s="16"/>
      <c r="R231" s="11"/>
      <c r="S231" s="16"/>
    </row>
    <row r="232" spans="1:19" x14ac:dyDescent="0.2">
      <c r="A232" s="17" t="s">
        <v>561</v>
      </c>
      <c r="B232" s="11">
        <v>22</v>
      </c>
      <c r="C232" s="86">
        <v>36</v>
      </c>
      <c r="D232" s="17"/>
      <c r="E232" s="17"/>
      <c r="F232" s="17"/>
      <c r="G232" s="17"/>
      <c r="H232" s="17"/>
      <c r="I232" s="17"/>
      <c r="J232" s="73"/>
      <c r="K232" s="17">
        <v>18</v>
      </c>
      <c r="L232" s="17">
        <v>2</v>
      </c>
      <c r="M232" s="73">
        <v>267</v>
      </c>
      <c r="N232" s="73">
        <v>250</v>
      </c>
      <c r="O232" s="19">
        <v>200</v>
      </c>
      <c r="P232" s="15"/>
      <c r="Q232" s="16"/>
      <c r="R232" s="11"/>
      <c r="S232" s="16"/>
    </row>
    <row r="233" spans="1:19" x14ac:dyDescent="0.2">
      <c r="A233" s="20" t="s">
        <v>157</v>
      </c>
      <c r="B233" s="13">
        <v>22</v>
      </c>
      <c r="C233" s="85">
        <v>8.5</v>
      </c>
      <c r="D233" s="17"/>
      <c r="E233" s="17"/>
      <c r="F233" s="17"/>
      <c r="G233" s="17"/>
      <c r="H233" s="17"/>
      <c r="I233" s="17"/>
      <c r="J233" s="73">
        <v>23</v>
      </c>
      <c r="K233" s="17">
        <v>15</v>
      </c>
      <c r="L233" s="17">
        <v>1.1000000000000001</v>
      </c>
      <c r="M233" s="73"/>
      <c r="N233" s="73">
        <v>250</v>
      </c>
      <c r="O233" s="19"/>
      <c r="P233" s="15">
        <v>300</v>
      </c>
      <c r="Q233" s="16"/>
      <c r="R233" s="11"/>
      <c r="S233" s="16"/>
    </row>
    <row r="234" spans="1:19" x14ac:dyDescent="0.2">
      <c r="A234" s="17" t="s">
        <v>158</v>
      </c>
      <c r="B234" s="13">
        <v>22</v>
      </c>
      <c r="C234" s="86">
        <v>5.0999999999999996</v>
      </c>
      <c r="D234" s="17"/>
      <c r="E234" s="17"/>
      <c r="F234" s="17"/>
      <c r="G234" s="17"/>
      <c r="H234" s="17"/>
      <c r="I234" s="17"/>
      <c r="J234" s="73"/>
      <c r="K234" s="17">
        <v>33</v>
      </c>
      <c r="L234" s="17">
        <v>1</v>
      </c>
      <c r="M234" s="73">
        <v>319</v>
      </c>
      <c r="N234" s="73">
        <v>250</v>
      </c>
      <c r="O234" s="19">
        <v>1000</v>
      </c>
      <c r="P234" s="15">
        <v>134</v>
      </c>
      <c r="Q234" s="16"/>
      <c r="R234" s="11"/>
      <c r="S234" s="16"/>
    </row>
    <row r="235" spans="1:19" x14ac:dyDescent="0.2">
      <c r="A235" s="17" t="s">
        <v>159</v>
      </c>
      <c r="B235" s="13">
        <v>22</v>
      </c>
      <c r="C235" s="86">
        <v>8.8000000000000007</v>
      </c>
      <c r="D235" s="17"/>
      <c r="E235" s="17"/>
      <c r="F235" s="17"/>
      <c r="G235" s="17"/>
      <c r="H235" s="17"/>
      <c r="I235" s="17"/>
      <c r="J235" s="73"/>
      <c r="K235" s="17">
        <v>71</v>
      </c>
      <c r="L235" s="17">
        <v>3.5</v>
      </c>
      <c r="M235" s="73">
        <v>351</v>
      </c>
      <c r="N235" s="73">
        <v>250</v>
      </c>
      <c r="O235" s="19">
        <v>400</v>
      </c>
      <c r="P235" s="15">
        <v>193</v>
      </c>
      <c r="Q235" s="16"/>
      <c r="R235" s="11"/>
      <c r="S235" s="16"/>
    </row>
    <row r="236" spans="1:19" x14ac:dyDescent="0.2">
      <c r="A236" s="17" t="s">
        <v>160</v>
      </c>
      <c r="B236" s="13">
        <v>22</v>
      </c>
      <c r="C236" s="86">
        <v>4.5</v>
      </c>
      <c r="D236" s="17"/>
      <c r="E236" s="17"/>
      <c r="F236" s="17"/>
      <c r="G236" s="17"/>
      <c r="H236" s="17"/>
      <c r="I236" s="17"/>
      <c r="J236" s="73"/>
      <c r="K236" s="17"/>
      <c r="L236" s="17">
        <v>0.9</v>
      </c>
      <c r="M236" s="73">
        <v>328</v>
      </c>
      <c r="N236" s="73">
        <v>250</v>
      </c>
      <c r="O236" s="19">
        <v>2400</v>
      </c>
      <c r="P236" s="15">
        <v>546</v>
      </c>
      <c r="Q236" s="16"/>
      <c r="R236" s="11"/>
      <c r="S236" s="16"/>
    </row>
    <row r="237" spans="1:19" x14ac:dyDescent="0.2">
      <c r="A237" s="20" t="s">
        <v>161</v>
      </c>
      <c r="B237" s="21">
        <v>22</v>
      </c>
      <c r="C237" s="85">
        <v>8.6</v>
      </c>
      <c r="D237" s="17"/>
      <c r="E237" s="17"/>
      <c r="F237" s="17"/>
      <c r="G237" s="17"/>
      <c r="H237" s="17"/>
      <c r="I237" s="17"/>
      <c r="J237" s="73">
        <v>61</v>
      </c>
      <c r="K237" s="17">
        <v>50</v>
      </c>
      <c r="L237" s="17">
        <v>1.3</v>
      </c>
      <c r="M237" s="82">
        <v>254</v>
      </c>
      <c r="N237" s="73">
        <v>250</v>
      </c>
      <c r="O237" s="19"/>
      <c r="P237" s="15">
        <v>370</v>
      </c>
      <c r="Q237" s="16"/>
      <c r="R237" s="11"/>
      <c r="S237" s="16"/>
    </row>
    <row r="238" spans="1:19" x14ac:dyDescent="0.2">
      <c r="A238" s="20" t="s">
        <v>564</v>
      </c>
      <c r="B238" s="21">
        <v>21</v>
      </c>
      <c r="C238" s="85">
        <v>7.9</v>
      </c>
      <c r="D238" s="17"/>
      <c r="E238" s="17"/>
      <c r="F238" s="17"/>
      <c r="G238" s="17"/>
      <c r="H238" s="17"/>
      <c r="I238" s="17"/>
      <c r="J238" s="73">
        <v>220</v>
      </c>
      <c r="K238" s="17">
        <v>58</v>
      </c>
      <c r="L238" s="17">
        <v>2</v>
      </c>
      <c r="M238" s="73">
        <v>303</v>
      </c>
      <c r="N238" s="73">
        <v>250</v>
      </c>
      <c r="O238" s="19">
        <v>1000</v>
      </c>
      <c r="P238" s="15"/>
      <c r="Q238" s="16"/>
      <c r="R238" s="11"/>
      <c r="S238" s="16"/>
    </row>
    <row r="239" spans="1:19" x14ac:dyDescent="0.2">
      <c r="A239" s="17" t="s">
        <v>162</v>
      </c>
      <c r="B239" s="13">
        <v>21</v>
      </c>
      <c r="C239" s="86">
        <v>4.8</v>
      </c>
      <c r="D239" s="17"/>
      <c r="E239" s="17"/>
      <c r="F239" s="17"/>
      <c r="G239" s="17"/>
      <c r="H239" s="17"/>
      <c r="I239" s="17"/>
      <c r="J239" s="73">
        <v>175</v>
      </c>
      <c r="K239" s="17">
        <v>49</v>
      </c>
      <c r="L239" s="17">
        <v>1.7</v>
      </c>
      <c r="M239" s="73">
        <v>316</v>
      </c>
      <c r="N239" s="73">
        <v>250</v>
      </c>
      <c r="O239" s="19"/>
      <c r="P239" s="15"/>
      <c r="Q239" s="16"/>
      <c r="R239" s="11"/>
      <c r="S239" s="16"/>
    </row>
    <row r="240" spans="1:19" x14ac:dyDescent="0.2">
      <c r="A240" s="17" t="s">
        <v>565</v>
      </c>
      <c r="B240" s="13">
        <v>22</v>
      </c>
      <c r="C240" s="86">
        <v>143.9</v>
      </c>
      <c r="D240" s="17"/>
      <c r="E240" s="17"/>
      <c r="F240" s="17"/>
      <c r="G240" s="17"/>
      <c r="H240" s="17"/>
      <c r="I240" s="17"/>
      <c r="J240" s="73"/>
      <c r="K240" s="17">
        <v>15</v>
      </c>
      <c r="L240" s="17">
        <v>1.6</v>
      </c>
      <c r="M240" s="82">
        <v>259</v>
      </c>
      <c r="N240" s="73">
        <v>250</v>
      </c>
      <c r="O240" s="19"/>
      <c r="P240" s="15">
        <v>250</v>
      </c>
      <c r="Q240" s="16"/>
      <c r="R240" s="11"/>
      <c r="S240" s="16"/>
    </row>
    <row r="241" spans="1:19" ht="12" customHeight="1" x14ac:dyDescent="0.2">
      <c r="A241" s="17" t="s">
        <v>163</v>
      </c>
      <c r="B241" s="13">
        <v>22</v>
      </c>
      <c r="C241" s="86">
        <v>10.4</v>
      </c>
      <c r="D241" s="17"/>
      <c r="E241" s="17"/>
      <c r="F241" s="17"/>
      <c r="G241" s="17"/>
      <c r="H241" s="17"/>
      <c r="I241" s="17"/>
      <c r="J241" s="73">
        <v>44</v>
      </c>
      <c r="K241" s="17">
        <v>34</v>
      </c>
      <c r="L241" s="17">
        <v>1</v>
      </c>
      <c r="M241" s="82">
        <v>259</v>
      </c>
      <c r="N241" s="73">
        <v>250</v>
      </c>
      <c r="O241" s="19"/>
      <c r="P241" s="15">
        <v>300</v>
      </c>
      <c r="Q241" s="16"/>
      <c r="R241" s="11"/>
      <c r="S241" s="16"/>
    </row>
    <row r="242" spans="1:19" x14ac:dyDescent="0.2">
      <c r="A242" s="17" t="s">
        <v>164</v>
      </c>
      <c r="B242" s="13">
        <v>22</v>
      </c>
      <c r="C242" s="86">
        <v>14.8</v>
      </c>
      <c r="D242" s="17"/>
      <c r="E242" s="17"/>
      <c r="F242" s="17"/>
      <c r="G242" s="17"/>
      <c r="H242" s="17"/>
      <c r="I242" s="17"/>
      <c r="J242" s="73">
        <v>45</v>
      </c>
      <c r="K242" s="17">
        <v>33</v>
      </c>
      <c r="L242" s="17">
        <v>1</v>
      </c>
      <c r="M242" s="82">
        <v>256</v>
      </c>
      <c r="N242" s="73">
        <v>250</v>
      </c>
      <c r="O242" s="19"/>
      <c r="P242" s="15">
        <v>300</v>
      </c>
      <c r="Q242" s="16"/>
      <c r="R242" s="11"/>
      <c r="S242" s="16"/>
    </row>
    <row r="243" spans="1:19" x14ac:dyDescent="0.2">
      <c r="A243" s="17" t="s">
        <v>566</v>
      </c>
      <c r="B243" s="13">
        <v>22</v>
      </c>
      <c r="C243" s="86">
        <v>850.2</v>
      </c>
      <c r="D243" s="17"/>
      <c r="E243" s="17"/>
      <c r="F243" s="17"/>
      <c r="G243" s="17"/>
      <c r="H243" s="17"/>
      <c r="I243" s="17"/>
      <c r="J243" s="73"/>
      <c r="K243" s="17">
        <v>15</v>
      </c>
      <c r="L243" s="17">
        <v>2</v>
      </c>
      <c r="M243" s="73">
        <v>268</v>
      </c>
      <c r="N243" s="73">
        <v>250</v>
      </c>
      <c r="O243" s="19"/>
      <c r="P243" s="15">
        <v>204</v>
      </c>
      <c r="Q243" s="16"/>
      <c r="R243" s="11"/>
      <c r="S243" s="16"/>
    </row>
    <row r="244" spans="1:19" x14ac:dyDescent="0.2">
      <c r="A244" s="17" t="s">
        <v>717</v>
      </c>
      <c r="B244" s="13">
        <v>22</v>
      </c>
      <c r="C244" s="86"/>
      <c r="D244" s="17"/>
      <c r="E244" s="17"/>
      <c r="F244" s="17"/>
      <c r="G244" s="17"/>
      <c r="H244" s="17"/>
      <c r="I244" s="17"/>
      <c r="J244" s="73">
        <v>111</v>
      </c>
      <c r="K244" s="17">
        <v>44</v>
      </c>
      <c r="L244" s="17">
        <v>1.3</v>
      </c>
      <c r="M244" s="73">
        <v>326</v>
      </c>
      <c r="N244" s="73">
        <v>250</v>
      </c>
      <c r="O244" s="19">
        <v>810</v>
      </c>
      <c r="P244" s="15"/>
      <c r="Q244" s="16"/>
      <c r="R244" s="11"/>
      <c r="S244" s="16"/>
    </row>
    <row r="245" spans="1:19" x14ac:dyDescent="0.2">
      <c r="A245" s="17" t="s">
        <v>718</v>
      </c>
      <c r="B245" s="13">
        <v>22</v>
      </c>
      <c r="C245" s="86"/>
      <c r="D245" s="17"/>
      <c r="E245" s="17"/>
      <c r="F245" s="17"/>
      <c r="G245" s="17"/>
      <c r="H245" s="17"/>
      <c r="I245" s="17"/>
      <c r="J245" s="73"/>
      <c r="K245" s="17">
        <v>46</v>
      </c>
      <c r="L245" s="17">
        <v>2</v>
      </c>
      <c r="M245" s="73">
        <v>288</v>
      </c>
      <c r="N245" s="73">
        <v>250</v>
      </c>
      <c r="O245" s="19">
        <v>700</v>
      </c>
      <c r="P245" s="15"/>
      <c r="Q245" s="16"/>
      <c r="R245" s="11"/>
      <c r="S245" s="16"/>
    </row>
    <row r="246" spans="1:19" x14ac:dyDescent="0.2">
      <c r="A246" s="17" t="s">
        <v>426</v>
      </c>
      <c r="B246" s="13">
        <v>22</v>
      </c>
      <c r="C246" s="86">
        <v>4.8</v>
      </c>
      <c r="D246" s="17"/>
      <c r="E246" s="17"/>
      <c r="F246" s="17"/>
      <c r="G246" s="17"/>
      <c r="H246" s="17"/>
      <c r="I246" s="17"/>
      <c r="J246" s="73">
        <v>46</v>
      </c>
      <c r="K246" s="17">
        <v>34</v>
      </c>
      <c r="L246" s="17">
        <v>1</v>
      </c>
      <c r="M246" s="73"/>
      <c r="N246" s="73">
        <v>250</v>
      </c>
      <c r="O246" s="19"/>
      <c r="P246" s="15">
        <v>958</v>
      </c>
      <c r="Q246" s="16"/>
      <c r="R246" s="11"/>
      <c r="S246" s="16"/>
    </row>
    <row r="247" spans="1:19" x14ac:dyDescent="0.2">
      <c r="A247" s="20" t="s">
        <v>165</v>
      </c>
      <c r="B247" s="13">
        <v>22</v>
      </c>
      <c r="C247" s="85">
        <v>8.8000000000000007</v>
      </c>
      <c r="D247" s="17"/>
      <c r="E247" s="17"/>
      <c r="F247" s="17"/>
      <c r="G247" s="17"/>
      <c r="H247" s="17"/>
      <c r="I247" s="17"/>
      <c r="J247" s="73"/>
      <c r="K247" s="17"/>
      <c r="L247" s="17">
        <v>1.2</v>
      </c>
      <c r="M247" s="73"/>
      <c r="N247" s="73"/>
      <c r="O247" s="19">
        <v>67</v>
      </c>
      <c r="P247" s="15">
        <v>100</v>
      </c>
      <c r="Q247" s="16"/>
      <c r="R247" s="11"/>
      <c r="S247" s="16"/>
    </row>
    <row r="248" spans="1:19" x14ac:dyDescent="0.2">
      <c r="A248" s="17" t="s">
        <v>166</v>
      </c>
      <c r="B248" s="13">
        <v>21</v>
      </c>
      <c r="C248" s="86">
        <v>4.9000000000000004</v>
      </c>
      <c r="D248" s="17"/>
      <c r="E248" s="17"/>
      <c r="F248" s="17"/>
      <c r="G248" s="17"/>
      <c r="H248" s="17"/>
      <c r="I248" s="17"/>
      <c r="J248" s="73"/>
      <c r="K248" s="17">
        <v>31</v>
      </c>
      <c r="L248" s="17">
        <v>0.5</v>
      </c>
      <c r="M248" s="73">
        <v>300</v>
      </c>
      <c r="N248" s="196">
        <v>250</v>
      </c>
      <c r="O248" s="19">
        <v>3000</v>
      </c>
      <c r="P248" s="15"/>
      <c r="Q248" s="16"/>
      <c r="R248" s="11"/>
      <c r="S248" s="16"/>
    </row>
    <row r="249" spans="1:19" x14ac:dyDescent="0.2">
      <c r="A249" s="20" t="s">
        <v>167</v>
      </c>
      <c r="B249" s="21">
        <v>21</v>
      </c>
      <c r="C249" s="85">
        <v>7.9</v>
      </c>
      <c r="D249" s="17"/>
      <c r="E249" s="17"/>
      <c r="F249" s="17"/>
      <c r="G249" s="17"/>
      <c r="H249" s="17"/>
      <c r="I249" s="17"/>
      <c r="J249" s="73"/>
      <c r="K249" s="17">
        <v>35</v>
      </c>
      <c r="L249" s="17">
        <v>0.8</v>
      </c>
      <c r="M249" s="197">
        <v>240</v>
      </c>
      <c r="N249" s="196">
        <v>250</v>
      </c>
      <c r="O249" s="19">
        <v>2000</v>
      </c>
      <c r="P249" s="15"/>
      <c r="Q249" s="16"/>
      <c r="R249" s="11"/>
      <c r="S249" s="16"/>
    </row>
    <row r="250" spans="1:19" x14ac:dyDescent="0.2">
      <c r="A250" s="17" t="s">
        <v>480</v>
      </c>
      <c r="B250" s="13">
        <v>21</v>
      </c>
      <c r="C250" s="86">
        <v>5.0999999999999996</v>
      </c>
      <c r="D250" s="17"/>
      <c r="E250" s="17"/>
      <c r="F250" s="17"/>
      <c r="G250" s="17"/>
      <c r="H250" s="17"/>
      <c r="I250" s="17"/>
      <c r="J250" s="73"/>
      <c r="K250" s="17"/>
      <c r="L250" s="17">
        <v>0</v>
      </c>
      <c r="M250" s="73"/>
      <c r="N250" s="196"/>
      <c r="O250" s="19"/>
      <c r="P250" s="15">
        <v>81</v>
      </c>
      <c r="Q250" s="16"/>
      <c r="R250" s="11"/>
      <c r="S250" s="16"/>
    </row>
    <row r="251" spans="1:19" x14ac:dyDescent="0.2">
      <c r="A251" s="17" t="s">
        <v>168</v>
      </c>
      <c r="B251" s="11">
        <v>21</v>
      </c>
      <c r="C251" s="86">
        <v>5.4</v>
      </c>
      <c r="D251" s="17">
        <v>6334</v>
      </c>
      <c r="E251" s="17">
        <v>1000</v>
      </c>
      <c r="F251" s="17">
        <v>6334</v>
      </c>
      <c r="G251" s="17">
        <v>1000</v>
      </c>
      <c r="H251" s="17"/>
      <c r="I251" s="17"/>
      <c r="J251" s="73"/>
      <c r="K251" s="17">
        <v>42</v>
      </c>
      <c r="L251" s="17">
        <v>1.2</v>
      </c>
      <c r="M251" s="82">
        <v>251</v>
      </c>
      <c r="N251" s="196">
        <v>250</v>
      </c>
      <c r="O251" s="19">
        <v>1000</v>
      </c>
      <c r="P251" s="15"/>
      <c r="Q251" s="16"/>
      <c r="R251" s="11"/>
      <c r="S251" s="16"/>
    </row>
    <row r="252" spans="1:19" x14ac:dyDescent="0.2">
      <c r="A252" s="17" t="s">
        <v>169</v>
      </c>
      <c r="B252" s="11">
        <v>22</v>
      </c>
      <c r="C252" s="86">
        <v>5.2</v>
      </c>
      <c r="D252" s="17">
        <v>4932</v>
      </c>
      <c r="E252" s="17">
        <v>1000</v>
      </c>
      <c r="F252" s="17">
        <v>4932</v>
      </c>
      <c r="G252" s="17">
        <v>1000</v>
      </c>
      <c r="H252" s="17"/>
      <c r="I252" s="17"/>
      <c r="J252" s="73"/>
      <c r="K252" s="17">
        <v>42</v>
      </c>
      <c r="L252" s="17">
        <v>1.2</v>
      </c>
      <c r="M252" s="73">
        <v>332</v>
      </c>
      <c r="N252" s="196">
        <v>250</v>
      </c>
      <c r="O252" s="19">
        <v>1000</v>
      </c>
      <c r="P252" s="15">
        <v>240</v>
      </c>
      <c r="Q252" s="16"/>
      <c r="R252" s="11"/>
      <c r="S252" s="16"/>
    </row>
    <row r="253" spans="1:19" x14ac:dyDescent="0.2">
      <c r="A253" s="17" t="s">
        <v>170</v>
      </c>
      <c r="B253" s="11">
        <v>21</v>
      </c>
      <c r="C253" s="86">
        <v>8.8000000000000007</v>
      </c>
      <c r="D253" s="17"/>
      <c r="E253" s="17"/>
      <c r="F253" s="17"/>
      <c r="G253" s="17"/>
      <c r="H253" s="17"/>
      <c r="I253" s="17"/>
      <c r="J253" s="73"/>
      <c r="K253" s="17">
        <v>0</v>
      </c>
      <c r="L253" s="17">
        <v>0.9</v>
      </c>
      <c r="M253" s="73">
        <v>278</v>
      </c>
      <c r="N253" s="196">
        <v>250</v>
      </c>
      <c r="O253" s="19">
        <v>500</v>
      </c>
      <c r="P253" s="15"/>
      <c r="Q253" s="16"/>
      <c r="R253" s="11"/>
      <c r="S253" s="16"/>
    </row>
    <row r="254" spans="1:19" x14ac:dyDescent="0.2">
      <c r="A254" s="17" t="s">
        <v>171</v>
      </c>
      <c r="B254" s="11">
        <v>21</v>
      </c>
      <c r="C254" s="86">
        <v>15.3</v>
      </c>
      <c r="D254" s="17"/>
      <c r="E254" s="17"/>
      <c r="F254" s="17"/>
      <c r="G254" s="17"/>
      <c r="H254" s="17"/>
      <c r="I254" s="17"/>
      <c r="J254" s="73">
        <v>302</v>
      </c>
      <c r="K254" s="17">
        <v>98</v>
      </c>
      <c r="L254" s="17">
        <v>2.2000000000000002</v>
      </c>
      <c r="M254" s="73">
        <v>327</v>
      </c>
      <c r="N254" s="196">
        <v>250</v>
      </c>
      <c r="O254" s="19"/>
      <c r="P254" s="15"/>
      <c r="Q254" s="16"/>
      <c r="R254" s="11"/>
      <c r="S254" s="16"/>
    </row>
    <row r="255" spans="1:19" x14ac:dyDescent="0.2">
      <c r="A255" s="17" t="s">
        <v>172</v>
      </c>
      <c r="B255" s="13">
        <v>22</v>
      </c>
      <c r="C255" s="86">
        <v>25.7</v>
      </c>
      <c r="D255" s="17">
        <v>30280</v>
      </c>
      <c r="E255" s="17">
        <v>1000</v>
      </c>
      <c r="F255" s="17">
        <v>30280</v>
      </c>
      <c r="G255" s="17">
        <v>1000</v>
      </c>
      <c r="H255" s="17"/>
      <c r="I255" s="17"/>
      <c r="J255" s="73">
        <v>138</v>
      </c>
      <c r="K255" s="17">
        <v>106.3</v>
      </c>
      <c r="L255" s="17">
        <v>1.6</v>
      </c>
      <c r="M255" s="73">
        <v>271</v>
      </c>
      <c r="N255" s="196">
        <v>250</v>
      </c>
      <c r="O255" s="19"/>
      <c r="P255" s="15">
        <v>1100</v>
      </c>
      <c r="Q255" s="16"/>
      <c r="R255" s="11"/>
      <c r="S255" s="16"/>
    </row>
    <row r="256" spans="1:19" x14ac:dyDescent="0.2">
      <c r="A256" s="20" t="s">
        <v>173</v>
      </c>
      <c r="B256" s="13">
        <v>22</v>
      </c>
      <c r="C256" s="85">
        <v>39.9</v>
      </c>
      <c r="D256" s="17"/>
      <c r="E256" s="17"/>
      <c r="F256" s="17"/>
      <c r="G256" s="17"/>
      <c r="H256" s="17"/>
      <c r="I256" s="17"/>
      <c r="J256" s="73"/>
      <c r="K256" s="17">
        <v>86</v>
      </c>
      <c r="L256" s="17">
        <v>2.2000000000000002</v>
      </c>
      <c r="M256" s="197">
        <v>249</v>
      </c>
      <c r="N256" s="196">
        <v>250</v>
      </c>
      <c r="O256" s="19"/>
      <c r="P256" s="15">
        <v>728</v>
      </c>
      <c r="Q256" s="16"/>
      <c r="R256" s="11"/>
      <c r="S256" s="16"/>
    </row>
    <row r="257" spans="1:19" x14ac:dyDescent="0.2">
      <c r="A257" s="20" t="s">
        <v>174</v>
      </c>
      <c r="B257" s="13">
        <v>22</v>
      </c>
      <c r="C257" s="85">
        <v>41.8</v>
      </c>
      <c r="D257" s="17"/>
      <c r="E257" s="17"/>
      <c r="F257" s="17"/>
      <c r="G257" s="17"/>
      <c r="H257" s="17"/>
      <c r="I257" s="17"/>
      <c r="J257" s="73">
        <v>44</v>
      </c>
      <c r="K257" s="17">
        <v>14</v>
      </c>
      <c r="L257" s="17">
        <v>1.8</v>
      </c>
      <c r="M257" s="73">
        <v>272</v>
      </c>
      <c r="N257" s="196">
        <v>250</v>
      </c>
      <c r="O257" s="19"/>
      <c r="P257" s="15">
        <v>524</v>
      </c>
      <c r="Q257" s="16"/>
      <c r="R257" s="11"/>
      <c r="S257" s="16"/>
    </row>
    <row r="258" spans="1:19" x14ac:dyDescent="0.2">
      <c r="A258" s="17" t="s">
        <v>175</v>
      </c>
      <c r="B258" s="13">
        <v>22</v>
      </c>
      <c r="C258" s="194">
        <v>5.0999999999999996</v>
      </c>
      <c r="D258" s="28">
        <v>4060</v>
      </c>
      <c r="E258" s="17" t="s">
        <v>124</v>
      </c>
      <c r="F258" s="17" t="s">
        <v>95</v>
      </c>
      <c r="G258" s="29" t="s">
        <v>176</v>
      </c>
      <c r="H258" s="17">
        <v>1200</v>
      </c>
      <c r="I258" s="17" t="s">
        <v>86</v>
      </c>
      <c r="J258" s="73">
        <v>57</v>
      </c>
      <c r="K258" s="17">
        <v>36</v>
      </c>
      <c r="L258" s="17">
        <v>1.9</v>
      </c>
      <c r="M258" s="73">
        <v>270</v>
      </c>
      <c r="N258" s="73">
        <v>250</v>
      </c>
      <c r="O258" s="19"/>
      <c r="P258" s="15">
        <v>293</v>
      </c>
      <c r="Q258" s="16"/>
      <c r="R258" s="11"/>
      <c r="S258" s="16"/>
    </row>
    <row r="259" spans="1:19" x14ac:dyDescent="0.2">
      <c r="A259" s="20" t="s">
        <v>177</v>
      </c>
      <c r="B259" s="13">
        <v>22</v>
      </c>
      <c r="C259" s="85">
        <v>45.5</v>
      </c>
      <c r="D259" s="17"/>
      <c r="E259" s="17"/>
      <c r="F259" s="17"/>
      <c r="G259" s="17"/>
      <c r="H259" s="17"/>
      <c r="I259" s="17"/>
      <c r="J259" s="73"/>
      <c r="K259" s="17">
        <v>25</v>
      </c>
      <c r="L259" s="17">
        <v>2.2999999999999998</v>
      </c>
      <c r="M259" s="82">
        <v>254</v>
      </c>
      <c r="N259" s="73">
        <v>250</v>
      </c>
      <c r="O259" s="19"/>
      <c r="P259" s="15">
        <v>180</v>
      </c>
      <c r="Q259" s="16"/>
      <c r="R259" s="11"/>
      <c r="S259" s="16"/>
    </row>
    <row r="260" spans="1:19" x14ac:dyDescent="0.2">
      <c r="A260" s="20" t="s">
        <v>178</v>
      </c>
      <c r="B260" s="13">
        <v>22</v>
      </c>
      <c r="C260" s="85">
        <v>97.6</v>
      </c>
      <c r="D260" s="17"/>
      <c r="E260" s="17"/>
      <c r="F260" s="17"/>
      <c r="G260" s="17"/>
      <c r="H260" s="17"/>
      <c r="I260" s="17"/>
      <c r="J260" s="73"/>
      <c r="K260" s="17">
        <v>0</v>
      </c>
      <c r="L260" s="17">
        <v>0</v>
      </c>
      <c r="M260" s="73"/>
      <c r="N260" s="73"/>
      <c r="O260" s="19"/>
      <c r="P260" s="15">
        <v>55</v>
      </c>
      <c r="Q260" s="16"/>
      <c r="R260" s="11"/>
      <c r="S260" s="16"/>
    </row>
    <row r="261" spans="1:19" x14ac:dyDescent="0.2">
      <c r="A261" s="20" t="s">
        <v>571</v>
      </c>
      <c r="B261" s="21">
        <v>21</v>
      </c>
      <c r="C261" s="85">
        <v>9.1999999999999993</v>
      </c>
      <c r="D261" s="17"/>
      <c r="E261" s="17"/>
      <c r="F261" s="17"/>
      <c r="G261" s="17"/>
      <c r="H261" s="17"/>
      <c r="I261" s="17"/>
      <c r="J261" s="73"/>
      <c r="K261" s="17"/>
      <c r="L261" s="17">
        <v>3.3</v>
      </c>
      <c r="M261" s="73">
        <v>283</v>
      </c>
      <c r="N261" s="196">
        <v>250</v>
      </c>
      <c r="O261" s="19">
        <v>500</v>
      </c>
      <c r="P261" s="15"/>
      <c r="Q261" s="16"/>
      <c r="R261" s="11"/>
      <c r="S261" s="16"/>
    </row>
    <row r="262" spans="1:19" x14ac:dyDescent="0.2">
      <c r="A262" s="20" t="s">
        <v>179</v>
      </c>
      <c r="B262" s="21">
        <v>21</v>
      </c>
      <c r="C262" s="85">
        <v>4.5999999999999996</v>
      </c>
      <c r="D262" s="17"/>
      <c r="E262" s="17"/>
      <c r="F262" s="17"/>
      <c r="G262" s="17"/>
      <c r="H262" s="17"/>
      <c r="I262" s="17"/>
      <c r="J262" s="73">
        <v>113</v>
      </c>
      <c r="K262" s="17">
        <v>33</v>
      </c>
      <c r="L262" s="17">
        <v>0.8</v>
      </c>
      <c r="M262" s="73">
        <v>300</v>
      </c>
      <c r="N262" s="196">
        <v>250</v>
      </c>
      <c r="O262" s="19">
        <v>1000</v>
      </c>
      <c r="P262" s="15"/>
      <c r="Q262" s="16"/>
      <c r="R262" s="11"/>
      <c r="S262" s="16"/>
    </row>
    <row r="263" spans="1:19" x14ac:dyDescent="0.2">
      <c r="A263" s="20" t="s">
        <v>180</v>
      </c>
      <c r="B263" s="21">
        <v>21</v>
      </c>
      <c r="C263" s="85">
        <v>4.5</v>
      </c>
      <c r="D263" s="17"/>
      <c r="E263" s="17"/>
      <c r="F263" s="17"/>
      <c r="G263" s="17"/>
      <c r="H263" s="17"/>
      <c r="I263" s="17"/>
      <c r="J263" s="73">
        <v>113</v>
      </c>
      <c r="K263" s="17">
        <v>33</v>
      </c>
      <c r="L263" s="17">
        <v>0.8</v>
      </c>
      <c r="M263" s="73">
        <v>290</v>
      </c>
      <c r="N263" s="196">
        <v>250</v>
      </c>
      <c r="O263" s="19"/>
      <c r="P263" s="15"/>
      <c r="Q263" s="16"/>
      <c r="R263" s="11"/>
      <c r="S263" s="16"/>
    </row>
    <row r="264" spans="1:19" x14ac:dyDescent="0.2">
      <c r="A264" s="20" t="s">
        <v>181</v>
      </c>
      <c r="B264" s="21">
        <v>22</v>
      </c>
      <c r="C264" s="85">
        <v>4.5</v>
      </c>
      <c r="D264" s="17"/>
      <c r="E264" s="17"/>
      <c r="F264" s="17"/>
      <c r="G264" s="17"/>
      <c r="H264" s="17"/>
      <c r="I264" s="17"/>
      <c r="J264" s="73">
        <v>100</v>
      </c>
      <c r="K264" s="17">
        <v>33</v>
      </c>
      <c r="L264" s="17">
        <v>0.8</v>
      </c>
      <c r="M264" s="82">
        <v>255</v>
      </c>
      <c r="N264" s="196">
        <v>250</v>
      </c>
      <c r="O264" s="19"/>
      <c r="P264" s="15"/>
      <c r="Q264" s="16"/>
      <c r="R264" s="11"/>
      <c r="S264" s="16"/>
    </row>
    <row r="265" spans="1:19" x14ac:dyDescent="0.2">
      <c r="A265" s="20" t="s">
        <v>182</v>
      </c>
      <c r="B265" s="21">
        <v>22</v>
      </c>
      <c r="C265" s="85">
        <v>4.5</v>
      </c>
      <c r="D265" s="17"/>
      <c r="E265" s="17"/>
      <c r="F265" s="17"/>
      <c r="G265" s="17"/>
      <c r="H265" s="17"/>
      <c r="I265" s="17"/>
      <c r="J265" s="73">
        <v>121</v>
      </c>
      <c r="K265" s="17">
        <v>33</v>
      </c>
      <c r="L265" s="17">
        <v>0.9</v>
      </c>
      <c r="M265" s="73">
        <v>299</v>
      </c>
      <c r="N265" s="196">
        <v>250</v>
      </c>
      <c r="O265" s="19">
        <v>1000</v>
      </c>
      <c r="P265" s="15"/>
      <c r="Q265" s="16"/>
      <c r="R265" s="11"/>
      <c r="S265" s="16"/>
    </row>
    <row r="266" spans="1:19" x14ac:dyDescent="0.2">
      <c r="A266" s="20" t="s">
        <v>183</v>
      </c>
      <c r="B266" s="21">
        <v>22</v>
      </c>
      <c r="C266" s="85">
        <v>11.9</v>
      </c>
      <c r="D266" s="17"/>
      <c r="E266" s="17"/>
      <c r="F266" s="17"/>
      <c r="G266" s="17"/>
      <c r="H266" s="17"/>
      <c r="I266" s="17"/>
      <c r="J266" s="73"/>
      <c r="K266" s="17">
        <v>52</v>
      </c>
      <c r="L266" s="17">
        <v>4.3</v>
      </c>
      <c r="M266" s="73"/>
      <c r="N266" s="196">
        <v>250</v>
      </c>
      <c r="O266" s="19">
        <v>500</v>
      </c>
      <c r="P266" s="15">
        <v>228</v>
      </c>
      <c r="Q266" s="16"/>
      <c r="R266" s="11"/>
      <c r="S266" s="16"/>
    </row>
    <row r="267" spans="1:19" x14ac:dyDescent="0.2">
      <c r="A267" s="17" t="s">
        <v>184</v>
      </c>
      <c r="B267" s="13">
        <v>22</v>
      </c>
      <c r="C267" s="86">
        <v>4.8</v>
      </c>
      <c r="D267" s="17"/>
      <c r="E267" s="17"/>
      <c r="F267" s="17"/>
      <c r="G267" s="17"/>
      <c r="H267" s="17"/>
      <c r="I267" s="17"/>
      <c r="J267" s="73"/>
      <c r="K267" s="17">
        <v>81</v>
      </c>
      <c r="L267" s="17">
        <v>2.9</v>
      </c>
      <c r="M267" s="73">
        <v>293</v>
      </c>
      <c r="N267" s="196">
        <v>250</v>
      </c>
      <c r="O267" s="19"/>
      <c r="P267" s="15">
        <v>1472</v>
      </c>
      <c r="Q267" s="16"/>
      <c r="R267" s="11"/>
      <c r="S267" s="16"/>
    </row>
    <row r="268" spans="1:19" x14ac:dyDescent="0.2">
      <c r="A268" s="17" t="s">
        <v>521</v>
      </c>
      <c r="B268" s="11">
        <v>22</v>
      </c>
      <c r="C268" s="86">
        <v>3.6</v>
      </c>
      <c r="D268" s="17">
        <v>3200</v>
      </c>
      <c r="E268" s="17">
        <v>1000</v>
      </c>
      <c r="F268" s="17">
        <v>3200</v>
      </c>
      <c r="G268" s="17">
        <v>1000</v>
      </c>
      <c r="H268" s="17"/>
      <c r="I268" s="17"/>
      <c r="J268" s="73">
        <v>83</v>
      </c>
      <c r="K268" s="17">
        <v>44</v>
      </c>
      <c r="L268" s="17">
        <v>0.8</v>
      </c>
      <c r="M268" s="197">
        <v>247</v>
      </c>
      <c r="N268" s="196">
        <v>250</v>
      </c>
      <c r="O268" s="19"/>
      <c r="P268" s="15">
        <v>812</v>
      </c>
      <c r="Q268" s="16"/>
      <c r="R268" s="11"/>
      <c r="S268" s="16"/>
    </row>
    <row r="269" spans="1:19" x14ac:dyDescent="0.2">
      <c r="A269" s="17" t="s">
        <v>642</v>
      </c>
      <c r="B269" s="11">
        <v>22</v>
      </c>
      <c r="C269" s="86">
        <v>7.2</v>
      </c>
      <c r="D269" s="17"/>
      <c r="E269" s="17"/>
      <c r="F269" s="17"/>
      <c r="G269" s="17"/>
      <c r="H269" s="17"/>
      <c r="I269" s="17"/>
      <c r="J269" s="73"/>
      <c r="K269" s="17"/>
      <c r="L269" s="17"/>
      <c r="M269" s="73"/>
      <c r="N269" s="196"/>
      <c r="O269" s="19"/>
      <c r="P269" s="15">
        <v>70</v>
      </c>
      <c r="Q269" s="16"/>
      <c r="R269" s="11"/>
      <c r="S269" s="16"/>
    </row>
    <row r="270" spans="1:19" x14ac:dyDescent="0.2">
      <c r="A270" s="17" t="s">
        <v>185</v>
      </c>
      <c r="B270" s="13">
        <v>22</v>
      </c>
      <c r="C270" s="86">
        <v>8.3000000000000007</v>
      </c>
      <c r="D270" s="17"/>
      <c r="E270" s="17"/>
      <c r="F270" s="17"/>
      <c r="G270" s="17"/>
      <c r="H270" s="17"/>
      <c r="I270" s="17"/>
      <c r="J270" s="73">
        <v>42</v>
      </c>
      <c r="K270" s="17">
        <v>12</v>
      </c>
      <c r="L270" s="17">
        <v>3.8</v>
      </c>
      <c r="M270" s="73">
        <v>334</v>
      </c>
      <c r="N270" s="196">
        <v>250</v>
      </c>
      <c r="O270" s="19"/>
      <c r="P270" s="15">
        <v>997</v>
      </c>
      <c r="Q270" s="16"/>
      <c r="R270" s="11"/>
      <c r="S270" s="16"/>
    </row>
    <row r="271" spans="1:19" x14ac:dyDescent="0.2">
      <c r="A271" s="17" t="s">
        <v>550</v>
      </c>
      <c r="B271" s="13">
        <v>22</v>
      </c>
      <c r="C271" s="86">
        <v>11.2</v>
      </c>
      <c r="D271" s="17"/>
      <c r="E271" s="17"/>
      <c r="F271" s="17"/>
      <c r="G271" s="17"/>
      <c r="H271" s="17"/>
      <c r="I271" s="17"/>
      <c r="J271" s="73"/>
      <c r="K271" s="17"/>
      <c r="L271" s="17">
        <v>0</v>
      </c>
      <c r="M271" s="73"/>
      <c r="N271" s="196"/>
      <c r="O271" s="19"/>
      <c r="P271" s="15">
        <v>132</v>
      </c>
      <c r="Q271" s="16"/>
      <c r="R271" s="11"/>
      <c r="S271" s="16"/>
    </row>
    <row r="272" spans="1:19" x14ac:dyDescent="0.2">
      <c r="A272" s="17" t="s">
        <v>757</v>
      </c>
      <c r="B272" s="13"/>
      <c r="C272" s="86"/>
      <c r="D272" s="17"/>
      <c r="E272" s="17"/>
      <c r="F272" s="17"/>
      <c r="G272" s="17"/>
      <c r="H272" s="17"/>
      <c r="I272" s="17"/>
      <c r="J272" s="73"/>
      <c r="K272" s="17"/>
      <c r="L272" s="17"/>
      <c r="M272" s="73">
        <v>341</v>
      </c>
      <c r="N272" s="196">
        <v>250</v>
      </c>
      <c r="O272" s="19"/>
      <c r="P272" s="15"/>
      <c r="Q272" s="16"/>
      <c r="R272" s="11"/>
      <c r="S272" s="16"/>
    </row>
    <row r="273" spans="1:19" x14ac:dyDescent="0.2">
      <c r="A273" s="17" t="s">
        <v>758</v>
      </c>
      <c r="B273" s="13"/>
      <c r="C273" s="86"/>
      <c r="D273" s="17"/>
      <c r="E273" s="17"/>
      <c r="F273" s="17"/>
      <c r="G273" s="17"/>
      <c r="H273" s="17"/>
      <c r="I273" s="17"/>
      <c r="J273" s="73"/>
      <c r="K273" s="17"/>
      <c r="L273" s="17"/>
      <c r="M273" s="73">
        <v>360</v>
      </c>
      <c r="N273" s="196">
        <v>250</v>
      </c>
      <c r="O273" s="19"/>
      <c r="P273" s="15"/>
      <c r="Q273" s="16"/>
      <c r="R273" s="11"/>
      <c r="S273" s="16"/>
    </row>
    <row r="274" spans="1:19" x14ac:dyDescent="0.2">
      <c r="A274" s="17" t="s">
        <v>186</v>
      </c>
      <c r="B274" s="13">
        <v>22</v>
      </c>
      <c r="C274" s="86">
        <v>3.8</v>
      </c>
      <c r="D274" s="17"/>
      <c r="E274" s="17"/>
      <c r="F274" s="17"/>
      <c r="G274" s="17"/>
      <c r="H274" s="17"/>
      <c r="I274" s="17"/>
      <c r="J274" s="73">
        <v>133</v>
      </c>
      <c r="K274" s="17">
        <v>33</v>
      </c>
      <c r="L274" s="17">
        <v>1</v>
      </c>
      <c r="M274" s="73">
        <v>314</v>
      </c>
      <c r="N274" s="196">
        <v>250</v>
      </c>
      <c r="O274" s="19">
        <v>2000</v>
      </c>
      <c r="P274" s="15">
        <v>482</v>
      </c>
      <c r="Q274" s="16"/>
      <c r="R274" s="11"/>
      <c r="S274" s="16"/>
    </row>
    <row r="275" spans="1:19" x14ac:dyDescent="0.2">
      <c r="A275" s="20" t="s">
        <v>187</v>
      </c>
      <c r="B275" s="21">
        <v>22</v>
      </c>
      <c r="C275" s="85">
        <v>5</v>
      </c>
      <c r="D275" s="17"/>
      <c r="E275" s="17"/>
      <c r="F275" s="17"/>
      <c r="G275" s="17"/>
      <c r="H275" s="17"/>
      <c r="I275" s="17"/>
      <c r="J275" s="73"/>
      <c r="K275" s="17">
        <v>53</v>
      </c>
      <c r="L275" s="17">
        <v>2.2000000000000002</v>
      </c>
      <c r="M275" s="73">
        <v>317</v>
      </c>
      <c r="N275" s="196">
        <v>250</v>
      </c>
      <c r="O275" s="19">
        <v>2000</v>
      </c>
      <c r="P275" s="15">
        <v>252</v>
      </c>
      <c r="Q275" s="16"/>
      <c r="R275" s="11"/>
      <c r="S275" s="16"/>
    </row>
    <row r="276" spans="1:19" x14ac:dyDescent="0.2">
      <c r="A276" s="20" t="s">
        <v>188</v>
      </c>
      <c r="B276" s="21">
        <v>22</v>
      </c>
      <c r="C276" s="85">
        <v>5</v>
      </c>
      <c r="D276" s="17"/>
      <c r="E276" s="17"/>
      <c r="F276" s="17"/>
      <c r="G276" s="17"/>
      <c r="H276" s="17"/>
      <c r="I276" s="17"/>
      <c r="J276" s="73"/>
      <c r="K276" s="17">
        <v>60</v>
      </c>
      <c r="L276" s="17">
        <v>1.2</v>
      </c>
      <c r="M276" s="73">
        <v>261</v>
      </c>
      <c r="N276" s="196">
        <v>250</v>
      </c>
      <c r="O276" s="19"/>
      <c r="P276" s="15"/>
      <c r="Q276" s="16"/>
      <c r="R276" s="11"/>
      <c r="S276" s="16"/>
    </row>
    <row r="277" spans="1:19" x14ac:dyDescent="0.2">
      <c r="A277" s="20" t="s">
        <v>759</v>
      </c>
      <c r="B277" s="21"/>
      <c r="C277" s="85"/>
      <c r="D277" s="17"/>
      <c r="E277" s="17"/>
      <c r="F277" s="17"/>
      <c r="G277" s="17"/>
      <c r="H277" s="17"/>
      <c r="I277" s="17"/>
      <c r="J277" s="73"/>
      <c r="K277" s="17"/>
      <c r="L277" s="17"/>
      <c r="M277" s="73">
        <v>291</v>
      </c>
      <c r="N277" s="196">
        <v>250</v>
      </c>
      <c r="O277" s="19"/>
      <c r="P277" s="15"/>
      <c r="Q277" s="16"/>
      <c r="R277" s="11"/>
      <c r="S277" s="16"/>
    </row>
    <row r="278" spans="1:19" x14ac:dyDescent="0.2">
      <c r="A278" s="20" t="s">
        <v>581</v>
      </c>
      <c r="B278" s="21">
        <v>22</v>
      </c>
      <c r="C278" s="85">
        <v>5.0999999999999996</v>
      </c>
      <c r="D278" s="17"/>
      <c r="E278" s="17"/>
      <c r="F278" s="17"/>
      <c r="G278" s="17"/>
      <c r="H278" s="17"/>
      <c r="I278" s="17"/>
      <c r="J278" s="73"/>
      <c r="K278" s="17">
        <v>42</v>
      </c>
      <c r="L278" s="17">
        <v>1.1000000000000001</v>
      </c>
      <c r="M278" s="73">
        <v>335</v>
      </c>
      <c r="N278" s="196">
        <v>250</v>
      </c>
      <c r="O278" s="19">
        <v>2000</v>
      </c>
      <c r="P278" s="15">
        <v>2873</v>
      </c>
      <c r="Q278" s="16"/>
      <c r="R278" s="11"/>
      <c r="S278" s="16"/>
    </row>
    <row r="279" spans="1:19" x14ac:dyDescent="0.2">
      <c r="A279" s="20" t="s">
        <v>582</v>
      </c>
      <c r="B279" s="21">
        <v>22</v>
      </c>
      <c r="C279" s="85">
        <v>5.0999999999999996</v>
      </c>
      <c r="D279" s="17"/>
      <c r="E279" s="17"/>
      <c r="F279" s="17"/>
      <c r="G279" s="17"/>
      <c r="H279" s="17"/>
      <c r="I279" s="17"/>
      <c r="J279" s="73"/>
      <c r="K279" s="17"/>
      <c r="L279" s="17"/>
      <c r="M279" s="73"/>
      <c r="N279" s="196"/>
      <c r="O279" s="19">
        <v>2000</v>
      </c>
      <c r="P279" s="15">
        <v>2000</v>
      </c>
      <c r="Q279" s="16"/>
      <c r="R279" s="11"/>
      <c r="S279" s="16"/>
    </row>
    <row r="280" spans="1:19" x14ac:dyDescent="0.2">
      <c r="A280" s="20" t="s">
        <v>583</v>
      </c>
      <c r="B280" s="21">
        <v>21</v>
      </c>
      <c r="C280" s="85">
        <v>5.5</v>
      </c>
      <c r="D280" s="17"/>
      <c r="E280" s="17"/>
      <c r="F280" s="17"/>
      <c r="G280" s="17"/>
      <c r="H280" s="17"/>
      <c r="I280" s="17"/>
      <c r="J280" s="73"/>
      <c r="K280" s="17"/>
      <c r="L280" s="17"/>
      <c r="M280" s="73"/>
      <c r="N280" s="196"/>
      <c r="O280" s="19">
        <v>2000</v>
      </c>
      <c r="P280" s="15"/>
      <c r="Q280" s="16"/>
      <c r="R280" s="11"/>
      <c r="S280" s="16"/>
    </row>
    <row r="281" spans="1:19" x14ac:dyDescent="0.2">
      <c r="A281" s="20" t="s">
        <v>551</v>
      </c>
      <c r="B281" s="21">
        <v>22</v>
      </c>
      <c r="C281" s="89">
        <v>8.1999999999999993</v>
      </c>
      <c r="D281" s="17"/>
      <c r="E281" s="17"/>
      <c r="F281" s="17"/>
      <c r="G281" s="17"/>
      <c r="H281" s="17"/>
      <c r="I281" s="17"/>
      <c r="J281" s="73"/>
      <c r="K281" s="17">
        <v>42</v>
      </c>
      <c r="L281" s="17">
        <v>2</v>
      </c>
      <c r="M281" s="73">
        <v>324</v>
      </c>
      <c r="N281" s="196">
        <v>250</v>
      </c>
      <c r="O281" s="19">
        <v>500</v>
      </c>
      <c r="P281" s="15">
        <v>197</v>
      </c>
      <c r="Q281" s="16"/>
      <c r="R281" s="11"/>
      <c r="S281" s="16"/>
    </row>
    <row r="282" spans="1:19" x14ac:dyDescent="0.2">
      <c r="A282" s="17" t="s">
        <v>189</v>
      </c>
      <c r="B282" s="13">
        <v>22</v>
      </c>
      <c r="C282" s="86">
        <v>121.3</v>
      </c>
      <c r="D282" s="17"/>
      <c r="E282" s="17"/>
      <c r="F282" s="17"/>
      <c r="G282" s="17"/>
      <c r="H282" s="17"/>
      <c r="I282" s="17"/>
      <c r="J282" s="73"/>
      <c r="K282" s="17">
        <v>0</v>
      </c>
      <c r="L282" s="17">
        <v>0</v>
      </c>
      <c r="M282" s="73"/>
      <c r="N282" s="73"/>
      <c r="O282" s="19">
        <v>125</v>
      </c>
      <c r="P282" s="15"/>
      <c r="Q282" s="16"/>
      <c r="R282" s="11"/>
      <c r="S282" s="16"/>
    </row>
    <row r="283" spans="1:19" x14ac:dyDescent="0.2">
      <c r="A283" s="17" t="s">
        <v>584</v>
      </c>
      <c r="B283" s="13">
        <v>22</v>
      </c>
      <c r="C283" s="86">
        <v>169.1</v>
      </c>
      <c r="D283" s="17"/>
      <c r="E283" s="17"/>
      <c r="F283" s="17"/>
      <c r="G283" s="17"/>
      <c r="H283" s="17"/>
      <c r="I283" s="17"/>
      <c r="J283" s="73">
        <v>22</v>
      </c>
      <c r="K283" s="17">
        <v>14</v>
      </c>
      <c r="L283" s="17">
        <v>1</v>
      </c>
      <c r="M283" s="82">
        <v>254</v>
      </c>
      <c r="N283" s="73">
        <v>250</v>
      </c>
      <c r="O283" s="19"/>
      <c r="P283" s="15">
        <v>56</v>
      </c>
      <c r="Q283" s="16"/>
      <c r="R283" s="11"/>
      <c r="S283" s="16"/>
    </row>
    <row r="284" spans="1:19" x14ac:dyDescent="0.2">
      <c r="A284" s="17" t="s">
        <v>761</v>
      </c>
      <c r="B284" s="13"/>
      <c r="C284" s="86"/>
      <c r="D284" s="17"/>
      <c r="E284" s="17"/>
      <c r="F284" s="17"/>
      <c r="G284" s="17"/>
      <c r="H284" s="17"/>
      <c r="I284" s="17"/>
      <c r="J284" s="73"/>
      <c r="K284" s="17"/>
      <c r="L284" s="17"/>
      <c r="M284" s="82">
        <v>254</v>
      </c>
      <c r="N284" s="73">
        <v>250</v>
      </c>
      <c r="O284" s="19"/>
      <c r="P284" s="15"/>
      <c r="Q284" s="16"/>
      <c r="R284" s="11"/>
      <c r="S284" s="16"/>
    </row>
    <row r="285" spans="1:19" x14ac:dyDescent="0.2">
      <c r="A285" s="20" t="s">
        <v>585</v>
      </c>
      <c r="B285" s="21">
        <v>22</v>
      </c>
      <c r="C285" s="89">
        <v>5.5</v>
      </c>
      <c r="D285" s="17"/>
      <c r="E285" s="17"/>
      <c r="F285" s="17"/>
      <c r="G285" s="17"/>
      <c r="H285" s="17"/>
      <c r="I285" s="17"/>
      <c r="J285" s="73"/>
      <c r="K285" s="17">
        <v>30</v>
      </c>
      <c r="L285" s="17">
        <v>1.3</v>
      </c>
      <c r="M285" s="82">
        <v>264</v>
      </c>
      <c r="N285" s="73">
        <v>250</v>
      </c>
      <c r="O285" s="19"/>
      <c r="P285" s="15">
        <v>232</v>
      </c>
      <c r="Q285" s="16"/>
      <c r="R285" s="11"/>
      <c r="S285" s="16"/>
    </row>
    <row r="286" spans="1:19" x14ac:dyDescent="0.2">
      <c r="A286" s="17" t="s">
        <v>190</v>
      </c>
      <c r="B286" s="13">
        <v>21</v>
      </c>
      <c r="C286" s="86">
        <v>6</v>
      </c>
      <c r="D286" s="17"/>
      <c r="E286" s="17"/>
      <c r="F286" s="17"/>
      <c r="G286" s="17"/>
      <c r="H286" s="17"/>
      <c r="I286" s="17"/>
      <c r="J286" s="73">
        <v>217</v>
      </c>
      <c r="K286" s="17">
        <v>148.9</v>
      </c>
      <c r="L286" s="17">
        <v>4.2</v>
      </c>
      <c r="M286" s="73">
        <v>321</v>
      </c>
      <c r="N286" s="73">
        <v>250</v>
      </c>
      <c r="O286" s="19">
        <v>500</v>
      </c>
      <c r="P286" s="15"/>
      <c r="Q286" s="16"/>
      <c r="R286" s="11"/>
      <c r="S286" s="16"/>
    </row>
    <row r="287" spans="1:19" x14ac:dyDescent="0.2">
      <c r="A287" s="17" t="s">
        <v>586</v>
      </c>
      <c r="B287" s="13">
        <v>22</v>
      </c>
      <c r="C287" s="86">
        <v>11.2</v>
      </c>
      <c r="D287" s="17"/>
      <c r="E287" s="17"/>
      <c r="F287" s="17"/>
      <c r="G287" s="17"/>
      <c r="H287" s="17"/>
      <c r="I287" s="17"/>
      <c r="J287" s="73">
        <v>163</v>
      </c>
      <c r="K287" s="17">
        <v>153</v>
      </c>
      <c r="L287" s="17">
        <v>0.9</v>
      </c>
      <c r="M287" s="82">
        <v>252</v>
      </c>
      <c r="N287" s="73">
        <v>250</v>
      </c>
      <c r="O287" s="19"/>
      <c r="P287" s="15">
        <v>200</v>
      </c>
      <c r="Q287" s="16"/>
      <c r="R287" s="11"/>
      <c r="S287" s="16"/>
    </row>
    <row r="288" spans="1:19" x14ac:dyDescent="0.2">
      <c r="A288" s="17" t="s">
        <v>587</v>
      </c>
      <c r="B288" s="13">
        <v>22</v>
      </c>
      <c r="C288" s="86">
        <v>153.69999999999999</v>
      </c>
      <c r="D288" s="17"/>
      <c r="E288" s="17"/>
      <c r="F288" s="17"/>
      <c r="G288" s="17"/>
      <c r="H288" s="17"/>
      <c r="I288" s="17"/>
      <c r="J288" s="73"/>
      <c r="K288" s="17">
        <v>18</v>
      </c>
      <c r="L288" s="17">
        <v>1.3</v>
      </c>
      <c r="M288" s="73">
        <v>264</v>
      </c>
      <c r="N288" s="73">
        <v>250</v>
      </c>
      <c r="O288" s="19"/>
      <c r="P288" s="15">
        <v>300</v>
      </c>
      <c r="Q288" s="16"/>
      <c r="R288" s="11"/>
      <c r="S288" s="16"/>
    </row>
    <row r="289" spans="1:19" x14ac:dyDescent="0.2">
      <c r="A289" s="17" t="s">
        <v>191</v>
      </c>
      <c r="B289" s="13">
        <v>21</v>
      </c>
      <c r="C289" s="86">
        <v>8.5</v>
      </c>
      <c r="D289" s="17"/>
      <c r="E289" s="17"/>
      <c r="F289" s="17"/>
      <c r="G289" s="17"/>
      <c r="H289" s="17"/>
      <c r="I289" s="17"/>
      <c r="J289" s="73"/>
      <c r="K289" s="17">
        <v>36</v>
      </c>
      <c r="L289" s="17">
        <v>1.7</v>
      </c>
      <c r="M289" s="73"/>
      <c r="N289" s="73">
        <v>250</v>
      </c>
      <c r="O289" s="19">
        <v>300</v>
      </c>
      <c r="P289" s="15"/>
      <c r="Q289" s="16"/>
      <c r="R289" s="11"/>
      <c r="S289" s="16"/>
    </row>
    <row r="290" spans="1:19" x14ac:dyDescent="0.2">
      <c r="A290" s="17" t="s">
        <v>192</v>
      </c>
      <c r="B290" s="13">
        <v>22</v>
      </c>
      <c r="C290" s="86">
        <v>5</v>
      </c>
      <c r="D290" s="17"/>
      <c r="E290" s="17"/>
      <c r="F290" s="17"/>
      <c r="G290" s="17"/>
      <c r="H290" s="17"/>
      <c r="I290" s="17"/>
      <c r="J290" s="73"/>
      <c r="K290" s="17">
        <v>0</v>
      </c>
      <c r="L290" s="17">
        <v>0</v>
      </c>
      <c r="M290" s="73"/>
      <c r="N290" s="73"/>
      <c r="O290" s="19"/>
      <c r="P290" s="15">
        <v>9</v>
      </c>
      <c r="Q290" s="16"/>
      <c r="R290" s="11"/>
      <c r="S290" s="16"/>
    </row>
    <row r="291" spans="1:19" x14ac:dyDescent="0.2">
      <c r="A291" s="17" t="s">
        <v>193</v>
      </c>
      <c r="B291" s="13">
        <v>22</v>
      </c>
      <c r="C291" s="86">
        <v>8.8000000000000007</v>
      </c>
      <c r="D291" s="17"/>
      <c r="E291" s="17"/>
      <c r="F291" s="17"/>
      <c r="G291" s="17"/>
      <c r="H291" s="17"/>
      <c r="I291" s="17"/>
      <c r="J291" s="73"/>
      <c r="K291" s="17">
        <v>127.2</v>
      </c>
      <c r="L291" s="17">
        <v>0.9</v>
      </c>
      <c r="M291" s="82">
        <v>256</v>
      </c>
      <c r="N291" s="196">
        <v>250</v>
      </c>
      <c r="O291" s="19">
        <v>2000</v>
      </c>
      <c r="P291" s="15">
        <v>404</v>
      </c>
      <c r="Q291" s="16"/>
      <c r="R291" s="11"/>
      <c r="S291" s="16"/>
    </row>
    <row r="292" spans="1:19" x14ac:dyDescent="0.2">
      <c r="A292" s="17" t="s">
        <v>194</v>
      </c>
      <c r="B292" s="13">
        <v>22</v>
      </c>
      <c r="C292" s="86">
        <v>5</v>
      </c>
      <c r="D292" s="17"/>
      <c r="E292" s="17"/>
      <c r="F292" s="17"/>
      <c r="G292" s="17"/>
      <c r="H292" s="17"/>
      <c r="I292" s="17"/>
      <c r="J292" s="73">
        <v>143</v>
      </c>
      <c r="K292" s="17">
        <v>58</v>
      </c>
      <c r="L292" s="17">
        <v>1</v>
      </c>
      <c r="M292" s="82">
        <v>259</v>
      </c>
      <c r="N292" s="196">
        <v>250</v>
      </c>
      <c r="O292" s="19"/>
      <c r="P292" s="15">
        <v>872</v>
      </c>
      <c r="Q292" s="16"/>
      <c r="R292" s="11"/>
      <c r="S292" s="16"/>
    </row>
    <row r="293" spans="1:19" x14ac:dyDescent="0.2">
      <c r="A293" s="17" t="s">
        <v>428</v>
      </c>
      <c r="B293" s="13">
        <v>22</v>
      </c>
      <c r="C293" s="86">
        <v>5.2</v>
      </c>
      <c r="D293" s="17"/>
      <c r="E293" s="17"/>
      <c r="F293" s="17"/>
      <c r="G293" s="17"/>
      <c r="H293" s="17"/>
      <c r="I293" s="17"/>
      <c r="J293" s="73">
        <v>123</v>
      </c>
      <c r="K293" s="17">
        <v>42</v>
      </c>
      <c r="L293" s="17">
        <v>2</v>
      </c>
      <c r="M293" s="73">
        <v>350</v>
      </c>
      <c r="N293" s="196">
        <v>250</v>
      </c>
      <c r="O293" s="19"/>
      <c r="P293" s="15">
        <v>805</v>
      </c>
      <c r="Q293" s="16"/>
      <c r="R293" s="11"/>
      <c r="S293" s="16"/>
    </row>
    <row r="294" spans="1:19" x14ac:dyDescent="0.2">
      <c r="A294" s="17" t="s">
        <v>195</v>
      </c>
      <c r="B294" s="13">
        <v>22</v>
      </c>
      <c r="C294" s="86">
        <v>8.6999999999999993</v>
      </c>
      <c r="D294" s="17"/>
      <c r="E294" s="17"/>
      <c r="F294" s="17"/>
      <c r="G294" s="17"/>
      <c r="H294" s="17"/>
      <c r="I294" s="17"/>
      <c r="J294" s="73">
        <v>95</v>
      </c>
      <c r="K294" s="17">
        <v>85</v>
      </c>
      <c r="L294" s="17">
        <v>0.8</v>
      </c>
      <c r="M294" s="73">
        <v>264</v>
      </c>
      <c r="N294" s="196">
        <v>250</v>
      </c>
      <c r="O294" s="19"/>
      <c r="P294" s="15">
        <v>200</v>
      </c>
      <c r="Q294" s="16"/>
      <c r="R294" s="11"/>
      <c r="S294" s="16"/>
    </row>
    <row r="295" spans="1:19" x14ac:dyDescent="0.2">
      <c r="A295" s="17" t="s">
        <v>196</v>
      </c>
      <c r="B295" s="26">
        <v>21</v>
      </c>
      <c r="C295" s="194">
        <v>3.8</v>
      </c>
      <c r="D295" s="28">
        <v>3925</v>
      </c>
      <c r="E295" s="17" t="s">
        <v>197</v>
      </c>
      <c r="F295" s="17" t="s">
        <v>95</v>
      </c>
      <c r="G295" s="29" t="s">
        <v>198</v>
      </c>
      <c r="H295" s="17">
        <v>1200</v>
      </c>
      <c r="I295" s="17" t="s">
        <v>86</v>
      </c>
      <c r="J295" s="73">
        <v>237</v>
      </c>
      <c r="K295" s="17">
        <v>142.1</v>
      </c>
      <c r="L295" s="17">
        <v>1</v>
      </c>
      <c r="M295" s="73">
        <v>269</v>
      </c>
      <c r="N295" s="196">
        <v>250</v>
      </c>
      <c r="O295" s="19">
        <v>1200</v>
      </c>
      <c r="P295" s="15"/>
      <c r="Q295" s="16"/>
      <c r="R295" s="11"/>
      <c r="S295" s="16"/>
    </row>
    <row r="296" spans="1:19" x14ac:dyDescent="0.2">
      <c r="A296" s="17" t="s">
        <v>199</v>
      </c>
      <c r="B296" s="13">
        <v>22</v>
      </c>
      <c r="C296" s="86">
        <v>20</v>
      </c>
      <c r="D296" s="17"/>
      <c r="E296" s="17"/>
      <c r="F296" s="17"/>
      <c r="G296" s="17"/>
      <c r="H296" s="17"/>
      <c r="I296" s="17"/>
      <c r="J296" s="73"/>
      <c r="K296" s="17">
        <v>84</v>
      </c>
      <c r="L296" s="17">
        <v>1.3</v>
      </c>
      <c r="M296" s="73"/>
      <c r="N296" s="73"/>
      <c r="O296" s="19"/>
      <c r="P296" s="15">
        <v>252</v>
      </c>
      <c r="Q296" s="16"/>
      <c r="R296" s="11"/>
      <c r="S296" s="16"/>
    </row>
    <row r="297" spans="1:19" x14ac:dyDescent="0.2">
      <c r="A297" s="17" t="s">
        <v>200</v>
      </c>
      <c r="B297" s="26">
        <v>22</v>
      </c>
      <c r="C297" s="194">
        <v>7.9</v>
      </c>
      <c r="D297" s="28">
        <v>1976</v>
      </c>
      <c r="E297" s="17" t="s">
        <v>201</v>
      </c>
      <c r="F297" s="17" t="s">
        <v>95</v>
      </c>
      <c r="G297" s="29" t="s">
        <v>202</v>
      </c>
      <c r="H297" s="17">
        <v>500</v>
      </c>
      <c r="I297" s="17" t="s">
        <v>86</v>
      </c>
      <c r="J297" s="73"/>
      <c r="K297" s="17">
        <v>35</v>
      </c>
      <c r="L297" s="17">
        <v>1.5</v>
      </c>
      <c r="M297" s="73">
        <v>275</v>
      </c>
      <c r="N297" s="196">
        <v>250</v>
      </c>
      <c r="O297" s="19">
        <v>500</v>
      </c>
      <c r="P297" s="15">
        <v>1222</v>
      </c>
      <c r="Q297" s="16"/>
      <c r="R297" s="11"/>
      <c r="S297" s="16"/>
    </row>
    <row r="298" spans="1:19" x14ac:dyDescent="0.2">
      <c r="A298" s="17" t="s">
        <v>588</v>
      </c>
      <c r="B298" s="26">
        <v>22</v>
      </c>
      <c r="C298" s="194">
        <v>9.6999999999999993</v>
      </c>
      <c r="D298" s="28"/>
      <c r="E298" s="17"/>
      <c r="F298" s="17"/>
      <c r="G298" s="29"/>
      <c r="H298" s="17"/>
      <c r="I298" s="17"/>
      <c r="J298" s="73"/>
      <c r="K298" s="17">
        <v>17</v>
      </c>
      <c r="L298" s="17">
        <v>0.6</v>
      </c>
      <c r="M298" s="82">
        <v>256</v>
      </c>
      <c r="N298" s="196">
        <v>250</v>
      </c>
      <c r="O298" s="19"/>
      <c r="P298" s="15">
        <v>510</v>
      </c>
      <c r="Q298" s="16"/>
      <c r="R298" s="11"/>
      <c r="S298" s="16"/>
    </row>
    <row r="299" spans="1:19" x14ac:dyDescent="0.2">
      <c r="A299" s="17" t="s">
        <v>589</v>
      </c>
      <c r="B299" s="26">
        <v>22</v>
      </c>
      <c r="C299" s="194">
        <v>17.8</v>
      </c>
      <c r="D299" s="28"/>
      <c r="E299" s="17"/>
      <c r="F299" s="17"/>
      <c r="G299" s="29"/>
      <c r="H299" s="17"/>
      <c r="I299" s="17"/>
      <c r="J299" s="73"/>
      <c r="K299" s="17">
        <v>41</v>
      </c>
      <c r="L299" s="17">
        <v>1.2</v>
      </c>
      <c r="M299" s="73">
        <v>303</v>
      </c>
      <c r="N299" s="196">
        <v>250</v>
      </c>
      <c r="O299" s="19">
        <v>1000</v>
      </c>
      <c r="P299" s="15">
        <v>532</v>
      </c>
      <c r="Q299" s="16"/>
      <c r="R299" s="11"/>
      <c r="S299" s="16"/>
    </row>
    <row r="300" spans="1:19" x14ac:dyDescent="0.2">
      <c r="A300" s="17" t="s">
        <v>590</v>
      </c>
      <c r="B300" s="26">
        <v>22</v>
      </c>
      <c r="C300" s="194">
        <v>34.1</v>
      </c>
      <c r="D300" s="28"/>
      <c r="E300" s="17"/>
      <c r="F300" s="17"/>
      <c r="G300" s="29"/>
      <c r="H300" s="17"/>
      <c r="I300" s="17"/>
      <c r="J300" s="73">
        <v>198</v>
      </c>
      <c r="K300" s="17">
        <v>52</v>
      </c>
      <c r="L300" s="17">
        <v>2.4</v>
      </c>
      <c r="M300" s="82">
        <v>254</v>
      </c>
      <c r="N300" s="196">
        <v>250</v>
      </c>
      <c r="O300" s="19">
        <v>1000</v>
      </c>
      <c r="P300" s="15">
        <v>526</v>
      </c>
      <c r="Q300" s="16"/>
      <c r="R300" s="11"/>
      <c r="S300" s="16"/>
    </row>
    <row r="301" spans="1:19" x14ac:dyDescent="0.2">
      <c r="A301" s="17" t="s">
        <v>591</v>
      </c>
      <c r="B301" s="26">
        <v>21</v>
      </c>
      <c r="C301" s="194">
        <v>11.8</v>
      </c>
      <c r="D301" s="28"/>
      <c r="E301" s="17"/>
      <c r="F301" s="17"/>
      <c r="G301" s="29"/>
      <c r="H301" s="17"/>
      <c r="I301" s="17"/>
      <c r="J301" s="73"/>
      <c r="K301" s="17">
        <v>19</v>
      </c>
      <c r="L301" s="17">
        <v>0.9</v>
      </c>
      <c r="M301" s="73">
        <v>274</v>
      </c>
      <c r="N301" s="196">
        <v>250</v>
      </c>
      <c r="O301" s="19">
        <v>1000</v>
      </c>
      <c r="P301" s="15"/>
      <c r="Q301" s="16"/>
      <c r="R301" s="11"/>
      <c r="S301" s="16"/>
    </row>
    <row r="302" spans="1:19" x14ac:dyDescent="0.2">
      <c r="A302" s="20" t="s">
        <v>592</v>
      </c>
      <c r="B302" s="13">
        <v>22</v>
      </c>
      <c r="C302" s="85">
        <v>17.5</v>
      </c>
      <c r="D302" s="17"/>
      <c r="E302" s="17"/>
      <c r="F302" s="17"/>
      <c r="G302" s="17"/>
      <c r="H302" s="17"/>
      <c r="I302" s="17"/>
      <c r="J302" s="73">
        <v>33</v>
      </c>
      <c r="K302" s="17">
        <v>15</v>
      </c>
      <c r="L302" s="17">
        <v>1.3</v>
      </c>
      <c r="M302" s="82">
        <v>256</v>
      </c>
      <c r="N302" s="196">
        <v>250</v>
      </c>
      <c r="O302" s="19"/>
      <c r="P302" s="15">
        <v>140</v>
      </c>
      <c r="Q302" s="16"/>
      <c r="R302" s="11"/>
      <c r="S302" s="16"/>
    </row>
    <row r="303" spans="1:19" x14ac:dyDescent="0.2">
      <c r="A303" s="20" t="s">
        <v>575</v>
      </c>
      <c r="B303" s="13">
        <v>22</v>
      </c>
      <c r="C303" s="85">
        <v>4.0999999999999996</v>
      </c>
      <c r="D303" s="17"/>
      <c r="E303" s="17"/>
      <c r="F303" s="17"/>
      <c r="G303" s="17"/>
      <c r="H303" s="17"/>
      <c r="I303" s="17"/>
      <c r="J303" s="73">
        <v>42</v>
      </c>
      <c r="K303" s="17"/>
      <c r="L303" s="17">
        <v>1.2</v>
      </c>
      <c r="M303" s="73">
        <v>272</v>
      </c>
      <c r="N303" s="196">
        <v>250</v>
      </c>
      <c r="O303" s="19">
        <v>1000</v>
      </c>
      <c r="P303" s="15"/>
      <c r="Q303" s="16"/>
      <c r="R303" s="11"/>
      <c r="S303" s="16"/>
    </row>
    <row r="304" spans="1:19" x14ac:dyDescent="0.2">
      <c r="A304" s="17" t="s">
        <v>203</v>
      </c>
      <c r="B304" s="13">
        <v>21</v>
      </c>
      <c r="C304" s="86">
        <v>6.8</v>
      </c>
      <c r="D304" s="17"/>
      <c r="E304" s="17"/>
      <c r="F304" s="17"/>
      <c r="G304" s="17"/>
      <c r="H304" s="17"/>
      <c r="I304" s="17"/>
      <c r="J304" s="73"/>
      <c r="K304" s="17">
        <v>33</v>
      </c>
      <c r="L304" s="17">
        <v>0.8</v>
      </c>
      <c r="M304" s="73"/>
      <c r="N304" s="196">
        <v>250</v>
      </c>
      <c r="O304" s="19">
        <v>300</v>
      </c>
      <c r="P304" s="15">
        <v>59</v>
      </c>
      <c r="Q304" s="16"/>
      <c r="R304" s="11"/>
      <c r="S304" s="16"/>
    </row>
    <row r="305" spans="1:19" x14ac:dyDescent="0.2">
      <c r="A305" s="17" t="s">
        <v>204</v>
      </c>
      <c r="B305" s="13">
        <v>22</v>
      </c>
      <c r="C305" s="86">
        <v>11.7</v>
      </c>
      <c r="D305" s="17"/>
      <c r="E305" s="17"/>
      <c r="F305" s="17"/>
      <c r="G305" s="17"/>
      <c r="H305" s="17"/>
      <c r="I305" s="17"/>
      <c r="J305" s="73"/>
      <c r="K305" s="17">
        <v>25</v>
      </c>
      <c r="L305" s="17">
        <v>1</v>
      </c>
      <c r="M305" s="73"/>
      <c r="N305" s="73"/>
      <c r="O305" s="19"/>
      <c r="P305" s="15">
        <v>100</v>
      </c>
      <c r="Q305" s="16"/>
      <c r="R305" s="11"/>
      <c r="S305" s="16"/>
    </row>
    <row r="306" spans="1:19" x14ac:dyDescent="0.2">
      <c r="A306" s="17" t="s">
        <v>205</v>
      </c>
      <c r="B306" s="13">
        <v>22</v>
      </c>
      <c r="C306" s="86">
        <v>8.1999999999999993</v>
      </c>
      <c r="D306" s="17"/>
      <c r="E306" s="17"/>
      <c r="F306" s="17"/>
      <c r="G306" s="17"/>
      <c r="H306" s="17"/>
      <c r="I306" s="17"/>
      <c r="J306" s="73">
        <v>85</v>
      </c>
      <c r="K306" s="17">
        <v>38</v>
      </c>
      <c r="L306" s="17">
        <v>3.3</v>
      </c>
      <c r="M306" s="73">
        <v>273</v>
      </c>
      <c r="N306" s="196">
        <v>250</v>
      </c>
      <c r="O306" s="19">
        <v>200</v>
      </c>
      <c r="P306" s="15">
        <v>240</v>
      </c>
      <c r="Q306" s="16"/>
      <c r="R306" s="11"/>
      <c r="S306" s="16"/>
    </row>
    <row r="307" spans="1:19" x14ac:dyDescent="0.2">
      <c r="A307" s="17" t="s">
        <v>206</v>
      </c>
      <c r="B307" s="13">
        <v>22</v>
      </c>
      <c r="C307" s="86">
        <v>88.3</v>
      </c>
      <c r="D307" s="17">
        <v>24183</v>
      </c>
      <c r="E307" s="17">
        <v>140</v>
      </c>
      <c r="F307" s="17">
        <v>24183</v>
      </c>
      <c r="G307" s="17">
        <v>140</v>
      </c>
      <c r="H307" s="17"/>
      <c r="I307" s="17"/>
      <c r="J307" s="73">
        <v>42</v>
      </c>
      <c r="K307" s="17">
        <v>20</v>
      </c>
      <c r="L307" s="17">
        <v>1.5</v>
      </c>
      <c r="M307" s="82">
        <v>253</v>
      </c>
      <c r="N307" s="196">
        <v>250</v>
      </c>
      <c r="O307" s="19"/>
      <c r="P307" s="15">
        <v>500</v>
      </c>
      <c r="Q307" s="16"/>
      <c r="R307" s="11"/>
      <c r="S307" s="16"/>
    </row>
    <row r="308" spans="1:19" x14ac:dyDescent="0.2">
      <c r="A308" s="17" t="s">
        <v>593</v>
      </c>
      <c r="B308" s="13">
        <v>22</v>
      </c>
      <c r="C308" s="86">
        <v>131.80000000000001</v>
      </c>
      <c r="D308" s="17"/>
      <c r="E308" s="17"/>
      <c r="F308" s="17"/>
      <c r="G308" s="17"/>
      <c r="H308" s="17"/>
      <c r="I308" s="17"/>
      <c r="J308" s="73">
        <v>52</v>
      </c>
      <c r="K308" s="17">
        <v>27</v>
      </c>
      <c r="L308" s="17">
        <v>2.5</v>
      </c>
      <c r="M308" s="73">
        <v>292</v>
      </c>
      <c r="N308" s="196">
        <v>250</v>
      </c>
      <c r="O308" s="19"/>
      <c r="P308" s="15">
        <v>100</v>
      </c>
      <c r="Q308" s="16"/>
      <c r="R308" s="11"/>
      <c r="S308" s="16"/>
    </row>
    <row r="309" spans="1:19" x14ac:dyDescent="0.2">
      <c r="A309" s="17" t="s">
        <v>207</v>
      </c>
      <c r="B309" s="26">
        <v>21</v>
      </c>
      <c r="C309" s="194">
        <v>12.5</v>
      </c>
      <c r="D309" s="28">
        <v>7545</v>
      </c>
      <c r="E309" s="17" t="s">
        <v>208</v>
      </c>
      <c r="F309" s="17" t="s">
        <v>95</v>
      </c>
      <c r="G309" s="29" t="s">
        <v>209</v>
      </c>
      <c r="H309" s="17">
        <v>500</v>
      </c>
      <c r="I309" s="17" t="s">
        <v>86</v>
      </c>
      <c r="J309" s="73">
        <v>57</v>
      </c>
      <c r="K309" s="17">
        <v>24</v>
      </c>
      <c r="L309" s="17">
        <v>0.8</v>
      </c>
      <c r="M309" s="73"/>
      <c r="N309" s="196"/>
      <c r="O309" s="19">
        <v>1500</v>
      </c>
      <c r="P309" s="15"/>
      <c r="Q309" s="16"/>
      <c r="R309" s="11"/>
      <c r="S309" s="16"/>
    </row>
    <row r="310" spans="1:19" x14ac:dyDescent="0.2">
      <c r="A310" s="17" t="s">
        <v>520</v>
      </c>
      <c r="B310" s="26">
        <v>22</v>
      </c>
      <c r="C310" s="194">
        <v>5.0999999999999996</v>
      </c>
      <c r="D310" s="28"/>
      <c r="E310" s="17"/>
      <c r="F310" s="17"/>
      <c r="G310" s="29"/>
      <c r="H310" s="17"/>
      <c r="I310" s="17"/>
      <c r="J310" s="73">
        <v>103</v>
      </c>
      <c r="K310" s="17">
        <v>85</v>
      </c>
      <c r="L310" s="17">
        <v>1.4</v>
      </c>
      <c r="M310" s="73">
        <v>267</v>
      </c>
      <c r="N310" s="196">
        <v>250</v>
      </c>
      <c r="O310" s="19">
        <v>200</v>
      </c>
      <c r="P310" s="15"/>
      <c r="Q310" s="16"/>
      <c r="R310" s="11"/>
      <c r="S310" s="16"/>
    </row>
    <row r="311" spans="1:19" x14ac:dyDescent="0.2">
      <c r="A311" s="17" t="s">
        <v>210</v>
      </c>
      <c r="B311" s="13">
        <v>22</v>
      </c>
      <c r="C311" s="86">
        <v>77.599999999999994</v>
      </c>
      <c r="D311" s="17"/>
      <c r="E311" s="17"/>
      <c r="F311" s="17"/>
      <c r="G311" s="17"/>
      <c r="H311" s="17"/>
      <c r="I311" s="17"/>
      <c r="J311" s="73"/>
      <c r="K311" s="17">
        <v>19</v>
      </c>
      <c r="L311" s="17">
        <v>2</v>
      </c>
      <c r="M311" s="73"/>
      <c r="N311" s="73"/>
      <c r="O311" s="19"/>
      <c r="P311" s="15">
        <v>691</v>
      </c>
      <c r="Q311" s="16"/>
      <c r="R311" s="11"/>
      <c r="S311" s="16"/>
    </row>
    <row r="312" spans="1:19" x14ac:dyDescent="0.2">
      <c r="A312" s="17" t="s">
        <v>211</v>
      </c>
      <c r="B312" s="13">
        <v>22</v>
      </c>
      <c r="C312" s="86">
        <v>94</v>
      </c>
      <c r="D312" s="17"/>
      <c r="E312" s="17"/>
      <c r="F312" s="17"/>
      <c r="G312" s="17"/>
      <c r="H312" s="17"/>
      <c r="I312" s="17"/>
      <c r="J312" s="73"/>
      <c r="K312" s="17">
        <v>29</v>
      </c>
      <c r="L312" s="17">
        <v>2.6</v>
      </c>
      <c r="M312" s="73"/>
      <c r="N312" s="73"/>
      <c r="O312" s="19"/>
      <c r="P312" s="15">
        <v>237</v>
      </c>
      <c r="Q312" s="16"/>
      <c r="R312" s="11"/>
      <c r="S312" s="16"/>
    </row>
    <row r="313" spans="1:19" x14ac:dyDescent="0.2">
      <c r="A313" s="17" t="s">
        <v>212</v>
      </c>
      <c r="B313" s="13">
        <v>21</v>
      </c>
      <c r="C313" s="86">
        <v>7.8</v>
      </c>
      <c r="D313" s="17"/>
      <c r="E313" s="17"/>
      <c r="F313" s="17"/>
      <c r="G313" s="17"/>
      <c r="H313" s="17"/>
      <c r="I313" s="17"/>
      <c r="J313" s="73"/>
      <c r="K313" s="17">
        <v>133</v>
      </c>
      <c r="L313" s="17">
        <v>1.9</v>
      </c>
      <c r="M313" s="73">
        <v>320</v>
      </c>
      <c r="N313" s="196">
        <v>250</v>
      </c>
      <c r="O313" s="19">
        <v>500</v>
      </c>
      <c r="P313" s="15"/>
      <c r="Q313" s="16"/>
      <c r="R313" s="11"/>
      <c r="S313" s="16"/>
    </row>
    <row r="314" spans="1:19" x14ac:dyDescent="0.2">
      <c r="A314" s="17" t="s">
        <v>595</v>
      </c>
      <c r="B314" s="13">
        <v>22</v>
      </c>
      <c r="C314" s="86">
        <v>8</v>
      </c>
      <c r="D314" s="17"/>
      <c r="E314" s="17"/>
      <c r="F314" s="17"/>
      <c r="G314" s="17"/>
      <c r="H314" s="17"/>
      <c r="I314" s="17"/>
      <c r="J314" s="73"/>
      <c r="K314" s="17">
        <v>51</v>
      </c>
      <c r="L314" s="17">
        <v>1.4</v>
      </c>
      <c r="M314" s="73">
        <v>355</v>
      </c>
      <c r="N314" s="196">
        <v>250</v>
      </c>
      <c r="O314" s="19">
        <v>1000</v>
      </c>
      <c r="P314" s="15">
        <v>387</v>
      </c>
      <c r="Q314" s="16"/>
      <c r="R314" s="11"/>
      <c r="S314" s="16"/>
    </row>
    <row r="315" spans="1:19" x14ac:dyDescent="0.2">
      <c r="A315" s="17" t="s">
        <v>596</v>
      </c>
      <c r="B315" s="13">
        <v>22</v>
      </c>
      <c r="C315" s="86">
        <v>8.8000000000000007</v>
      </c>
      <c r="D315" s="17"/>
      <c r="E315" s="17"/>
      <c r="F315" s="17"/>
      <c r="G315" s="17"/>
      <c r="H315" s="17"/>
      <c r="I315" s="17"/>
      <c r="J315" s="73"/>
      <c r="K315" s="17">
        <v>0</v>
      </c>
      <c r="L315" s="17">
        <v>1.3</v>
      </c>
      <c r="M315" s="73">
        <v>274</v>
      </c>
      <c r="N315" s="196">
        <v>250</v>
      </c>
      <c r="O315" s="19">
        <v>100</v>
      </c>
      <c r="P315" s="15">
        <v>800</v>
      </c>
      <c r="Q315" s="16"/>
      <c r="R315" s="11"/>
      <c r="S315" s="16"/>
    </row>
    <row r="316" spans="1:19" x14ac:dyDescent="0.2">
      <c r="A316" s="53" t="s">
        <v>648</v>
      </c>
      <c r="B316" s="51"/>
      <c r="C316" s="193"/>
      <c r="D316" s="53"/>
      <c r="E316" s="53"/>
      <c r="F316" s="53"/>
      <c r="G316" s="53"/>
      <c r="H316" s="53"/>
      <c r="I316" s="53"/>
      <c r="J316" s="82"/>
      <c r="K316" s="53"/>
      <c r="L316" s="53">
        <v>0</v>
      </c>
      <c r="M316" s="82"/>
      <c r="N316" s="198"/>
      <c r="O316" s="54"/>
      <c r="P316" s="30"/>
      <c r="Q316" s="55"/>
      <c r="R316" s="56"/>
      <c r="S316" s="55"/>
    </row>
    <row r="317" spans="1:19" x14ac:dyDescent="0.2">
      <c r="A317" s="57" t="s">
        <v>214</v>
      </c>
      <c r="B317" s="60">
        <v>21</v>
      </c>
      <c r="C317" s="87">
        <v>15.2</v>
      </c>
      <c r="D317" s="53"/>
      <c r="E317" s="53"/>
      <c r="F317" s="53"/>
      <c r="G317" s="53"/>
      <c r="H317" s="53"/>
      <c r="I317" s="53"/>
      <c r="J317" s="82">
        <v>96</v>
      </c>
      <c r="K317" s="53">
        <v>78</v>
      </c>
      <c r="L317" s="53">
        <v>1</v>
      </c>
      <c r="M317" s="82">
        <v>271</v>
      </c>
      <c r="N317" s="198">
        <v>250</v>
      </c>
      <c r="O317" s="54"/>
      <c r="P317" s="30"/>
      <c r="Q317" s="55"/>
      <c r="R317" s="56"/>
      <c r="S317" s="55"/>
    </row>
    <row r="318" spans="1:19" x14ac:dyDescent="0.2">
      <c r="A318" s="20" t="s">
        <v>215</v>
      </c>
      <c r="B318" s="21">
        <v>22</v>
      </c>
      <c r="C318" s="85">
        <v>20</v>
      </c>
      <c r="D318" s="17"/>
      <c r="E318" s="17"/>
      <c r="F318" s="17"/>
      <c r="G318" s="17"/>
      <c r="H318" s="17"/>
      <c r="I318" s="17"/>
      <c r="J318" s="73">
        <v>51</v>
      </c>
      <c r="K318" s="17">
        <v>35</v>
      </c>
      <c r="L318" s="17">
        <v>0.9</v>
      </c>
      <c r="M318" s="73">
        <v>268</v>
      </c>
      <c r="N318" s="196">
        <v>250</v>
      </c>
      <c r="O318" s="19"/>
      <c r="P318" s="15">
        <v>379</v>
      </c>
      <c r="Q318" s="16"/>
      <c r="R318" s="11"/>
      <c r="S318" s="16"/>
    </row>
    <row r="319" spans="1:19" x14ac:dyDescent="0.2">
      <c r="A319" s="17" t="s">
        <v>216</v>
      </c>
      <c r="B319" s="11">
        <v>22</v>
      </c>
      <c r="C319" s="86">
        <v>3.4</v>
      </c>
      <c r="D319" s="17">
        <v>2436</v>
      </c>
      <c r="E319" s="17">
        <v>500</v>
      </c>
      <c r="F319" s="17">
        <v>2436</v>
      </c>
      <c r="G319" s="17">
        <v>500</v>
      </c>
      <c r="H319" s="17"/>
      <c r="I319" s="17"/>
      <c r="J319" s="73"/>
      <c r="K319" s="17">
        <v>72</v>
      </c>
      <c r="L319" s="17">
        <v>3.8</v>
      </c>
      <c r="M319" s="73">
        <v>314</v>
      </c>
      <c r="N319" s="196">
        <v>250</v>
      </c>
      <c r="O319" s="19">
        <v>1000</v>
      </c>
      <c r="P319" s="15">
        <v>388</v>
      </c>
      <c r="Q319" s="16"/>
      <c r="R319" s="11"/>
      <c r="S319" s="16"/>
    </row>
    <row r="320" spans="1:19" x14ac:dyDescent="0.2">
      <c r="A320" s="17" t="s">
        <v>217</v>
      </c>
      <c r="B320" s="11">
        <v>22</v>
      </c>
      <c r="C320" s="86">
        <v>3.4</v>
      </c>
      <c r="D320" s="17">
        <v>2436</v>
      </c>
      <c r="E320" s="17">
        <v>500</v>
      </c>
      <c r="F320" s="17">
        <v>2436</v>
      </c>
      <c r="G320" s="17">
        <v>500</v>
      </c>
      <c r="H320" s="17"/>
      <c r="I320" s="17"/>
      <c r="J320" s="73">
        <v>191</v>
      </c>
      <c r="K320" s="17">
        <v>64</v>
      </c>
      <c r="L320" s="17">
        <v>5.8</v>
      </c>
      <c r="M320" s="73">
        <v>347</v>
      </c>
      <c r="N320" s="196">
        <v>250</v>
      </c>
      <c r="O320" s="19"/>
      <c r="P320" s="15">
        <v>672</v>
      </c>
      <c r="Q320" s="16"/>
      <c r="R320" s="11"/>
      <c r="S320" s="16"/>
    </row>
    <row r="321" spans="1:19" x14ac:dyDescent="0.2">
      <c r="A321" s="17" t="s">
        <v>218</v>
      </c>
      <c r="B321" s="13">
        <v>22</v>
      </c>
      <c r="C321" s="86">
        <v>5.0999999999999996</v>
      </c>
      <c r="D321" s="17"/>
      <c r="E321" s="17"/>
      <c r="F321" s="17"/>
      <c r="G321" s="17"/>
      <c r="H321" s="17"/>
      <c r="I321" s="17"/>
      <c r="J321" s="73"/>
      <c r="K321" s="17">
        <v>19</v>
      </c>
      <c r="L321" s="17">
        <v>0.9</v>
      </c>
      <c r="M321" s="73"/>
      <c r="N321" s="196"/>
      <c r="O321" s="19"/>
      <c r="P321" s="15">
        <v>210</v>
      </c>
      <c r="Q321" s="16"/>
      <c r="R321" s="11"/>
      <c r="S321" s="16"/>
    </row>
    <row r="322" spans="1:19" x14ac:dyDescent="0.2">
      <c r="A322" s="17" t="s">
        <v>219</v>
      </c>
      <c r="B322" s="13">
        <v>22</v>
      </c>
      <c r="C322" s="86">
        <v>9.1</v>
      </c>
      <c r="D322" s="17"/>
      <c r="E322" s="17"/>
      <c r="F322" s="17"/>
      <c r="G322" s="17"/>
      <c r="H322" s="17"/>
      <c r="I322" s="17"/>
      <c r="J322" s="73"/>
      <c r="K322" s="17">
        <v>13</v>
      </c>
      <c r="L322" s="17">
        <v>0.9</v>
      </c>
      <c r="M322" s="73"/>
      <c r="N322" s="196"/>
      <c r="O322" s="19">
        <v>82</v>
      </c>
      <c r="P322" s="15">
        <v>240</v>
      </c>
      <c r="Q322" s="16"/>
      <c r="R322" s="11"/>
      <c r="S322" s="16"/>
    </row>
    <row r="323" spans="1:19" x14ac:dyDescent="0.2">
      <c r="A323" s="17" t="s">
        <v>760</v>
      </c>
      <c r="B323" s="13"/>
      <c r="C323" s="86"/>
      <c r="D323" s="17"/>
      <c r="E323" s="17"/>
      <c r="F323" s="17"/>
      <c r="G323" s="17"/>
      <c r="H323" s="17"/>
      <c r="I323" s="17"/>
      <c r="J323" s="73">
        <v>67</v>
      </c>
      <c r="K323" s="17">
        <v>53</v>
      </c>
      <c r="L323" s="17">
        <v>1.5</v>
      </c>
      <c r="M323" s="73">
        <v>260</v>
      </c>
      <c r="N323" s="196">
        <v>250</v>
      </c>
      <c r="O323" s="19"/>
      <c r="P323" s="15"/>
      <c r="Q323" s="16"/>
      <c r="R323" s="11"/>
      <c r="S323" s="16"/>
    </row>
    <row r="324" spans="1:19" x14ac:dyDescent="0.2">
      <c r="A324" s="17" t="s">
        <v>484</v>
      </c>
      <c r="B324" s="13">
        <v>22</v>
      </c>
      <c r="C324" s="86">
        <v>7.9</v>
      </c>
      <c r="D324" s="17"/>
      <c r="E324" s="17"/>
      <c r="F324" s="17"/>
      <c r="G324" s="17"/>
      <c r="H324" s="17"/>
      <c r="I324" s="17"/>
      <c r="J324" s="73"/>
      <c r="K324" s="17">
        <v>41</v>
      </c>
      <c r="L324" s="17">
        <v>1</v>
      </c>
      <c r="M324" s="73">
        <v>301</v>
      </c>
      <c r="N324" s="196">
        <v>250</v>
      </c>
      <c r="O324" s="19"/>
      <c r="P324" s="15">
        <v>152</v>
      </c>
      <c r="Q324" s="16"/>
      <c r="R324" s="11"/>
      <c r="S324" s="16"/>
    </row>
    <row r="325" spans="1:19" x14ac:dyDescent="0.2">
      <c r="A325" s="17" t="s">
        <v>597</v>
      </c>
      <c r="B325" s="13">
        <v>22</v>
      </c>
      <c r="C325" s="86">
        <v>515.5</v>
      </c>
      <c r="D325" s="17"/>
      <c r="E325" s="17"/>
      <c r="F325" s="17"/>
      <c r="G325" s="17"/>
      <c r="H325" s="17"/>
      <c r="I325" s="17"/>
      <c r="J325" s="73"/>
      <c r="K325" s="17"/>
      <c r="L325" s="17">
        <v>0</v>
      </c>
      <c r="M325" s="73"/>
      <c r="N325" s="196"/>
      <c r="O325" s="19">
        <v>20</v>
      </c>
      <c r="P325" s="15"/>
      <c r="Q325" s="16"/>
      <c r="R325" s="11"/>
      <c r="S325" s="16"/>
    </row>
    <row r="326" spans="1:19" x14ac:dyDescent="0.2">
      <c r="A326" s="17" t="s">
        <v>604</v>
      </c>
      <c r="B326" s="13">
        <v>22</v>
      </c>
      <c r="C326" s="86">
        <v>14.7</v>
      </c>
      <c r="D326" s="17"/>
      <c r="E326" s="17"/>
      <c r="F326" s="17"/>
      <c r="G326" s="17"/>
      <c r="H326" s="17"/>
      <c r="I326" s="17"/>
      <c r="J326" s="73"/>
      <c r="K326" s="17">
        <v>34</v>
      </c>
      <c r="L326" s="17">
        <v>1.5</v>
      </c>
      <c r="M326" s="73">
        <v>267</v>
      </c>
      <c r="N326" s="196">
        <v>250</v>
      </c>
      <c r="O326" s="19">
        <v>500</v>
      </c>
      <c r="P326" s="15">
        <v>480</v>
      </c>
      <c r="Q326" s="16"/>
      <c r="R326" s="11"/>
      <c r="S326" s="16"/>
    </row>
    <row r="327" spans="1:19" x14ac:dyDescent="0.2">
      <c r="A327" s="17" t="s">
        <v>615</v>
      </c>
      <c r="B327" s="13">
        <v>22</v>
      </c>
      <c r="C327" s="86">
        <v>10.3</v>
      </c>
      <c r="D327" s="17"/>
      <c r="E327" s="17"/>
      <c r="F327" s="17"/>
      <c r="G327" s="17"/>
      <c r="H327" s="17"/>
      <c r="I327" s="17"/>
      <c r="J327" s="73"/>
      <c r="K327" s="17">
        <v>18</v>
      </c>
      <c r="L327" s="17">
        <v>1</v>
      </c>
      <c r="M327" s="73">
        <v>269</v>
      </c>
      <c r="N327" s="196">
        <v>250</v>
      </c>
      <c r="O327" s="19"/>
      <c r="P327" s="15">
        <v>700</v>
      </c>
      <c r="Q327" s="16"/>
      <c r="R327" s="11"/>
      <c r="S327" s="16"/>
    </row>
    <row r="328" spans="1:19" x14ac:dyDescent="0.2">
      <c r="A328" s="17" t="s">
        <v>485</v>
      </c>
      <c r="B328" s="13">
        <v>21</v>
      </c>
      <c r="C328" s="86">
        <v>10</v>
      </c>
      <c r="D328" s="17"/>
      <c r="E328" s="17"/>
      <c r="F328" s="17"/>
      <c r="G328" s="17"/>
      <c r="H328" s="17"/>
      <c r="I328" s="17"/>
      <c r="J328" s="73"/>
      <c r="K328" s="17">
        <v>103.8</v>
      </c>
      <c r="L328" s="17">
        <v>1</v>
      </c>
      <c r="M328" s="73">
        <v>293</v>
      </c>
      <c r="N328" s="196">
        <v>250</v>
      </c>
      <c r="O328" s="19">
        <v>200</v>
      </c>
      <c r="P328" s="15"/>
      <c r="Q328" s="16"/>
      <c r="R328" s="11"/>
      <c r="S328" s="16"/>
    </row>
    <row r="329" spans="1:19" x14ac:dyDescent="0.2">
      <c r="A329" s="17" t="s">
        <v>427</v>
      </c>
      <c r="B329" s="13">
        <v>22</v>
      </c>
      <c r="C329" s="86">
        <v>4.5999999999999996</v>
      </c>
      <c r="D329" s="17"/>
      <c r="E329" s="17"/>
      <c r="F329" s="17"/>
      <c r="G329" s="17"/>
      <c r="H329" s="17"/>
      <c r="I329" s="17"/>
      <c r="J329" s="73"/>
      <c r="K329" s="17">
        <v>40</v>
      </c>
      <c r="L329" s="17">
        <v>1.4</v>
      </c>
      <c r="M329" s="73">
        <v>321</v>
      </c>
      <c r="N329" s="196">
        <v>250</v>
      </c>
      <c r="O329" s="19">
        <v>1500</v>
      </c>
      <c r="P329" s="15">
        <v>709</v>
      </c>
      <c r="Q329" s="16"/>
      <c r="R329" s="11"/>
      <c r="S329" s="16"/>
    </row>
    <row r="330" spans="1:19" x14ac:dyDescent="0.2">
      <c r="A330" s="17" t="s">
        <v>486</v>
      </c>
      <c r="B330" s="13">
        <v>21</v>
      </c>
      <c r="C330" s="86">
        <v>8.1</v>
      </c>
      <c r="D330" s="17"/>
      <c r="E330" s="17"/>
      <c r="F330" s="17"/>
      <c r="G330" s="17"/>
      <c r="H330" s="17"/>
      <c r="I330" s="17"/>
      <c r="J330" s="73"/>
      <c r="K330" s="17">
        <v>55</v>
      </c>
      <c r="L330" s="17">
        <v>2.7</v>
      </c>
      <c r="M330" s="73">
        <v>313</v>
      </c>
      <c r="N330" s="196">
        <v>250</v>
      </c>
      <c r="O330" s="19">
        <v>500</v>
      </c>
      <c r="P330" s="15"/>
      <c r="Q330" s="16"/>
      <c r="R330" s="11"/>
      <c r="S330" s="16"/>
    </row>
    <row r="331" spans="1:19" x14ac:dyDescent="0.2">
      <c r="A331" s="20" t="s">
        <v>598</v>
      </c>
      <c r="B331" s="21">
        <v>22</v>
      </c>
      <c r="C331" s="85">
        <v>71.099999999999994</v>
      </c>
      <c r="D331" s="17"/>
      <c r="E331" s="17"/>
      <c r="F331" s="17"/>
      <c r="G331" s="17"/>
      <c r="H331" s="17"/>
      <c r="I331" s="17"/>
      <c r="J331" s="73"/>
      <c r="K331" s="17">
        <v>30</v>
      </c>
      <c r="L331" s="17">
        <v>2.8</v>
      </c>
      <c r="M331" s="73">
        <v>286</v>
      </c>
      <c r="N331" s="196">
        <v>250</v>
      </c>
      <c r="O331" s="19">
        <v>400</v>
      </c>
      <c r="P331" s="15">
        <v>356</v>
      </c>
      <c r="Q331" s="16"/>
      <c r="R331" s="11"/>
      <c r="S331" s="16"/>
    </row>
    <row r="332" spans="1:19" x14ac:dyDescent="0.2">
      <c r="A332" s="20" t="s">
        <v>599</v>
      </c>
      <c r="B332" s="21">
        <v>22</v>
      </c>
      <c r="C332" s="85">
        <v>22.7</v>
      </c>
      <c r="D332" s="17"/>
      <c r="E332" s="17"/>
      <c r="F332" s="17"/>
      <c r="G332" s="17"/>
      <c r="H332" s="17"/>
      <c r="I332" s="17"/>
      <c r="J332" s="73"/>
      <c r="K332" s="17">
        <v>18</v>
      </c>
      <c r="L332" s="17">
        <v>0.8</v>
      </c>
      <c r="M332" s="82">
        <v>257</v>
      </c>
      <c r="N332" s="196">
        <v>250</v>
      </c>
      <c r="O332" s="19">
        <v>700</v>
      </c>
      <c r="P332" s="15">
        <v>416</v>
      </c>
      <c r="Q332" s="16"/>
      <c r="R332" s="11"/>
      <c r="S332" s="16"/>
    </row>
    <row r="333" spans="1:19" x14ac:dyDescent="0.2">
      <c r="A333" s="20" t="s">
        <v>740</v>
      </c>
      <c r="B333" s="21">
        <v>22</v>
      </c>
      <c r="C333" s="85"/>
      <c r="D333" s="17"/>
      <c r="E333" s="17"/>
      <c r="F333" s="17"/>
      <c r="G333" s="17"/>
      <c r="H333" s="17"/>
      <c r="I333" s="17"/>
      <c r="J333" s="73"/>
      <c r="K333" s="17"/>
      <c r="L333" s="17"/>
      <c r="M333" s="73">
        <v>358</v>
      </c>
      <c r="N333" s="196">
        <v>250</v>
      </c>
      <c r="O333" s="19"/>
      <c r="P333" s="15">
        <v>419</v>
      </c>
      <c r="Q333" s="16"/>
      <c r="R333" s="11"/>
      <c r="S333" s="16"/>
    </row>
    <row r="334" spans="1:19" x14ac:dyDescent="0.2">
      <c r="A334" s="20" t="s">
        <v>220</v>
      </c>
      <c r="B334" s="21">
        <v>22</v>
      </c>
      <c r="C334" s="85">
        <v>7</v>
      </c>
      <c r="D334" s="17"/>
      <c r="E334" s="17"/>
      <c r="F334" s="17"/>
      <c r="G334" s="17"/>
      <c r="H334" s="17"/>
      <c r="I334" s="17"/>
      <c r="J334" s="73">
        <v>122</v>
      </c>
      <c r="K334" s="17">
        <v>62</v>
      </c>
      <c r="L334" s="17">
        <v>4.5999999999999996</v>
      </c>
      <c r="M334" s="73">
        <v>301</v>
      </c>
      <c r="N334" s="196">
        <v>250</v>
      </c>
      <c r="O334" s="19"/>
      <c r="P334" s="15">
        <v>420</v>
      </c>
      <c r="Q334" s="16"/>
      <c r="R334" s="11"/>
      <c r="S334" s="16"/>
    </row>
    <row r="335" spans="1:19" x14ac:dyDescent="0.2">
      <c r="A335" s="17" t="s">
        <v>221</v>
      </c>
      <c r="B335" s="13">
        <v>22</v>
      </c>
      <c r="C335" s="86">
        <v>8.9</v>
      </c>
      <c r="D335" s="17"/>
      <c r="E335" s="17"/>
      <c r="F335" s="17"/>
      <c r="G335" s="17"/>
      <c r="H335" s="17"/>
      <c r="I335" s="17"/>
      <c r="J335" s="73">
        <v>157</v>
      </c>
      <c r="K335" s="17">
        <v>93</v>
      </c>
      <c r="L335" s="17">
        <v>1.2</v>
      </c>
      <c r="M335" s="73">
        <v>279</v>
      </c>
      <c r="N335" s="196">
        <v>250</v>
      </c>
      <c r="O335" s="19"/>
      <c r="P335" s="15">
        <v>190</v>
      </c>
      <c r="Q335" s="16"/>
      <c r="R335" s="11"/>
      <c r="S335" s="16"/>
    </row>
    <row r="336" spans="1:19" x14ac:dyDescent="0.2">
      <c r="A336" s="17" t="s">
        <v>738</v>
      </c>
      <c r="B336" s="13">
        <v>22</v>
      </c>
      <c r="C336" s="86"/>
      <c r="D336" s="17"/>
      <c r="E336" s="17"/>
      <c r="F336" s="17"/>
      <c r="G336" s="17"/>
      <c r="H336" s="17"/>
      <c r="I336" s="17"/>
      <c r="J336" s="73"/>
      <c r="K336" s="17"/>
      <c r="L336" s="17"/>
      <c r="M336" s="73"/>
      <c r="N336" s="196"/>
      <c r="O336" s="19">
        <v>398</v>
      </c>
      <c r="P336" s="15">
        <v>200</v>
      </c>
      <c r="Q336" s="16"/>
      <c r="R336" s="11"/>
      <c r="S336" s="16"/>
    </row>
    <row r="337" spans="1:19" x14ac:dyDescent="0.2">
      <c r="A337" s="17" t="s">
        <v>739</v>
      </c>
      <c r="B337" s="13">
        <v>22</v>
      </c>
      <c r="C337" s="86"/>
      <c r="D337" s="17"/>
      <c r="E337" s="17"/>
      <c r="F337" s="17"/>
      <c r="G337" s="17"/>
      <c r="H337" s="17"/>
      <c r="I337" s="17"/>
      <c r="J337" s="73">
        <v>34</v>
      </c>
      <c r="K337" s="17">
        <v>18</v>
      </c>
      <c r="L337" s="17">
        <v>1.7</v>
      </c>
      <c r="M337" s="73"/>
      <c r="N337" s="196"/>
      <c r="O337" s="19"/>
      <c r="P337" s="15">
        <v>304</v>
      </c>
      <c r="Q337" s="16"/>
      <c r="R337" s="11"/>
      <c r="S337" s="16"/>
    </row>
    <row r="338" spans="1:19" x14ac:dyDescent="0.2">
      <c r="A338" s="17" t="s">
        <v>600</v>
      </c>
      <c r="B338" s="13">
        <v>22</v>
      </c>
      <c r="C338" s="86">
        <v>18.600000000000001</v>
      </c>
      <c r="D338" s="17"/>
      <c r="E338" s="17"/>
      <c r="F338" s="17"/>
      <c r="G338" s="17"/>
      <c r="H338" s="17"/>
      <c r="I338" s="17"/>
      <c r="J338" s="73"/>
      <c r="K338" s="17">
        <v>22</v>
      </c>
      <c r="L338" s="17">
        <v>1.4</v>
      </c>
      <c r="M338" s="73">
        <v>277</v>
      </c>
      <c r="N338" s="196">
        <v>250</v>
      </c>
      <c r="O338" s="19">
        <v>300</v>
      </c>
      <c r="P338" s="15">
        <v>355</v>
      </c>
      <c r="Q338" s="16"/>
      <c r="R338" s="11"/>
      <c r="S338" s="16"/>
    </row>
    <row r="339" spans="1:19" x14ac:dyDescent="0.2">
      <c r="A339" s="20" t="s">
        <v>601</v>
      </c>
      <c r="B339" s="13">
        <v>22</v>
      </c>
      <c r="C339" s="85">
        <v>30.9</v>
      </c>
      <c r="D339" s="17"/>
      <c r="E339" s="17"/>
      <c r="F339" s="17"/>
      <c r="G339" s="17"/>
      <c r="H339" s="17"/>
      <c r="I339" s="17"/>
      <c r="J339" s="73"/>
      <c r="K339" s="17">
        <v>20</v>
      </c>
      <c r="L339" s="17">
        <v>2.5</v>
      </c>
      <c r="M339" s="73">
        <v>260</v>
      </c>
      <c r="N339" s="196">
        <v>250</v>
      </c>
      <c r="O339" s="19"/>
      <c r="P339" s="15">
        <v>454</v>
      </c>
      <c r="Q339" s="16"/>
      <c r="R339" s="11"/>
      <c r="S339" s="16"/>
    </row>
    <row r="340" spans="1:19" x14ac:dyDescent="0.2">
      <c r="A340" s="20" t="s">
        <v>602</v>
      </c>
      <c r="B340" s="13">
        <v>22</v>
      </c>
      <c r="C340" s="85">
        <v>12.2</v>
      </c>
      <c r="D340" s="17"/>
      <c r="E340" s="17"/>
      <c r="F340" s="17"/>
      <c r="G340" s="17"/>
      <c r="H340" s="17"/>
      <c r="I340" s="17"/>
      <c r="J340" s="73">
        <v>24</v>
      </c>
      <c r="K340" s="17">
        <v>15</v>
      </c>
      <c r="L340" s="17">
        <v>0.8</v>
      </c>
      <c r="M340" s="73"/>
      <c r="N340" s="196">
        <v>250</v>
      </c>
      <c r="O340" s="19"/>
      <c r="P340" s="15">
        <v>656</v>
      </c>
      <c r="Q340" s="16"/>
      <c r="R340" s="11"/>
      <c r="S340" s="16"/>
    </row>
    <row r="341" spans="1:19" x14ac:dyDescent="0.2">
      <c r="A341" s="17" t="s">
        <v>222</v>
      </c>
      <c r="B341" s="13">
        <v>22</v>
      </c>
      <c r="C341" s="86">
        <v>11</v>
      </c>
      <c r="D341" s="17"/>
      <c r="E341" s="17"/>
      <c r="F341" s="17"/>
      <c r="G341" s="17"/>
      <c r="H341" s="17"/>
      <c r="I341" s="17"/>
      <c r="J341" s="73"/>
      <c r="K341" s="17">
        <v>44</v>
      </c>
      <c r="L341" s="17">
        <v>3</v>
      </c>
      <c r="M341" s="73">
        <v>318</v>
      </c>
      <c r="N341" s="196">
        <v>250</v>
      </c>
      <c r="O341" s="19">
        <v>500</v>
      </c>
      <c r="P341" s="15">
        <v>648</v>
      </c>
      <c r="Q341" s="16"/>
      <c r="R341" s="11"/>
      <c r="S341" s="16"/>
    </row>
    <row r="342" spans="1:19" x14ac:dyDescent="0.2">
      <c r="A342" s="17" t="s">
        <v>603</v>
      </c>
      <c r="B342" s="13">
        <v>21</v>
      </c>
      <c r="C342" s="86">
        <v>361.1</v>
      </c>
      <c r="D342" s="17"/>
      <c r="E342" s="17"/>
      <c r="F342" s="17"/>
      <c r="G342" s="17"/>
      <c r="H342" s="17"/>
      <c r="I342" s="17"/>
      <c r="J342" s="73">
        <v>30</v>
      </c>
      <c r="K342" s="17">
        <v>17</v>
      </c>
      <c r="L342" s="17">
        <v>1.8</v>
      </c>
      <c r="M342" s="73">
        <v>272</v>
      </c>
      <c r="N342" s="196">
        <v>250</v>
      </c>
      <c r="O342" s="19">
        <v>100</v>
      </c>
      <c r="P342" s="15"/>
      <c r="Q342" s="16"/>
      <c r="R342" s="11"/>
      <c r="S342" s="16"/>
    </row>
    <row r="343" spans="1:19" x14ac:dyDescent="0.2">
      <c r="A343" s="17" t="s">
        <v>224</v>
      </c>
      <c r="B343" s="13">
        <v>22</v>
      </c>
      <c r="C343" s="86">
        <v>14</v>
      </c>
      <c r="D343" s="17"/>
      <c r="E343" s="17"/>
      <c r="F343" s="17"/>
      <c r="G343" s="17"/>
      <c r="H343" s="17"/>
      <c r="I343" s="17"/>
      <c r="J343" s="73">
        <v>129</v>
      </c>
      <c r="K343" s="17">
        <v>31</v>
      </c>
      <c r="L343" s="17">
        <v>1</v>
      </c>
      <c r="M343" s="73">
        <v>276</v>
      </c>
      <c r="N343" s="196">
        <v>250</v>
      </c>
      <c r="O343" s="19">
        <v>1000</v>
      </c>
      <c r="P343" s="15">
        <v>395</v>
      </c>
      <c r="Q343" s="16"/>
      <c r="R343" s="11"/>
      <c r="S343" s="16"/>
    </row>
    <row r="344" spans="1:19" x14ac:dyDescent="0.2">
      <c r="A344" s="17" t="s">
        <v>225</v>
      </c>
      <c r="B344" s="13">
        <v>22</v>
      </c>
      <c r="C344" s="86">
        <v>13.9</v>
      </c>
      <c r="D344" s="17"/>
      <c r="E344" s="17"/>
      <c r="F344" s="17"/>
      <c r="G344" s="17"/>
      <c r="H344" s="17"/>
      <c r="I344" s="17"/>
      <c r="J344" s="73"/>
      <c r="K344" s="17">
        <v>35</v>
      </c>
      <c r="L344" s="17">
        <v>1.3</v>
      </c>
      <c r="M344" s="73">
        <v>353</v>
      </c>
      <c r="N344" s="196">
        <v>250</v>
      </c>
      <c r="O344" s="19">
        <v>1000</v>
      </c>
      <c r="P344" s="15">
        <v>386</v>
      </c>
      <c r="Q344" s="16"/>
      <c r="R344" s="11"/>
      <c r="S344" s="16"/>
    </row>
    <row r="345" spans="1:19" x14ac:dyDescent="0.2">
      <c r="A345" s="17" t="s">
        <v>226</v>
      </c>
      <c r="B345" s="13">
        <v>22</v>
      </c>
      <c r="C345" s="86">
        <v>22</v>
      </c>
      <c r="D345" s="17"/>
      <c r="E345" s="17"/>
      <c r="F345" s="17"/>
      <c r="G345" s="17"/>
      <c r="H345" s="17"/>
      <c r="I345" s="17"/>
      <c r="J345" s="73"/>
      <c r="K345" s="17">
        <v>53</v>
      </c>
      <c r="L345" s="17">
        <v>2</v>
      </c>
      <c r="M345" s="73">
        <v>332</v>
      </c>
      <c r="N345" s="196">
        <v>250</v>
      </c>
      <c r="O345" s="19">
        <v>1000</v>
      </c>
      <c r="P345" s="15">
        <v>402</v>
      </c>
      <c r="Q345" s="16"/>
      <c r="R345" s="11"/>
      <c r="S345" s="16"/>
    </row>
    <row r="346" spans="1:19" x14ac:dyDescent="0.2">
      <c r="A346" s="53" t="s">
        <v>645</v>
      </c>
      <c r="B346" s="51">
        <v>22</v>
      </c>
      <c r="C346" s="193"/>
      <c r="D346" s="53"/>
      <c r="E346" s="53"/>
      <c r="F346" s="53"/>
      <c r="G346" s="53"/>
      <c r="H346" s="53"/>
      <c r="I346" s="53"/>
      <c r="J346" s="82"/>
      <c r="K346" s="53"/>
      <c r="L346" s="53"/>
      <c r="M346" s="82"/>
      <c r="N346" s="198"/>
      <c r="O346" s="54"/>
      <c r="P346" s="30">
        <v>456</v>
      </c>
      <c r="Q346" s="55"/>
      <c r="R346" s="56"/>
      <c r="S346" s="55"/>
    </row>
    <row r="347" spans="1:19" x14ac:dyDescent="0.2">
      <c r="A347" s="53" t="s">
        <v>646</v>
      </c>
      <c r="B347" s="51">
        <v>22</v>
      </c>
      <c r="C347" s="193"/>
      <c r="D347" s="53"/>
      <c r="E347" s="53"/>
      <c r="F347" s="53"/>
      <c r="G347" s="53"/>
      <c r="H347" s="53"/>
      <c r="I347" s="53"/>
      <c r="J347" s="82"/>
      <c r="K347" s="53"/>
      <c r="L347" s="53"/>
      <c r="M347" s="82"/>
      <c r="N347" s="198"/>
      <c r="O347" s="54"/>
      <c r="P347" s="30">
        <v>233</v>
      </c>
      <c r="Q347" s="55"/>
      <c r="R347" s="56"/>
      <c r="S347" s="55"/>
    </row>
    <row r="348" spans="1:19" x14ac:dyDescent="0.2">
      <c r="A348" s="53" t="s">
        <v>649</v>
      </c>
      <c r="B348" s="51"/>
      <c r="C348" s="193"/>
      <c r="D348" s="53"/>
      <c r="E348" s="53"/>
      <c r="F348" s="53"/>
      <c r="G348" s="53"/>
      <c r="H348" s="53"/>
      <c r="I348" s="53"/>
      <c r="J348" s="82"/>
      <c r="K348" s="53"/>
      <c r="L348" s="53"/>
      <c r="M348" s="82"/>
      <c r="N348" s="198"/>
      <c r="O348" s="54"/>
      <c r="P348" s="30"/>
      <c r="Q348" s="55"/>
      <c r="R348" s="56"/>
      <c r="S348" s="55"/>
    </row>
    <row r="349" spans="1:19" x14ac:dyDescent="0.2">
      <c r="A349" s="17" t="s">
        <v>227</v>
      </c>
      <c r="B349" s="13">
        <v>22</v>
      </c>
      <c r="C349" s="86">
        <v>6</v>
      </c>
      <c r="D349" s="17"/>
      <c r="E349" s="17"/>
      <c r="F349" s="17"/>
      <c r="G349" s="17"/>
      <c r="H349" s="17"/>
      <c r="I349" s="17"/>
      <c r="J349" s="73"/>
      <c r="K349" s="17">
        <v>2</v>
      </c>
      <c r="L349" s="17">
        <v>0.8</v>
      </c>
      <c r="M349" s="73">
        <v>272</v>
      </c>
      <c r="N349" s="196">
        <v>250</v>
      </c>
      <c r="O349" s="19">
        <v>1000</v>
      </c>
      <c r="P349" s="15">
        <v>390</v>
      </c>
      <c r="Q349" s="16"/>
      <c r="R349" s="11"/>
      <c r="S349" s="16"/>
    </row>
    <row r="350" spans="1:19" x14ac:dyDescent="0.2">
      <c r="A350" s="17" t="s">
        <v>228</v>
      </c>
      <c r="B350" s="13">
        <v>22</v>
      </c>
      <c r="C350" s="86">
        <v>6.2</v>
      </c>
      <c r="D350" s="17"/>
      <c r="E350" s="17"/>
      <c r="F350" s="17"/>
      <c r="G350" s="17"/>
      <c r="H350" s="17"/>
      <c r="I350" s="17"/>
      <c r="J350" s="73">
        <v>133</v>
      </c>
      <c r="K350" s="17">
        <v>33</v>
      </c>
      <c r="L350" s="17">
        <v>1</v>
      </c>
      <c r="M350" s="73">
        <v>284</v>
      </c>
      <c r="N350" s="196">
        <v>250</v>
      </c>
      <c r="O350" s="19"/>
      <c r="P350" s="15">
        <v>248</v>
      </c>
      <c r="Q350" s="16"/>
      <c r="R350" s="11"/>
      <c r="S350" s="16"/>
    </row>
    <row r="351" spans="1:19" x14ac:dyDescent="0.2">
      <c r="A351" s="53" t="s">
        <v>713</v>
      </c>
      <c r="B351" s="51">
        <v>22</v>
      </c>
      <c r="C351" s="193">
        <v>8.1999999999999993</v>
      </c>
      <c r="D351" s="53"/>
      <c r="E351" s="53"/>
      <c r="F351" s="53"/>
      <c r="G351" s="53"/>
      <c r="H351" s="53"/>
      <c r="I351" s="53"/>
      <c r="J351" s="82">
        <v>167</v>
      </c>
      <c r="K351" s="53">
        <v>38</v>
      </c>
      <c r="L351" s="53">
        <v>1.3</v>
      </c>
      <c r="M351" s="82">
        <v>285</v>
      </c>
      <c r="N351" s="198">
        <v>250</v>
      </c>
      <c r="O351" s="54">
        <v>285</v>
      </c>
      <c r="P351" s="30">
        <v>305</v>
      </c>
      <c r="Q351" s="55"/>
      <c r="R351" s="56"/>
      <c r="S351" s="55"/>
    </row>
    <row r="352" spans="1:19" x14ac:dyDescent="0.2">
      <c r="A352" s="17" t="s">
        <v>229</v>
      </c>
      <c r="B352" s="13">
        <v>22</v>
      </c>
      <c r="C352" s="86">
        <v>10.4</v>
      </c>
      <c r="D352" s="17"/>
      <c r="E352" s="17"/>
      <c r="F352" s="17"/>
      <c r="G352" s="17"/>
      <c r="H352" s="17"/>
      <c r="I352" s="17"/>
      <c r="J352" s="73">
        <v>238</v>
      </c>
      <c r="K352" s="17">
        <v>47</v>
      </c>
      <c r="L352" s="17">
        <v>1.9</v>
      </c>
      <c r="M352" s="73">
        <v>324</v>
      </c>
      <c r="N352" s="196">
        <v>250</v>
      </c>
      <c r="O352" s="19">
        <v>324</v>
      </c>
      <c r="P352" s="15">
        <v>100</v>
      </c>
      <c r="Q352" s="16"/>
      <c r="R352" s="11"/>
      <c r="S352" s="16"/>
    </row>
    <row r="353" spans="1:19" x14ac:dyDescent="0.2">
      <c r="A353" s="53" t="s">
        <v>647</v>
      </c>
      <c r="B353" s="51">
        <v>22</v>
      </c>
      <c r="C353" s="193"/>
      <c r="D353" s="53"/>
      <c r="E353" s="53"/>
      <c r="F353" s="53"/>
      <c r="G353" s="53"/>
      <c r="H353" s="53"/>
      <c r="I353" s="53"/>
      <c r="J353" s="82"/>
      <c r="K353" s="53"/>
      <c r="L353" s="53"/>
      <c r="M353" s="82"/>
      <c r="N353" s="198"/>
      <c r="O353" s="54"/>
      <c r="P353" s="30">
        <v>296</v>
      </c>
      <c r="Q353" s="55"/>
      <c r="R353" s="56"/>
      <c r="S353" s="55"/>
    </row>
    <row r="354" spans="1:19" x14ac:dyDescent="0.2">
      <c r="A354" s="53" t="s">
        <v>737</v>
      </c>
      <c r="B354" s="51">
        <v>22</v>
      </c>
      <c r="C354" s="193"/>
      <c r="D354" s="53"/>
      <c r="E354" s="53"/>
      <c r="F354" s="53"/>
      <c r="G354" s="53"/>
      <c r="H354" s="53"/>
      <c r="I354" s="53"/>
      <c r="J354" s="82"/>
      <c r="K354" s="53"/>
      <c r="L354" s="53"/>
      <c r="M354" s="82"/>
      <c r="N354" s="198"/>
      <c r="O354" s="54"/>
      <c r="P354" s="30">
        <v>516</v>
      </c>
      <c r="Q354" s="55"/>
      <c r="R354" s="56"/>
      <c r="S354" s="55"/>
    </row>
    <row r="355" spans="1:19" x14ac:dyDescent="0.2">
      <c r="A355" s="17" t="s">
        <v>504</v>
      </c>
      <c r="B355" s="13">
        <v>22</v>
      </c>
      <c r="C355" s="86">
        <v>18</v>
      </c>
      <c r="D355" s="17"/>
      <c r="E355" s="17"/>
      <c r="F355" s="17"/>
      <c r="G355" s="17"/>
      <c r="H355" s="17"/>
      <c r="I355" s="17"/>
      <c r="J355" s="73"/>
      <c r="K355" s="17">
        <v>38</v>
      </c>
      <c r="L355" s="17">
        <v>1.2</v>
      </c>
      <c r="M355" s="73">
        <v>260</v>
      </c>
      <c r="N355" s="196">
        <v>250</v>
      </c>
      <c r="O355" s="19">
        <v>100</v>
      </c>
      <c r="P355" s="15">
        <v>170</v>
      </c>
      <c r="Q355" s="16"/>
      <c r="R355" s="11"/>
      <c r="S355" s="16"/>
    </row>
    <row r="356" spans="1:19" x14ac:dyDescent="0.2">
      <c r="A356" s="20" t="s">
        <v>223</v>
      </c>
      <c r="B356" s="13">
        <v>22</v>
      </c>
      <c r="C356" s="85">
        <v>5.6</v>
      </c>
      <c r="D356" s="17"/>
      <c r="E356" s="17"/>
      <c r="F356" s="17"/>
      <c r="G356" s="17"/>
      <c r="H356" s="17"/>
      <c r="I356" s="17"/>
      <c r="J356" s="73">
        <v>33</v>
      </c>
      <c r="K356" s="17">
        <v>29</v>
      </c>
      <c r="L356" s="17">
        <v>0.9</v>
      </c>
      <c r="M356" s="73"/>
      <c r="N356" s="196">
        <v>250</v>
      </c>
      <c r="O356" s="19"/>
      <c r="P356" s="15">
        <v>369</v>
      </c>
      <c r="Q356" s="16"/>
      <c r="R356" s="11"/>
      <c r="S356" s="16"/>
    </row>
    <row r="357" spans="1:19" x14ac:dyDescent="0.2">
      <c r="A357" s="20" t="s">
        <v>230</v>
      </c>
      <c r="B357" s="21">
        <v>22</v>
      </c>
      <c r="C357" s="89">
        <v>9</v>
      </c>
      <c r="D357" s="17"/>
      <c r="E357" s="17"/>
      <c r="F357" s="17"/>
      <c r="G357" s="17"/>
      <c r="H357" s="17"/>
      <c r="I357" s="17"/>
      <c r="J357" s="73">
        <v>201</v>
      </c>
      <c r="K357" s="17">
        <v>46</v>
      </c>
      <c r="L357" s="17">
        <v>1.5</v>
      </c>
      <c r="M357" s="73">
        <v>311</v>
      </c>
      <c r="N357" s="196">
        <v>250</v>
      </c>
      <c r="O357" s="19">
        <v>1000</v>
      </c>
      <c r="P357" s="15">
        <v>410</v>
      </c>
      <c r="Q357" s="16"/>
      <c r="R357" s="11"/>
      <c r="S357" s="16"/>
    </row>
    <row r="358" spans="1:19" x14ac:dyDescent="0.2">
      <c r="A358" s="17" t="s">
        <v>231</v>
      </c>
      <c r="B358" s="13">
        <v>22</v>
      </c>
      <c r="C358" s="86">
        <v>8.3000000000000007</v>
      </c>
      <c r="D358" s="17"/>
      <c r="E358" s="17"/>
      <c r="F358" s="17"/>
      <c r="G358" s="17"/>
      <c r="H358" s="17"/>
      <c r="I358" s="17"/>
      <c r="J358" s="73">
        <v>175</v>
      </c>
      <c r="K358" s="17">
        <v>47</v>
      </c>
      <c r="L358" s="17">
        <v>1.5</v>
      </c>
      <c r="M358" s="73">
        <v>274</v>
      </c>
      <c r="N358" s="196">
        <v>250</v>
      </c>
      <c r="O358" s="19">
        <v>2000</v>
      </c>
      <c r="P358" s="15">
        <v>265</v>
      </c>
      <c r="Q358" s="16"/>
      <c r="R358" s="11"/>
      <c r="S358" s="16"/>
    </row>
    <row r="359" spans="1:19" x14ac:dyDescent="0.2">
      <c r="A359" s="17" t="s">
        <v>232</v>
      </c>
      <c r="B359" s="13">
        <v>22</v>
      </c>
      <c r="C359" s="194">
        <v>10.6</v>
      </c>
      <c r="D359" s="28"/>
      <c r="E359" s="17"/>
      <c r="F359" s="17"/>
      <c r="G359" s="29"/>
      <c r="H359" s="17"/>
      <c r="I359" s="17"/>
      <c r="J359" s="73"/>
      <c r="K359" s="17">
        <v>16</v>
      </c>
      <c r="L359" s="17">
        <v>1</v>
      </c>
      <c r="M359" s="82">
        <v>255</v>
      </c>
      <c r="N359" s="196">
        <v>250</v>
      </c>
      <c r="O359" s="19">
        <v>500</v>
      </c>
      <c r="P359" s="15"/>
      <c r="Q359" s="16"/>
      <c r="R359" s="11"/>
      <c r="S359" s="16"/>
    </row>
    <row r="360" spans="1:19" x14ac:dyDescent="0.2">
      <c r="A360" s="17" t="s">
        <v>605</v>
      </c>
      <c r="B360" s="13">
        <v>22</v>
      </c>
      <c r="C360" s="194">
        <v>63.1</v>
      </c>
      <c r="D360" s="28"/>
      <c r="E360" s="17"/>
      <c r="F360" s="17"/>
      <c r="G360" s="29"/>
      <c r="H360" s="17"/>
      <c r="I360" s="17"/>
      <c r="J360" s="73"/>
      <c r="K360" s="17"/>
      <c r="L360" s="17">
        <v>0</v>
      </c>
      <c r="M360" s="73"/>
      <c r="N360" s="73"/>
      <c r="O360" s="19"/>
      <c r="P360" s="15">
        <v>451</v>
      </c>
      <c r="Q360" s="16"/>
      <c r="R360" s="11"/>
      <c r="S360" s="16"/>
    </row>
    <row r="361" spans="1:19" x14ac:dyDescent="0.2">
      <c r="A361" s="17" t="s">
        <v>233</v>
      </c>
      <c r="B361" s="13">
        <v>22</v>
      </c>
      <c r="C361" s="86">
        <v>10.6</v>
      </c>
      <c r="D361" s="17"/>
      <c r="E361" s="17"/>
      <c r="F361" s="17"/>
      <c r="G361" s="17"/>
      <c r="H361" s="17"/>
      <c r="I361" s="17"/>
      <c r="J361" s="73">
        <v>172</v>
      </c>
      <c r="K361" s="17">
        <v>47</v>
      </c>
      <c r="L361" s="17">
        <v>1.2</v>
      </c>
      <c r="M361" s="73">
        <v>345</v>
      </c>
      <c r="N361" s="196">
        <v>250</v>
      </c>
      <c r="O361" s="19">
        <v>1000</v>
      </c>
      <c r="P361" s="15"/>
      <c r="Q361" s="16"/>
      <c r="R361" s="11"/>
      <c r="S361" s="16"/>
    </row>
    <row r="362" spans="1:19" x14ac:dyDescent="0.2">
      <c r="A362" s="17" t="s">
        <v>234</v>
      </c>
      <c r="B362" s="13">
        <v>22</v>
      </c>
      <c r="C362" s="86">
        <v>19.7</v>
      </c>
      <c r="D362" s="17"/>
      <c r="E362" s="17"/>
      <c r="F362" s="17"/>
      <c r="G362" s="17"/>
      <c r="H362" s="17"/>
      <c r="I362" s="17"/>
      <c r="J362" s="73">
        <v>153</v>
      </c>
      <c r="K362" s="17">
        <v>49</v>
      </c>
      <c r="L362" s="17">
        <v>1.2</v>
      </c>
      <c r="M362" s="73">
        <v>257</v>
      </c>
      <c r="N362" s="196">
        <v>250</v>
      </c>
      <c r="O362" s="19"/>
      <c r="P362" s="15"/>
      <c r="Q362" s="16"/>
      <c r="R362" s="11"/>
      <c r="S362" s="16"/>
    </row>
    <row r="363" spans="1:19" x14ac:dyDescent="0.2">
      <c r="A363" s="17" t="s">
        <v>608</v>
      </c>
      <c r="B363" s="13">
        <v>22</v>
      </c>
      <c r="C363" s="86">
        <v>211.1</v>
      </c>
      <c r="D363" s="17"/>
      <c r="E363" s="17"/>
      <c r="F363" s="17"/>
      <c r="G363" s="17"/>
      <c r="H363" s="17"/>
      <c r="I363" s="17"/>
      <c r="J363" s="73"/>
      <c r="K363" s="17">
        <v>17</v>
      </c>
      <c r="L363" s="17">
        <v>0.9</v>
      </c>
      <c r="M363" s="73">
        <v>274</v>
      </c>
      <c r="N363" s="196">
        <v>250</v>
      </c>
      <c r="O363" s="19">
        <v>500</v>
      </c>
      <c r="P363" s="15">
        <v>267</v>
      </c>
      <c r="Q363" s="16"/>
      <c r="R363" s="11"/>
      <c r="S363" s="16"/>
    </row>
    <row r="364" spans="1:19" x14ac:dyDescent="0.2">
      <c r="A364" s="17" t="s">
        <v>609</v>
      </c>
      <c r="B364" s="13">
        <v>22</v>
      </c>
      <c r="C364" s="86">
        <v>403.4</v>
      </c>
      <c r="D364" s="17"/>
      <c r="E364" s="17"/>
      <c r="F364" s="17"/>
      <c r="G364" s="17"/>
      <c r="H364" s="17"/>
      <c r="I364" s="17"/>
      <c r="J364" s="73"/>
      <c r="K364" s="17">
        <v>42</v>
      </c>
      <c r="L364" s="17">
        <v>0.9</v>
      </c>
      <c r="M364" s="73">
        <v>322</v>
      </c>
      <c r="N364" s="196">
        <v>250</v>
      </c>
      <c r="O364" s="19"/>
      <c r="P364" s="15">
        <v>421</v>
      </c>
      <c r="Q364" s="16"/>
      <c r="R364" s="11"/>
      <c r="S364" s="16"/>
    </row>
    <row r="365" spans="1:19" x14ac:dyDescent="0.2">
      <c r="A365" s="20" t="s">
        <v>610</v>
      </c>
      <c r="B365" s="21">
        <v>22</v>
      </c>
      <c r="C365" s="85">
        <v>5.0999999999999996</v>
      </c>
      <c r="D365" s="17"/>
      <c r="E365" s="17"/>
      <c r="F365" s="17"/>
      <c r="G365" s="17"/>
      <c r="H365" s="17"/>
      <c r="I365" s="17"/>
      <c r="J365" s="73"/>
      <c r="K365" s="17">
        <v>143.1</v>
      </c>
      <c r="L365" s="17">
        <v>1.5</v>
      </c>
      <c r="M365" s="73">
        <v>282</v>
      </c>
      <c r="N365" s="196">
        <v>250</v>
      </c>
      <c r="O365" s="19">
        <v>500</v>
      </c>
      <c r="P365" s="15">
        <v>1352</v>
      </c>
      <c r="Q365" s="16"/>
      <c r="R365" s="11"/>
      <c r="S365" s="16"/>
    </row>
    <row r="366" spans="1:19" x14ac:dyDescent="0.2">
      <c r="A366" s="20" t="s">
        <v>611</v>
      </c>
      <c r="B366" s="21">
        <v>22</v>
      </c>
      <c r="C366" s="85">
        <v>7.8</v>
      </c>
      <c r="D366" s="17"/>
      <c r="E366" s="17"/>
      <c r="F366" s="17"/>
      <c r="G366" s="17"/>
      <c r="H366" s="17"/>
      <c r="I366" s="17"/>
      <c r="J366" s="73"/>
      <c r="K366" s="17">
        <v>143.1</v>
      </c>
      <c r="L366" s="17">
        <v>1.5</v>
      </c>
      <c r="M366" s="73">
        <v>274</v>
      </c>
      <c r="N366" s="196">
        <v>250</v>
      </c>
      <c r="O366" s="19"/>
      <c r="P366" s="15">
        <v>808</v>
      </c>
      <c r="Q366" s="16"/>
      <c r="R366" s="11"/>
      <c r="S366" s="16"/>
    </row>
    <row r="367" spans="1:19" x14ac:dyDescent="0.2">
      <c r="A367" s="20" t="s">
        <v>235</v>
      </c>
      <c r="B367" s="21">
        <v>22</v>
      </c>
      <c r="C367" s="85">
        <v>35.5</v>
      </c>
      <c r="D367" s="17"/>
      <c r="E367" s="17"/>
      <c r="F367" s="17"/>
      <c r="G367" s="17"/>
      <c r="H367" s="17"/>
      <c r="I367" s="17"/>
      <c r="J367" s="73">
        <v>147</v>
      </c>
      <c r="K367" s="17">
        <v>63.5</v>
      </c>
      <c r="L367" s="17">
        <v>5.4</v>
      </c>
      <c r="M367" s="73"/>
      <c r="N367" s="196">
        <v>250</v>
      </c>
      <c r="O367" s="19"/>
      <c r="P367" s="15">
        <v>80</v>
      </c>
      <c r="Q367" s="16"/>
      <c r="R367" s="11"/>
      <c r="S367" s="16"/>
    </row>
    <row r="368" spans="1:19" x14ac:dyDescent="0.2">
      <c r="A368" s="20" t="s">
        <v>236</v>
      </c>
      <c r="B368" s="13">
        <v>22</v>
      </c>
      <c r="C368" s="85">
        <v>7.3</v>
      </c>
      <c r="D368" s="17"/>
      <c r="E368" s="17"/>
      <c r="F368" s="17"/>
      <c r="G368" s="17"/>
      <c r="H368" s="17"/>
      <c r="I368" s="17"/>
      <c r="J368" s="73"/>
      <c r="K368" s="17">
        <v>127.3</v>
      </c>
      <c r="L368" s="17">
        <v>2.1</v>
      </c>
      <c r="M368" s="73">
        <v>295</v>
      </c>
      <c r="N368" s="196">
        <v>250</v>
      </c>
      <c r="O368" s="19">
        <v>500</v>
      </c>
      <c r="P368" s="15">
        <v>862</v>
      </c>
      <c r="Q368" s="16"/>
      <c r="R368" s="11"/>
      <c r="S368" s="16"/>
    </row>
    <row r="369" spans="1:19" x14ac:dyDescent="0.2">
      <c r="A369" s="17" t="s">
        <v>237</v>
      </c>
      <c r="B369" s="11">
        <v>22</v>
      </c>
      <c r="C369" s="86">
        <v>7.6</v>
      </c>
      <c r="D369" s="17">
        <v>6525</v>
      </c>
      <c r="E369" s="17">
        <v>500</v>
      </c>
      <c r="F369" s="17">
        <v>6525</v>
      </c>
      <c r="G369" s="17">
        <v>500</v>
      </c>
      <c r="H369" s="17"/>
      <c r="I369" s="17"/>
      <c r="J369" s="73"/>
      <c r="K369" s="17">
        <v>28</v>
      </c>
      <c r="L369" s="17">
        <v>1.7</v>
      </c>
      <c r="M369" s="73">
        <v>315</v>
      </c>
      <c r="N369" s="196">
        <v>250</v>
      </c>
      <c r="O369" s="19">
        <v>300</v>
      </c>
      <c r="P369" s="15">
        <v>685</v>
      </c>
      <c r="Q369" s="16"/>
      <c r="R369" s="11"/>
      <c r="S369" s="16"/>
    </row>
    <row r="370" spans="1:19" x14ac:dyDescent="0.2">
      <c r="A370" s="17" t="s">
        <v>496</v>
      </c>
      <c r="B370" s="11">
        <v>21</v>
      </c>
      <c r="C370" s="86">
        <v>27.1</v>
      </c>
      <c r="D370" s="17"/>
      <c r="E370" s="17"/>
      <c r="F370" s="17"/>
      <c r="G370" s="17"/>
      <c r="H370" s="17"/>
      <c r="I370" s="17"/>
      <c r="J370" s="73"/>
      <c r="K370" s="17">
        <v>24</v>
      </c>
      <c r="L370" s="17">
        <v>2.8</v>
      </c>
      <c r="M370" s="73">
        <v>273</v>
      </c>
      <c r="N370" s="196">
        <v>250</v>
      </c>
      <c r="O370" s="19"/>
      <c r="P370" s="15"/>
      <c r="Q370" s="16"/>
      <c r="R370" s="11"/>
      <c r="S370" s="16"/>
    </row>
    <row r="371" spans="1:19" x14ac:dyDescent="0.2">
      <c r="A371" s="20" t="s">
        <v>238</v>
      </c>
      <c r="B371" s="21">
        <v>22</v>
      </c>
      <c r="C371" s="85">
        <v>5</v>
      </c>
      <c r="D371" s="17"/>
      <c r="E371" s="17"/>
      <c r="F371" s="17"/>
      <c r="G371" s="17"/>
      <c r="H371" s="17"/>
      <c r="I371" s="17"/>
      <c r="J371" s="73">
        <v>135</v>
      </c>
      <c r="K371" s="17">
        <v>54</v>
      </c>
      <c r="L371" s="17">
        <v>1.1000000000000001</v>
      </c>
      <c r="M371" s="73">
        <v>295</v>
      </c>
      <c r="N371" s="196">
        <v>250</v>
      </c>
      <c r="O371" s="19"/>
      <c r="P371" s="15">
        <v>168</v>
      </c>
      <c r="Q371" s="16"/>
      <c r="R371" s="11"/>
      <c r="S371" s="16"/>
    </row>
    <row r="372" spans="1:19" x14ac:dyDescent="0.2">
      <c r="A372" s="20" t="s">
        <v>239</v>
      </c>
      <c r="B372" s="21">
        <v>21</v>
      </c>
      <c r="C372" s="85">
        <v>5.2</v>
      </c>
      <c r="D372" s="17"/>
      <c r="E372" s="17"/>
      <c r="F372" s="17"/>
      <c r="G372" s="17"/>
      <c r="H372" s="17"/>
      <c r="I372" s="17"/>
      <c r="J372" s="73"/>
      <c r="K372" s="17">
        <v>68</v>
      </c>
      <c r="L372" s="17">
        <v>1.8</v>
      </c>
      <c r="M372" s="73"/>
      <c r="N372" s="196">
        <v>250</v>
      </c>
      <c r="O372" s="19"/>
      <c r="P372" s="15"/>
      <c r="Q372" s="16"/>
      <c r="R372" s="11"/>
      <c r="S372" s="16"/>
    </row>
    <row r="373" spans="1:19" x14ac:dyDescent="0.2">
      <c r="A373" s="20" t="s">
        <v>240</v>
      </c>
      <c r="B373" s="21">
        <v>22</v>
      </c>
      <c r="C373" s="85">
        <v>5</v>
      </c>
      <c r="D373" s="17"/>
      <c r="E373" s="17"/>
      <c r="F373" s="17"/>
      <c r="G373" s="17"/>
      <c r="H373" s="17"/>
      <c r="I373" s="17"/>
      <c r="J373" s="73"/>
      <c r="K373" s="17">
        <v>54</v>
      </c>
      <c r="L373" s="17">
        <v>1.1000000000000001</v>
      </c>
      <c r="M373" s="73"/>
      <c r="N373" s="196">
        <v>250</v>
      </c>
      <c r="O373" s="19"/>
      <c r="P373" s="15"/>
      <c r="Q373" s="16"/>
      <c r="R373" s="11"/>
      <c r="S373" s="16"/>
    </row>
    <row r="374" spans="1:19" x14ac:dyDescent="0.2">
      <c r="A374" s="17" t="s">
        <v>241</v>
      </c>
      <c r="B374" s="13">
        <v>22</v>
      </c>
      <c r="C374" s="86">
        <v>35.4</v>
      </c>
      <c r="D374" s="17">
        <v>23128</v>
      </c>
      <c r="E374" s="17">
        <v>100</v>
      </c>
      <c r="F374" s="17">
        <v>23128</v>
      </c>
      <c r="G374" s="17">
        <v>100</v>
      </c>
      <c r="H374" s="17"/>
      <c r="I374" s="17"/>
      <c r="J374" s="73"/>
      <c r="K374" s="17">
        <v>0</v>
      </c>
      <c r="L374" s="17">
        <v>0</v>
      </c>
      <c r="M374" s="73"/>
      <c r="N374" s="196"/>
      <c r="O374" s="19"/>
      <c r="P374" s="15">
        <v>247</v>
      </c>
      <c r="Q374" s="16"/>
      <c r="R374" s="11"/>
      <c r="S374" s="16"/>
    </row>
    <row r="375" spans="1:19" x14ac:dyDescent="0.2">
      <c r="A375" s="20" t="s">
        <v>242</v>
      </c>
      <c r="B375" s="21">
        <v>22</v>
      </c>
      <c r="C375" s="85">
        <v>8.6999999999999993</v>
      </c>
      <c r="D375" s="17"/>
      <c r="E375" s="17"/>
      <c r="F375" s="17"/>
      <c r="G375" s="17"/>
      <c r="H375" s="17"/>
      <c r="I375" s="17"/>
      <c r="J375" s="73"/>
      <c r="K375" s="17">
        <v>0</v>
      </c>
      <c r="L375" s="17">
        <v>1.9</v>
      </c>
      <c r="M375" s="73">
        <v>425</v>
      </c>
      <c r="N375" s="196">
        <v>250</v>
      </c>
      <c r="O375" s="19">
        <v>1000</v>
      </c>
      <c r="P375" s="15">
        <v>843</v>
      </c>
      <c r="Q375" s="16"/>
      <c r="R375" s="11"/>
      <c r="S375" s="16"/>
    </row>
    <row r="376" spans="1:19" x14ac:dyDescent="0.2">
      <c r="A376" s="20" t="s">
        <v>613</v>
      </c>
      <c r="B376" s="21">
        <v>22</v>
      </c>
      <c r="C376" s="85">
        <v>10.6</v>
      </c>
      <c r="D376" s="17"/>
      <c r="E376" s="17"/>
      <c r="F376" s="17"/>
      <c r="G376" s="17"/>
      <c r="H376" s="17"/>
      <c r="I376" s="17"/>
      <c r="J376" s="73">
        <v>131</v>
      </c>
      <c r="K376" s="17">
        <v>28</v>
      </c>
      <c r="L376" s="17">
        <v>0.8</v>
      </c>
      <c r="M376" s="73">
        <v>278</v>
      </c>
      <c r="N376" s="196">
        <v>250</v>
      </c>
      <c r="O376" s="19"/>
      <c r="P376" s="15">
        <v>247</v>
      </c>
      <c r="Q376" s="16"/>
      <c r="R376" s="11"/>
      <c r="S376" s="16"/>
    </row>
    <row r="377" spans="1:19" x14ac:dyDescent="0.2">
      <c r="A377" s="20" t="s">
        <v>614</v>
      </c>
      <c r="B377" s="21">
        <v>22</v>
      </c>
      <c r="C377" s="85">
        <v>18.5</v>
      </c>
      <c r="D377" s="17"/>
      <c r="E377" s="17"/>
      <c r="F377" s="17"/>
      <c r="G377" s="17"/>
      <c r="H377" s="17"/>
      <c r="I377" s="17"/>
      <c r="J377" s="73"/>
      <c r="K377" s="17">
        <v>207.5</v>
      </c>
      <c r="L377" s="17">
        <v>1.7</v>
      </c>
      <c r="M377" s="73">
        <v>369</v>
      </c>
      <c r="N377" s="196">
        <v>250</v>
      </c>
      <c r="O377" s="19">
        <v>1000</v>
      </c>
      <c r="P377" s="15">
        <v>300</v>
      </c>
      <c r="Q377" s="16"/>
      <c r="R377" s="11"/>
      <c r="S377" s="16"/>
    </row>
    <row r="378" spans="1:19" x14ac:dyDescent="0.2">
      <c r="A378" s="20" t="s">
        <v>429</v>
      </c>
      <c r="B378" s="21">
        <v>22</v>
      </c>
      <c r="C378" s="85">
        <v>7.8</v>
      </c>
      <c r="D378" s="17"/>
      <c r="E378" s="17"/>
      <c r="F378" s="17"/>
      <c r="G378" s="17"/>
      <c r="H378" s="17"/>
      <c r="I378" s="17"/>
      <c r="J378" s="73"/>
      <c r="K378" s="17">
        <v>27</v>
      </c>
      <c r="L378" s="17">
        <v>0.8</v>
      </c>
      <c r="M378" s="73">
        <v>275</v>
      </c>
      <c r="N378" s="196">
        <v>250</v>
      </c>
      <c r="O378" s="19">
        <v>1000</v>
      </c>
      <c r="P378" s="15">
        <v>572</v>
      </c>
      <c r="Q378" s="16"/>
      <c r="R378" s="11"/>
      <c r="S378" s="16"/>
    </row>
    <row r="379" spans="1:19" x14ac:dyDescent="0.2">
      <c r="A379" s="20" t="s">
        <v>244</v>
      </c>
      <c r="B379" s="13">
        <v>22</v>
      </c>
      <c r="C379" s="85">
        <v>12.2</v>
      </c>
      <c r="D379" s="17"/>
      <c r="E379" s="17"/>
      <c r="F379" s="17"/>
      <c r="G379" s="17"/>
      <c r="H379" s="17"/>
      <c r="I379" s="17"/>
      <c r="J379" s="73"/>
      <c r="K379" s="17"/>
      <c r="L379" s="17">
        <v>2.2000000000000002</v>
      </c>
      <c r="M379" s="73"/>
      <c r="N379" s="196"/>
      <c r="O379" s="19"/>
      <c r="P379" s="15">
        <v>291</v>
      </c>
      <c r="Q379" s="16"/>
      <c r="R379" s="11"/>
      <c r="S379" s="16"/>
    </row>
    <row r="380" spans="1:19" x14ac:dyDescent="0.2">
      <c r="A380" s="20" t="s">
        <v>245</v>
      </c>
      <c r="B380" s="21">
        <v>22</v>
      </c>
      <c r="C380" s="85">
        <v>4.5</v>
      </c>
      <c r="D380" s="17"/>
      <c r="E380" s="17"/>
      <c r="F380" s="17"/>
      <c r="G380" s="17"/>
      <c r="H380" s="17"/>
      <c r="I380" s="17"/>
      <c r="J380" s="73">
        <v>35</v>
      </c>
      <c r="K380" s="17">
        <v>30</v>
      </c>
      <c r="L380" s="17">
        <v>0.5</v>
      </c>
      <c r="M380" s="82">
        <v>251</v>
      </c>
      <c r="N380" s="196">
        <v>250</v>
      </c>
      <c r="O380" s="19"/>
      <c r="P380" s="15">
        <v>701</v>
      </c>
      <c r="Q380" s="16"/>
      <c r="R380" s="11"/>
      <c r="S380" s="16"/>
    </row>
    <row r="381" spans="1:19" x14ac:dyDescent="0.2">
      <c r="A381" s="17" t="s">
        <v>246</v>
      </c>
      <c r="B381" s="13">
        <v>22</v>
      </c>
      <c r="C381" s="86">
        <v>14.1</v>
      </c>
      <c r="D381" s="17"/>
      <c r="E381" s="17"/>
      <c r="F381" s="17"/>
      <c r="G381" s="17"/>
      <c r="H381" s="17"/>
      <c r="I381" s="17"/>
      <c r="J381" s="73"/>
      <c r="K381" s="17">
        <v>24</v>
      </c>
      <c r="L381" s="17">
        <v>1.2</v>
      </c>
      <c r="M381" s="73">
        <v>301</v>
      </c>
      <c r="N381" s="196">
        <v>250</v>
      </c>
      <c r="O381" s="19">
        <v>500</v>
      </c>
      <c r="P381" s="15">
        <v>338</v>
      </c>
      <c r="Q381" s="16"/>
      <c r="R381" s="11"/>
      <c r="S381" s="16"/>
    </row>
    <row r="382" spans="1:19" x14ac:dyDescent="0.2">
      <c r="A382" s="17" t="s">
        <v>247</v>
      </c>
      <c r="B382" s="11">
        <v>21</v>
      </c>
      <c r="C382" s="86">
        <v>6.4</v>
      </c>
      <c r="D382" s="17">
        <v>660</v>
      </c>
      <c r="E382" s="17">
        <v>100</v>
      </c>
      <c r="F382" s="17">
        <v>660</v>
      </c>
      <c r="G382" s="17">
        <v>100</v>
      </c>
      <c r="H382" s="17"/>
      <c r="I382" s="17"/>
      <c r="J382" s="73"/>
      <c r="K382" s="17">
        <v>15</v>
      </c>
      <c r="L382" s="17">
        <v>1.4</v>
      </c>
      <c r="M382" s="73">
        <v>245</v>
      </c>
      <c r="N382" s="196">
        <v>250</v>
      </c>
      <c r="O382" s="19">
        <v>400</v>
      </c>
      <c r="P382" s="15"/>
      <c r="Q382" s="16"/>
      <c r="R382" s="11"/>
      <c r="S382" s="16"/>
    </row>
    <row r="383" spans="1:19" x14ac:dyDescent="0.2">
      <c r="A383" s="17" t="s">
        <v>446</v>
      </c>
      <c r="B383" s="11">
        <v>21</v>
      </c>
      <c r="C383" s="86">
        <v>8.6</v>
      </c>
      <c r="D383" s="17"/>
      <c r="E383" s="17"/>
      <c r="F383" s="17"/>
      <c r="G383" s="17"/>
      <c r="H383" s="17"/>
      <c r="I383" s="17"/>
      <c r="J383" s="73">
        <v>29</v>
      </c>
      <c r="K383" s="17">
        <v>15</v>
      </c>
      <c r="L383" s="17">
        <v>1.9</v>
      </c>
      <c r="M383" s="82">
        <v>252</v>
      </c>
      <c r="N383" s="196">
        <v>250</v>
      </c>
      <c r="O383" s="19">
        <v>500</v>
      </c>
      <c r="P383" s="15"/>
      <c r="Q383" s="16"/>
      <c r="R383" s="11"/>
      <c r="S383" s="16"/>
    </row>
    <row r="384" spans="1:19" x14ac:dyDescent="0.2">
      <c r="A384" s="17" t="s">
        <v>248</v>
      </c>
      <c r="B384" s="11">
        <v>30</v>
      </c>
      <c r="C384" s="86">
        <v>21.8</v>
      </c>
      <c r="D384" s="17">
        <v>3870</v>
      </c>
      <c r="E384" s="17">
        <v>100</v>
      </c>
      <c r="F384" s="17">
        <v>3870</v>
      </c>
      <c r="G384" s="17">
        <v>100</v>
      </c>
      <c r="H384" s="17"/>
      <c r="I384" s="17"/>
      <c r="J384" s="73"/>
      <c r="K384" s="17"/>
      <c r="L384" s="17"/>
      <c r="M384" s="73"/>
      <c r="N384" s="73"/>
      <c r="O384" s="19"/>
      <c r="P384" s="15">
        <v>2</v>
      </c>
      <c r="Q384" s="16"/>
      <c r="R384" s="11" t="s">
        <v>418</v>
      </c>
      <c r="S384" s="16"/>
    </row>
    <row r="385" spans="1:19" x14ac:dyDescent="0.2">
      <c r="A385" s="17" t="s">
        <v>249</v>
      </c>
      <c r="B385" s="11">
        <v>30</v>
      </c>
      <c r="C385" s="86"/>
      <c r="D385" s="17"/>
      <c r="E385" s="17"/>
      <c r="F385" s="17"/>
      <c r="G385" s="17"/>
      <c r="H385" s="17"/>
      <c r="I385" s="17"/>
      <c r="J385" s="73"/>
      <c r="K385" s="17"/>
      <c r="L385" s="17"/>
      <c r="M385" s="73"/>
      <c r="N385" s="73"/>
      <c r="O385" s="19"/>
      <c r="P385" s="15">
        <v>100</v>
      </c>
      <c r="Q385" s="16"/>
      <c r="R385" s="11" t="s">
        <v>419</v>
      </c>
      <c r="S385" s="16"/>
    </row>
    <row r="386" spans="1:19" x14ac:dyDescent="0.2">
      <c r="A386" s="17" t="s">
        <v>250</v>
      </c>
      <c r="B386" s="11">
        <v>30</v>
      </c>
      <c r="C386" s="86">
        <v>32.1</v>
      </c>
      <c r="D386" s="17"/>
      <c r="E386" s="17"/>
      <c r="F386" s="17"/>
      <c r="G386" s="17"/>
      <c r="H386" s="17"/>
      <c r="I386" s="17"/>
      <c r="J386" s="73"/>
      <c r="K386" s="17"/>
      <c r="L386" s="17"/>
      <c r="M386" s="73"/>
      <c r="N386" s="73"/>
      <c r="O386" s="19">
        <v>30</v>
      </c>
      <c r="P386" s="15">
        <v>8</v>
      </c>
      <c r="Q386" s="16"/>
      <c r="R386" s="11" t="s">
        <v>418</v>
      </c>
      <c r="S386" s="16"/>
    </row>
    <row r="387" spans="1:19" x14ac:dyDescent="0.2">
      <c r="A387" s="20" t="s">
        <v>251</v>
      </c>
      <c r="B387" s="21">
        <v>30</v>
      </c>
      <c r="C387" s="85"/>
      <c r="D387" s="17"/>
      <c r="E387" s="17"/>
      <c r="F387" s="17"/>
      <c r="G387" s="17"/>
      <c r="H387" s="17"/>
      <c r="I387" s="17"/>
      <c r="J387" s="73"/>
      <c r="K387" s="17"/>
      <c r="L387" s="17"/>
      <c r="M387" s="73"/>
      <c r="N387" s="73"/>
      <c r="O387" s="19"/>
      <c r="P387" s="15">
        <v>85</v>
      </c>
      <c r="Q387" s="16"/>
      <c r="R387" s="11" t="s">
        <v>419</v>
      </c>
      <c r="S387" s="16"/>
    </row>
    <row r="388" spans="1:19" x14ac:dyDescent="0.2">
      <c r="A388" s="20" t="s">
        <v>629</v>
      </c>
      <c r="B388" s="21">
        <v>30</v>
      </c>
      <c r="C388" s="85">
        <v>21.5</v>
      </c>
      <c r="D388" s="17"/>
      <c r="E388" s="17"/>
      <c r="F388" s="17"/>
      <c r="G388" s="17"/>
      <c r="H388" s="17"/>
      <c r="I388" s="17"/>
      <c r="J388" s="73"/>
      <c r="K388" s="17"/>
      <c r="L388" s="17"/>
      <c r="M388" s="73"/>
      <c r="N388" s="73"/>
      <c r="O388" s="19"/>
      <c r="P388" s="15">
        <v>13</v>
      </c>
      <c r="Q388" s="16"/>
      <c r="R388" s="11" t="s">
        <v>49</v>
      </c>
      <c r="S388" s="16"/>
    </row>
    <row r="389" spans="1:19" x14ac:dyDescent="0.2">
      <c r="A389" s="20" t="s">
        <v>252</v>
      </c>
      <c r="B389" s="13">
        <v>30</v>
      </c>
      <c r="C389" s="87">
        <v>50.7</v>
      </c>
      <c r="D389" s="17"/>
      <c r="E389" s="17"/>
      <c r="F389" s="17"/>
      <c r="G389" s="17"/>
      <c r="H389" s="17"/>
      <c r="I389" s="17"/>
      <c r="J389" s="73"/>
      <c r="K389" s="17"/>
      <c r="L389" s="17"/>
      <c r="M389" s="73"/>
      <c r="N389" s="73"/>
      <c r="O389" s="19">
        <v>120</v>
      </c>
      <c r="P389" s="15">
        <v>9</v>
      </c>
      <c r="Q389" s="16"/>
      <c r="R389" s="11" t="s">
        <v>418</v>
      </c>
      <c r="S389" s="16"/>
    </row>
    <row r="390" spans="1:19" x14ac:dyDescent="0.2">
      <c r="A390" s="20" t="s">
        <v>253</v>
      </c>
      <c r="B390" s="13">
        <v>30</v>
      </c>
      <c r="C390" s="85">
        <v>61.2</v>
      </c>
      <c r="D390" s="17"/>
      <c r="E390" s="17"/>
      <c r="F390" s="17"/>
      <c r="G390" s="17"/>
      <c r="H390" s="17"/>
      <c r="I390" s="17"/>
      <c r="J390" s="73"/>
      <c r="K390" s="17"/>
      <c r="L390" s="17"/>
      <c r="M390" s="73"/>
      <c r="N390" s="73"/>
      <c r="O390" s="19"/>
      <c r="P390" s="15">
        <v>5</v>
      </c>
      <c r="Q390" s="16"/>
      <c r="R390" s="11" t="s">
        <v>418</v>
      </c>
      <c r="S390" s="16"/>
    </row>
    <row r="391" spans="1:19" x14ac:dyDescent="0.2">
      <c r="A391" s="20" t="s">
        <v>741</v>
      </c>
      <c r="B391" s="13">
        <v>30</v>
      </c>
      <c r="C391" s="85"/>
      <c r="D391" s="17"/>
      <c r="E391" s="17"/>
      <c r="F391" s="17"/>
      <c r="G391" s="17"/>
      <c r="H391" s="17"/>
      <c r="I391" s="17"/>
      <c r="J391" s="73"/>
      <c r="K391" s="17"/>
      <c r="L391" s="17"/>
      <c r="M391" s="73"/>
      <c r="N391" s="73"/>
      <c r="O391" s="19"/>
      <c r="P391" s="15">
        <v>4</v>
      </c>
      <c r="Q391" s="16"/>
      <c r="R391" s="11" t="s">
        <v>49</v>
      </c>
      <c r="S391" s="16"/>
    </row>
    <row r="392" spans="1:19" x14ac:dyDescent="0.2">
      <c r="A392" s="57" t="s">
        <v>742</v>
      </c>
      <c r="B392" s="51"/>
      <c r="C392" s="87"/>
      <c r="D392" s="53"/>
      <c r="E392" s="53"/>
      <c r="F392" s="53"/>
      <c r="G392" s="53"/>
      <c r="H392" s="53"/>
      <c r="I392" s="53"/>
      <c r="J392" s="82"/>
      <c r="K392" s="53"/>
      <c r="L392" s="53"/>
      <c r="M392" s="82"/>
      <c r="N392" s="82"/>
      <c r="O392" s="54">
        <v>10</v>
      </c>
      <c r="P392" s="30">
        <v>4</v>
      </c>
      <c r="Q392" s="55"/>
      <c r="R392" s="56" t="s">
        <v>49</v>
      </c>
      <c r="S392" s="55"/>
    </row>
    <row r="393" spans="1:19" x14ac:dyDescent="0.2">
      <c r="A393" s="20" t="s">
        <v>280</v>
      </c>
      <c r="B393" s="13"/>
      <c r="C393" s="85">
        <v>11.4</v>
      </c>
      <c r="D393" s="17"/>
      <c r="E393" s="17"/>
      <c r="F393" s="17"/>
      <c r="G393" s="17"/>
      <c r="H393" s="17"/>
      <c r="I393" s="17"/>
      <c r="J393" s="73"/>
      <c r="K393" s="17"/>
      <c r="L393" s="17"/>
      <c r="M393" s="73"/>
      <c r="N393" s="73"/>
      <c r="O393" s="19"/>
      <c r="P393" s="15"/>
      <c r="Q393" s="16"/>
      <c r="R393" s="11" t="s">
        <v>762</v>
      </c>
      <c r="S393" s="16"/>
    </row>
    <row r="394" spans="1:19" x14ac:dyDescent="0.2">
      <c r="A394" s="17" t="s">
        <v>254</v>
      </c>
      <c r="B394" s="11">
        <v>30</v>
      </c>
      <c r="C394" s="86">
        <v>7.7</v>
      </c>
      <c r="D394" s="17"/>
      <c r="E394" s="17"/>
      <c r="F394" s="17"/>
      <c r="G394" s="17"/>
      <c r="H394" s="17"/>
      <c r="I394" s="17"/>
      <c r="J394" s="73"/>
      <c r="K394" s="17"/>
      <c r="L394" s="17"/>
      <c r="M394" s="73"/>
      <c r="N394" s="73"/>
      <c r="O394" s="19">
        <v>50</v>
      </c>
      <c r="P394" s="15">
        <v>2</v>
      </c>
      <c r="Q394" s="16"/>
      <c r="R394" s="11" t="s">
        <v>418</v>
      </c>
      <c r="S394" s="16"/>
    </row>
    <row r="395" spans="1:19" x14ac:dyDescent="0.2">
      <c r="A395" s="20" t="s">
        <v>255</v>
      </c>
      <c r="B395" s="13">
        <v>30</v>
      </c>
      <c r="C395" s="85">
        <v>7.3</v>
      </c>
      <c r="D395" s="17"/>
      <c r="E395" s="17"/>
      <c r="F395" s="17"/>
      <c r="G395" s="17"/>
      <c r="H395" s="17"/>
      <c r="I395" s="17"/>
      <c r="J395" s="73"/>
      <c r="K395" s="17"/>
      <c r="L395" s="17"/>
      <c r="M395" s="73"/>
      <c r="N395" s="73"/>
      <c r="O395" s="19"/>
      <c r="P395" s="15">
        <v>10</v>
      </c>
      <c r="Q395" s="16"/>
      <c r="R395" s="11" t="s">
        <v>418</v>
      </c>
      <c r="S395" s="16"/>
    </row>
    <row r="396" spans="1:19" x14ac:dyDescent="0.2">
      <c r="A396" s="20" t="s">
        <v>256</v>
      </c>
      <c r="B396" s="13">
        <v>30</v>
      </c>
      <c r="C396" s="85">
        <v>68.5</v>
      </c>
      <c r="D396" s="17"/>
      <c r="E396" s="17"/>
      <c r="F396" s="17"/>
      <c r="G396" s="17"/>
      <c r="H396" s="17"/>
      <c r="I396" s="17"/>
      <c r="J396" s="73"/>
      <c r="K396" s="17"/>
      <c r="L396" s="17"/>
      <c r="M396" s="73"/>
      <c r="N396" s="73"/>
      <c r="O396" s="19"/>
      <c r="P396" s="15">
        <v>9</v>
      </c>
      <c r="Q396" s="16"/>
      <c r="R396" s="11" t="s">
        <v>442</v>
      </c>
      <c r="S396" s="16"/>
    </row>
    <row r="397" spans="1:19" x14ac:dyDescent="0.2">
      <c r="A397" s="17" t="s">
        <v>257</v>
      </c>
      <c r="B397" s="11">
        <v>30</v>
      </c>
      <c r="C397" s="86">
        <v>48.6</v>
      </c>
      <c r="D397" s="17"/>
      <c r="E397" s="17"/>
      <c r="F397" s="17"/>
      <c r="G397" s="17"/>
      <c r="H397" s="17"/>
      <c r="I397" s="17"/>
      <c r="J397" s="73"/>
      <c r="K397" s="17"/>
      <c r="L397" s="17"/>
      <c r="M397" s="73"/>
      <c r="N397" s="73"/>
      <c r="O397" s="19"/>
      <c r="P397" s="15">
        <v>9</v>
      </c>
      <c r="Q397" s="16"/>
      <c r="R397" s="11" t="s">
        <v>442</v>
      </c>
      <c r="S397" s="16"/>
    </row>
    <row r="398" spans="1:19" x14ac:dyDescent="0.2">
      <c r="A398" s="20" t="s">
        <v>258</v>
      </c>
      <c r="B398" s="13">
        <v>30</v>
      </c>
      <c r="C398" s="85">
        <v>54.1</v>
      </c>
      <c r="D398" s="17"/>
      <c r="E398" s="17"/>
      <c r="F398" s="17"/>
      <c r="G398" s="17"/>
      <c r="H398" s="17"/>
      <c r="I398" s="17"/>
      <c r="J398" s="73"/>
      <c r="K398" s="17"/>
      <c r="L398" s="17"/>
      <c r="M398" s="73"/>
      <c r="N398" s="73"/>
      <c r="O398" s="19"/>
      <c r="P398" s="15">
        <v>36</v>
      </c>
      <c r="Q398" s="16"/>
      <c r="R398" s="11" t="s">
        <v>441</v>
      </c>
      <c r="S398" s="16"/>
    </row>
    <row r="399" spans="1:19" x14ac:dyDescent="0.2">
      <c r="A399" s="17" t="s">
        <v>259</v>
      </c>
      <c r="B399" s="13">
        <v>30</v>
      </c>
      <c r="C399" s="86">
        <v>101.1</v>
      </c>
      <c r="D399" s="17">
        <v>894</v>
      </c>
      <c r="E399" s="17">
        <v>10</v>
      </c>
      <c r="F399" s="17">
        <v>894</v>
      </c>
      <c r="G399" s="17">
        <v>10</v>
      </c>
      <c r="H399" s="17"/>
      <c r="I399" s="17"/>
      <c r="J399" s="73"/>
      <c r="K399" s="17"/>
      <c r="L399" s="17"/>
      <c r="M399" s="73"/>
      <c r="N399" s="73"/>
      <c r="O399" s="19"/>
      <c r="P399" s="15">
        <v>9</v>
      </c>
      <c r="Q399" s="16"/>
      <c r="R399" s="11" t="s">
        <v>418</v>
      </c>
      <c r="S399" s="16"/>
    </row>
    <row r="400" spans="1:19" x14ac:dyDescent="0.2">
      <c r="A400" s="20" t="s">
        <v>260</v>
      </c>
      <c r="B400" s="13">
        <v>30</v>
      </c>
      <c r="C400" s="85">
        <v>99.1</v>
      </c>
      <c r="D400" s="17">
        <v>718</v>
      </c>
      <c r="E400" s="17">
        <v>100</v>
      </c>
      <c r="F400" s="17">
        <v>718</v>
      </c>
      <c r="G400" s="17">
        <v>100</v>
      </c>
      <c r="H400" s="17"/>
      <c r="I400" s="17"/>
      <c r="J400" s="73"/>
      <c r="K400" s="17"/>
      <c r="L400" s="17"/>
      <c r="M400" s="73"/>
      <c r="N400" s="73"/>
      <c r="O400" s="19"/>
      <c r="P400" s="15">
        <v>9</v>
      </c>
      <c r="Q400" s="16"/>
      <c r="R400" s="11" t="s">
        <v>418</v>
      </c>
      <c r="S400" s="16"/>
    </row>
    <row r="401" spans="1:19" x14ac:dyDescent="0.2">
      <c r="A401" s="17" t="s">
        <v>630</v>
      </c>
      <c r="B401" s="11">
        <v>30</v>
      </c>
      <c r="C401" s="86">
        <v>9.1999999999999993</v>
      </c>
      <c r="D401" s="17"/>
      <c r="E401" s="17"/>
      <c r="F401" s="17"/>
      <c r="G401" s="17"/>
      <c r="H401" s="17"/>
      <c r="I401" s="17"/>
      <c r="J401" s="73"/>
      <c r="K401" s="17"/>
      <c r="L401" s="17"/>
      <c r="M401" s="73"/>
      <c r="N401" s="73"/>
      <c r="O401" s="19">
        <v>50</v>
      </c>
      <c r="P401" s="15">
        <v>38</v>
      </c>
      <c r="Q401" s="16"/>
      <c r="R401" s="11" t="s">
        <v>418</v>
      </c>
      <c r="S401" s="16"/>
    </row>
    <row r="402" spans="1:19" x14ac:dyDescent="0.2">
      <c r="A402" s="17" t="s">
        <v>631</v>
      </c>
      <c r="B402" s="11">
        <v>30</v>
      </c>
      <c r="C402" s="86">
        <v>9.5</v>
      </c>
      <c r="D402" s="17">
        <v>1000</v>
      </c>
      <c r="E402" s="17">
        <v>100</v>
      </c>
      <c r="F402" s="17">
        <v>1000</v>
      </c>
      <c r="G402" s="17">
        <v>100</v>
      </c>
      <c r="H402" s="17"/>
      <c r="I402" s="17"/>
      <c r="J402" s="73"/>
      <c r="K402" s="17"/>
      <c r="L402" s="17"/>
      <c r="M402" s="73"/>
      <c r="N402" s="73"/>
      <c r="O402" s="19"/>
      <c r="P402" s="15">
        <v>10</v>
      </c>
      <c r="Q402" s="16"/>
      <c r="R402" s="11" t="s">
        <v>418</v>
      </c>
      <c r="S402" s="16"/>
    </row>
    <row r="403" spans="1:19" x14ac:dyDescent="0.2">
      <c r="A403" s="17" t="s">
        <v>261</v>
      </c>
      <c r="B403" s="11">
        <v>30</v>
      </c>
      <c r="C403" s="86">
        <v>24</v>
      </c>
      <c r="D403" s="17"/>
      <c r="E403" s="17"/>
      <c r="F403" s="17"/>
      <c r="G403" s="17"/>
      <c r="H403" s="17"/>
      <c r="I403" s="17"/>
      <c r="J403" s="73"/>
      <c r="K403" s="17"/>
      <c r="L403" s="17"/>
      <c r="M403" s="73"/>
      <c r="N403" s="73"/>
      <c r="O403" s="19"/>
      <c r="P403" s="15">
        <v>3</v>
      </c>
      <c r="Q403" s="16"/>
      <c r="R403" s="11" t="s">
        <v>418</v>
      </c>
      <c r="S403" s="16"/>
    </row>
    <row r="404" spans="1:19" x14ac:dyDescent="0.2">
      <c r="A404" s="17" t="s">
        <v>262</v>
      </c>
      <c r="B404" s="11">
        <v>30</v>
      </c>
      <c r="C404" s="86">
        <v>24</v>
      </c>
      <c r="D404" s="17"/>
      <c r="E404" s="17"/>
      <c r="F404" s="17"/>
      <c r="G404" s="17"/>
      <c r="H404" s="17"/>
      <c r="I404" s="17"/>
      <c r="J404" s="73"/>
      <c r="K404" s="17"/>
      <c r="L404" s="17"/>
      <c r="M404" s="73"/>
      <c r="N404" s="73"/>
      <c r="O404" s="19"/>
      <c r="P404" s="15">
        <v>39</v>
      </c>
      <c r="Q404" s="16"/>
      <c r="R404" s="11" t="s">
        <v>418</v>
      </c>
      <c r="S404" s="16"/>
    </row>
    <row r="405" spans="1:19" x14ac:dyDescent="0.2">
      <c r="A405" s="17" t="s">
        <v>263</v>
      </c>
      <c r="B405" s="13">
        <v>30</v>
      </c>
      <c r="C405" s="86">
        <v>15</v>
      </c>
      <c r="D405" s="17"/>
      <c r="E405" s="17"/>
      <c r="F405" s="17"/>
      <c r="G405" s="17"/>
      <c r="H405" s="17"/>
      <c r="I405" s="17"/>
      <c r="J405" s="73"/>
      <c r="K405" s="17"/>
      <c r="L405" s="17"/>
      <c r="M405" s="73"/>
      <c r="N405" s="73"/>
      <c r="O405" s="19"/>
      <c r="P405" s="15">
        <v>18</v>
      </c>
      <c r="Q405" s="16"/>
      <c r="R405" s="11" t="s">
        <v>418</v>
      </c>
      <c r="S405" s="16"/>
    </row>
    <row r="406" spans="1:19" x14ac:dyDescent="0.2">
      <c r="A406" s="17" t="s">
        <v>264</v>
      </c>
      <c r="B406" s="13">
        <v>30</v>
      </c>
      <c r="C406" s="86">
        <v>18.5</v>
      </c>
      <c r="D406" s="17"/>
      <c r="E406" s="17"/>
      <c r="F406" s="17"/>
      <c r="G406" s="17"/>
      <c r="H406" s="17"/>
      <c r="I406" s="17"/>
      <c r="J406" s="73"/>
      <c r="K406" s="17"/>
      <c r="L406" s="17"/>
      <c r="M406" s="73"/>
      <c r="N406" s="73"/>
      <c r="O406" s="19"/>
      <c r="P406" s="15">
        <v>8</v>
      </c>
      <c r="Q406" s="16"/>
      <c r="R406" s="11" t="s">
        <v>418</v>
      </c>
      <c r="S406" s="16"/>
    </row>
    <row r="407" spans="1:19" x14ac:dyDescent="0.2">
      <c r="A407" s="17" t="s">
        <v>265</v>
      </c>
      <c r="B407" s="13">
        <v>30</v>
      </c>
      <c r="C407" s="86">
        <v>20</v>
      </c>
      <c r="D407" s="17"/>
      <c r="E407" s="17"/>
      <c r="F407" s="17"/>
      <c r="G407" s="17"/>
      <c r="H407" s="17"/>
      <c r="I407" s="17"/>
      <c r="J407" s="73"/>
      <c r="K407" s="17"/>
      <c r="L407" s="17"/>
      <c r="M407" s="73"/>
      <c r="N407" s="73"/>
      <c r="O407" s="19"/>
      <c r="P407" s="15">
        <v>7</v>
      </c>
      <c r="Q407" s="16"/>
      <c r="R407" s="11" t="s">
        <v>418</v>
      </c>
      <c r="S407" s="16"/>
    </row>
    <row r="408" spans="1:19" x14ac:dyDescent="0.2">
      <c r="A408" s="20" t="s">
        <v>617</v>
      </c>
      <c r="B408" s="13">
        <v>30</v>
      </c>
      <c r="C408" s="85">
        <v>3.2</v>
      </c>
      <c r="D408" s="17"/>
      <c r="E408" s="17"/>
      <c r="F408" s="17"/>
      <c r="G408" s="17"/>
      <c r="H408" s="17"/>
      <c r="I408" s="17"/>
      <c r="J408" s="73"/>
      <c r="K408" s="17"/>
      <c r="L408" s="17"/>
      <c r="M408" s="73"/>
      <c r="N408" s="73"/>
      <c r="O408" s="19">
        <v>10</v>
      </c>
      <c r="P408" s="15">
        <v>13</v>
      </c>
      <c r="Q408" s="16"/>
      <c r="R408" s="11" t="s">
        <v>49</v>
      </c>
      <c r="S408" s="16"/>
    </row>
    <row r="409" spans="1:19" x14ac:dyDescent="0.2">
      <c r="A409" s="17" t="s">
        <v>266</v>
      </c>
      <c r="B409" s="13">
        <v>30</v>
      </c>
      <c r="C409" s="86">
        <v>17.2</v>
      </c>
      <c r="D409" s="17">
        <v>8777</v>
      </c>
      <c r="E409" s="17">
        <v>500</v>
      </c>
      <c r="F409" s="17">
        <v>8777</v>
      </c>
      <c r="G409" s="17">
        <v>500</v>
      </c>
      <c r="H409" s="17"/>
      <c r="I409" s="17"/>
      <c r="J409" s="73"/>
      <c r="K409" s="17"/>
      <c r="L409" s="17"/>
      <c r="M409" s="73"/>
      <c r="N409" s="73"/>
      <c r="O409" s="19"/>
      <c r="P409" s="15">
        <v>3</v>
      </c>
      <c r="Q409" s="16"/>
      <c r="R409" s="11" t="s">
        <v>418</v>
      </c>
      <c r="S409" s="16"/>
    </row>
    <row r="410" spans="1:19" x14ac:dyDescent="0.2">
      <c r="A410" s="17" t="s">
        <v>267</v>
      </c>
      <c r="B410" s="11">
        <v>30</v>
      </c>
      <c r="C410" s="86">
        <v>73.3</v>
      </c>
      <c r="D410" s="17">
        <v>168</v>
      </c>
      <c r="E410" s="17">
        <v>50</v>
      </c>
      <c r="F410" s="17">
        <v>168</v>
      </c>
      <c r="G410" s="17">
        <v>50</v>
      </c>
      <c r="H410" s="17"/>
      <c r="I410" s="17"/>
      <c r="J410" s="73"/>
      <c r="K410" s="17"/>
      <c r="L410" s="17"/>
      <c r="M410" s="73"/>
      <c r="N410" s="73"/>
      <c r="O410" s="19"/>
      <c r="P410" s="15">
        <v>14</v>
      </c>
      <c r="Q410" s="16"/>
      <c r="R410" s="11" t="s">
        <v>418</v>
      </c>
      <c r="S410" s="16"/>
    </row>
    <row r="411" spans="1:19" x14ac:dyDescent="0.2">
      <c r="A411" s="17" t="s">
        <v>268</v>
      </c>
      <c r="B411" s="13">
        <v>30</v>
      </c>
      <c r="C411" s="86">
        <v>17.100000000000001</v>
      </c>
      <c r="D411" s="17">
        <v>701</v>
      </c>
      <c r="E411" s="17">
        <v>100</v>
      </c>
      <c r="F411" s="17">
        <v>701</v>
      </c>
      <c r="G411" s="17">
        <v>100</v>
      </c>
      <c r="H411" s="17"/>
      <c r="I411" s="17"/>
      <c r="J411" s="73"/>
      <c r="K411" s="17"/>
      <c r="L411" s="17"/>
      <c r="M411" s="73"/>
      <c r="N411" s="73"/>
      <c r="O411" s="19"/>
      <c r="P411" s="15">
        <v>26</v>
      </c>
      <c r="Q411" s="16"/>
      <c r="R411" s="11" t="s">
        <v>418</v>
      </c>
      <c r="S411" s="16"/>
    </row>
    <row r="412" spans="1:19" x14ac:dyDescent="0.2">
      <c r="A412" s="17" t="s">
        <v>269</v>
      </c>
      <c r="B412" s="11">
        <v>30</v>
      </c>
      <c r="C412" s="86">
        <v>35.799999999999997</v>
      </c>
      <c r="D412" s="17">
        <v>1998</v>
      </c>
      <c r="E412" s="17">
        <v>250</v>
      </c>
      <c r="F412" s="17">
        <v>1998</v>
      </c>
      <c r="G412" s="17">
        <v>250</v>
      </c>
      <c r="H412" s="17"/>
      <c r="I412" s="17"/>
      <c r="J412" s="73"/>
      <c r="K412" s="17"/>
      <c r="L412" s="17"/>
      <c r="M412" s="73"/>
      <c r="N412" s="73"/>
      <c r="O412" s="19"/>
      <c r="P412" s="15">
        <v>1</v>
      </c>
      <c r="Q412" s="16"/>
      <c r="R412" s="11" t="s">
        <v>49</v>
      </c>
      <c r="S412" s="16"/>
    </row>
    <row r="413" spans="1:19" x14ac:dyDescent="0.2">
      <c r="A413" s="57" t="s">
        <v>270</v>
      </c>
      <c r="B413" s="51">
        <v>30</v>
      </c>
      <c r="C413" s="87"/>
      <c r="D413" s="53"/>
      <c r="E413" s="53"/>
      <c r="F413" s="53"/>
      <c r="G413" s="53"/>
      <c r="H413" s="53"/>
      <c r="I413" s="53"/>
      <c r="J413" s="82"/>
      <c r="K413" s="53"/>
      <c r="L413" s="53"/>
      <c r="M413" s="82"/>
      <c r="N413" s="82"/>
      <c r="O413" s="54"/>
      <c r="P413" s="30"/>
      <c r="Q413" s="55"/>
      <c r="R413" s="56" t="s">
        <v>49</v>
      </c>
      <c r="S413" s="55"/>
    </row>
    <row r="414" spans="1:19" x14ac:dyDescent="0.2">
      <c r="A414" s="20" t="s">
        <v>639</v>
      </c>
      <c r="B414" s="13">
        <v>30</v>
      </c>
      <c r="C414" s="85">
        <v>7.7</v>
      </c>
      <c r="D414" s="17"/>
      <c r="E414" s="17"/>
      <c r="F414" s="17"/>
      <c r="G414" s="17"/>
      <c r="H414" s="17"/>
      <c r="I414" s="17"/>
      <c r="J414" s="73"/>
      <c r="K414" s="17"/>
      <c r="L414" s="17"/>
      <c r="M414" s="73"/>
      <c r="N414" s="73"/>
      <c r="O414" s="19"/>
      <c r="P414" s="15">
        <v>10</v>
      </c>
      <c r="Q414" s="16"/>
      <c r="R414" s="11" t="s">
        <v>764</v>
      </c>
      <c r="S414" s="16"/>
    </row>
    <row r="415" spans="1:19" x14ac:dyDescent="0.2">
      <c r="A415" s="17" t="s">
        <v>271</v>
      </c>
      <c r="B415" s="13">
        <v>30</v>
      </c>
      <c r="C415" s="86">
        <v>16.2</v>
      </c>
      <c r="D415" s="17"/>
      <c r="E415" s="17"/>
      <c r="F415" s="17"/>
      <c r="G415" s="17"/>
      <c r="H415" s="17"/>
      <c r="I415" s="17"/>
      <c r="J415" s="73"/>
      <c r="K415" s="17"/>
      <c r="L415" s="17"/>
      <c r="M415" s="73"/>
      <c r="N415" s="73"/>
      <c r="O415" s="19"/>
      <c r="P415" s="15">
        <v>62</v>
      </c>
      <c r="Q415" s="16"/>
      <c r="R415" s="11" t="s">
        <v>49</v>
      </c>
      <c r="S415" s="16"/>
    </row>
    <row r="416" spans="1:19" x14ac:dyDescent="0.2">
      <c r="A416" s="17" t="s">
        <v>763</v>
      </c>
      <c r="B416" s="13">
        <v>30</v>
      </c>
      <c r="C416" s="86"/>
      <c r="D416" s="17"/>
      <c r="E416" s="17"/>
      <c r="F416" s="17"/>
      <c r="G416" s="17"/>
      <c r="H416" s="17"/>
      <c r="I416" s="17"/>
      <c r="J416" s="73"/>
      <c r="K416" s="17"/>
      <c r="L416" s="17"/>
      <c r="M416" s="73"/>
      <c r="N416" s="73"/>
      <c r="O416" s="19"/>
      <c r="P416" s="15">
        <v>4</v>
      </c>
      <c r="Q416" s="16"/>
      <c r="R416" s="11" t="s">
        <v>764</v>
      </c>
      <c r="S416" s="16"/>
    </row>
    <row r="417" spans="1:19" x14ac:dyDescent="0.2">
      <c r="A417" s="17" t="s">
        <v>272</v>
      </c>
      <c r="B417" s="11">
        <v>30</v>
      </c>
      <c r="C417" s="86">
        <v>17.8</v>
      </c>
      <c r="D417" s="17"/>
      <c r="E417" s="17"/>
      <c r="F417" s="17"/>
      <c r="G417" s="17"/>
      <c r="H417" s="17"/>
      <c r="I417" s="17"/>
      <c r="J417" s="73"/>
      <c r="K417" s="17"/>
      <c r="L417" s="17"/>
      <c r="M417" s="73"/>
      <c r="N417" s="73"/>
      <c r="O417" s="19"/>
      <c r="P417" s="15">
        <v>21</v>
      </c>
      <c r="Q417" s="16"/>
      <c r="R417" s="11" t="s">
        <v>49</v>
      </c>
      <c r="S417" s="16"/>
    </row>
    <row r="418" spans="1:19" x14ac:dyDescent="0.2">
      <c r="A418" s="17" t="s">
        <v>273</v>
      </c>
      <c r="B418" s="11">
        <v>30</v>
      </c>
      <c r="C418" s="86"/>
      <c r="D418" s="17"/>
      <c r="E418" s="17"/>
      <c r="F418" s="17"/>
      <c r="G418" s="17"/>
      <c r="H418" s="17"/>
      <c r="I418" s="17"/>
      <c r="J418" s="73"/>
      <c r="K418" s="17"/>
      <c r="L418" s="17"/>
      <c r="M418" s="73"/>
      <c r="N418" s="73"/>
      <c r="O418" s="19"/>
      <c r="P418" s="15">
        <v>10</v>
      </c>
      <c r="Q418" s="16"/>
      <c r="R418" s="11" t="s">
        <v>49</v>
      </c>
      <c r="S418" s="16"/>
    </row>
    <row r="419" spans="1:19" x14ac:dyDescent="0.2">
      <c r="A419" s="17" t="s">
        <v>274</v>
      </c>
      <c r="B419" s="11">
        <v>30</v>
      </c>
      <c r="C419" s="86">
        <v>119.2</v>
      </c>
      <c r="D419" s="17"/>
      <c r="E419" s="17"/>
      <c r="F419" s="17"/>
      <c r="G419" s="17"/>
      <c r="H419" s="17"/>
      <c r="I419" s="17"/>
      <c r="J419" s="73"/>
      <c r="K419" s="17"/>
      <c r="L419" s="17"/>
      <c r="M419" s="73"/>
      <c r="N419" s="73"/>
      <c r="O419" s="19"/>
      <c r="P419" s="15">
        <v>41</v>
      </c>
      <c r="Q419" s="16"/>
      <c r="R419" s="11" t="s">
        <v>441</v>
      </c>
      <c r="S419" s="16"/>
    </row>
    <row r="420" spans="1:19" x14ac:dyDescent="0.2">
      <c r="A420" s="17" t="s">
        <v>290</v>
      </c>
      <c r="B420" s="11">
        <v>30</v>
      </c>
      <c r="C420" s="86">
        <v>23.8</v>
      </c>
      <c r="D420" s="17"/>
      <c r="E420" s="17"/>
      <c r="F420" s="17"/>
      <c r="G420" s="17"/>
      <c r="H420" s="17"/>
      <c r="I420" s="17"/>
      <c r="J420" s="73"/>
      <c r="K420" s="17"/>
      <c r="L420" s="17"/>
      <c r="M420" s="73"/>
      <c r="N420" s="73"/>
      <c r="O420" s="19"/>
      <c r="P420" s="15">
        <v>590</v>
      </c>
      <c r="Q420" s="16"/>
      <c r="R420" s="11" t="s">
        <v>416</v>
      </c>
      <c r="S420" s="16"/>
    </row>
    <row r="421" spans="1:19" x14ac:dyDescent="0.2">
      <c r="A421" s="20" t="s">
        <v>275</v>
      </c>
      <c r="B421" s="11">
        <v>31</v>
      </c>
      <c r="C421" s="85">
        <v>6838</v>
      </c>
      <c r="D421" s="17">
        <v>10857</v>
      </c>
      <c r="E421" s="17">
        <v>500</v>
      </c>
      <c r="F421" s="17">
        <v>10857</v>
      </c>
      <c r="G421" s="17">
        <v>500</v>
      </c>
      <c r="H421" s="17"/>
      <c r="I421" s="17"/>
      <c r="J421" s="73"/>
      <c r="K421" s="17"/>
      <c r="L421" s="17"/>
      <c r="M421" s="73"/>
      <c r="N421" s="73"/>
      <c r="O421" s="19"/>
      <c r="P421" s="15">
        <v>1</v>
      </c>
      <c r="Q421" s="16"/>
      <c r="R421" s="11" t="s">
        <v>441</v>
      </c>
      <c r="S421" s="16"/>
    </row>
    <row r="422" spans="1:19" x14ac:dyDescent="0.2">
      <c r="A422" s="17" t="s">
        <v>276</v>
      </c>
      <c r="B422" s="13">
        <v>31</v>
      </c>
      <c r="C422" s="86">
        <v>3.7</v>
      </c>
      <c r="D422" s="17"/>
      <c r="E422" s="17"/>
      <c r="F422" s="17"/>
      <c r="G422" s="17"/>
      <c r="H422" s="17"/>
      <c r="I422" s="17"/>
      <c r="J422" s="73"/>
      <c r="K422" s="17"/>
      <c r="L422" s="17"/>
      <c r="M422" s="73"/>
      <c r="N422" s="73"/>
      <c r="O422" s="19">
        <v>10</v>
      </c>
      <c r="P422" s="15">
        <v>16</v>
      </c>
      <c r="Q422" s="16"/>
      <c r="R422" s="11" t="s">
        <v>49</v>
      </c>
      <c r="S422" s="16"/>
    </row>
    <row r="423" spans="1:19" x14ac:dyDescent="0.2">
      <c r="A423" s="17" t="s">
        <v>277</v>
      </c>
      <c r="B423" s="13">
        <v>31</v>
      </c>
      <c r="C423" s="86">
        <v>3.7</v>
      </c>
      <c r="D423" s="17"/>
      <c r="E423" s="17"/>
      <c r="F423" s="17"/>
      <c r="G423" s="17"/>
      <c r="H423" s="17"/>
      <c r="I423" s="17"/>
      <c r="J423" s="73"/>
      <c r="K423" s="17"/>
      <c r="L423" s="17"/>
      <c r="M423" s="73"/>
      <c r="N423" s="73"/>
      <c r="O423" s="19"/>
      <c r="P423" s="15">
        <v>10</v>
      </c>
      <c r="Q423" s="16"/>
      <c r="R423" s="11" t="s">
        <v>49</v>
      </c>
      <c r="S423" s="16"/>
    </row>
    <row r="424" spans="1:19" x14ac:dyDescent="0.2">
      <c r="A424" s="20" t="s">
        <v>278</v>
      </c>
      <c r="B424" s="11">
        <v>31</v>
      </c>
      <c r="C424" s="85">
        <v>1874</v>
      </c>
      <c r="D424" s="17"/>
      <c r="E424" s="17"/>
      <c r="F424" s="17"/>
      <c r="G424" s="17"/>
      <c r="H424" s="17"/>
      <c r="I424" s="17"/>
      <c r="J424" s="73"/>
      <c r="K424" s="17"/>
      <c r="L424" s="17"/>
      <c r="M424" s="73"/>
      <c r="N424" s="73"/>
      <c r="O424" s="19"/>
      <c r="P424" s="15">
        <v>1</v>
      </c>
      <c r="Q424" s="16"/>
      <c r="R424" s="11" t="s">
        <v>441</v>
      </c>
      <c r="S424" s="16"/>
    </row>
    <row r="425" spans="1:19" x14ac:dyDescent="0.2">
      <c r="A425" s="20" t="s">
        <v>279</v>
      </c>
      <c r="B425" s="11">
        <v>31</v>
      </c>
      <c r="C425" s="85">
        <v>63.9</v>
      </c>
      <c r="D425" s="17"/>
      <c r="E425" s="17"/>
      <c r="F425" s="17"/>
      <c r="G425" s="17"/>
      <c r="H425" s="17"/>
      <c r="I425" s="17"/>
      <c r="J425" s="73"/>
      <c r="K425" s="17"/>
      <c r="L425" s="17"/>
      <c r="M425" s="73"/>
      <c r="N425" s="73"/>
      <c r="O425" s="19"/>
      <c r="P425" s="15">
        <v>77</v>
      </c>
      <c r="Q425" s="16"/>
      <c r="R425" s="11" t="s">
        <v>440</v>
      </c>
      <c r="S425" s="16"/>
    </row>
    <row r="426" spans="1:19" x14ac:dyDescent="0.2">
      <c r="A426" s="53" t="s">
        <v>280</v>
      </c>
      <c r="B426" s="56">
        <v>31</v>
      </c>
      <c r="C426" s="193">
        <v>11.4</v>
      </c>
      <c r="D426" s="53"/>
      <c r="E426" s="53"/>
      <c r="F426" s="53"/>
      <c r="G426" s="53"/>
      <c r="H426" s="53"/>
      <c r="I426" s="53"/>
      <c r="J426" s="82"/>
      <c r="K426" s="53"/>
      <c r="L426" s="53"/>
      <c r="M426" s="82"/>
      <c r="N426" s="82"/>
      <c r="O426" s="54"/>
      <c r="P426" s="30">
        <v>5</v>
      </c>
      <c r="Q426" s="55"/>
      <c r="R426" s="56" t="s">
        <v>441</v>
      </c>
      <c r="S426" s="55"/>
    </row>
    <row r="427" spans="1:19" x14ac:dyDescent="0.2">
      <c r="A427" s="17" t="s">
        <v>714</v>
      </c>
      <c r="B427" s="11">
        <v>31</v>
      </c>
      <c r="C427" s="86">
        <v>94.9</v>
      </c>
      <c r="D427" s="17"/>
      <c r="E427" s="17"/>
      <c r="F427" s="17"/>
      <c r="G427" s="17"/>
      <c r="H427" s="17"/>
      <c r="I427" s="17"/>
      <c r="J427" s="73"/>
      <c r="K427" s="17"/>
      <c r="L427" s="17"/>
      <c r="M427" s="73"/>
      <c r="N427" s="73"/>
      <c r="O427" s="19"/>
      <c r="P427" s="15">
        <v>19</v>
      </c>
      <c r="Q427" s="16"/>
      <c r="R427" s="11" t="s">
        <v>49</v>
      </c>
      <c r="S427" s="16"/>
    </row>
    <row r="428" spans="1:19" x14ac:dyDescent="0.2">
      <c r="A428" s="20" t="s">
        <v>281</v>
      </c>
      <c r="B428" s="11">
        <v>31</v>
      </c>
      <c r="C428" s="85"/>
      <c r="D428" s="17"/>
      <c r="E428" s="17"/>
      <c r="F428" s="17"/>
      <c r="G428" s="17"/>
      <c r="H428" s="17"/>
      <c r="I428" s="17"/>
      <c r="J428" s="73"/>
      <c r="K428" s="17"/>
      <c r="L428" s="17"/>
      <c r="M428" s="73"/>
      <c r="N428" s="73"/>
      <c r="O428" s="19"/>
      <c r="P428" s="15">
        <v>500</v>
      </c>
      <c r="Q428" s="16"/>
      <c r="R428" s="11" t="s">
        <v>443</v>
      </c>
      <c r="S428" s="16"/>
    </row>
    <row r="429" spans="1:19" x14ac:dyDescent="0.2">
      <c r="A429" s="17" t="s">
        <v>282</v>
      </c>
      <c r="B429" s="11">
        <v>31</v>
      </c>
      <c r="C429" s="86">
        <v>7.6</v>
      </c>
      <c r="D429" s="17"/>
      <c r="E429" s="17"/>
      <c r="F429" s="17"/>
      <c r="G429" s="17"/>
      <c r="H429" s="17"/>
      <c r="I429" s="17"/>
      <c r="J429" s="73"/>
      <c r="K429" s="17"/>
      <c r="L429" s="17"/>
      <c r="M429" s="73"/>
      <c r="N429" s="73"/>
      <c r="O429" s="19"/>
      <c r="P429" s="15">
        <v>770</v>
      </c>
      <c r="Q429" s="16"/>
      <c r="R429" s="11" t="s">
        <v>443</v>
      </c>
      <c r="S429" s="16"/>
    </row>
    <row r="430" spans="1:19" x14ac:dyDescent="0.2">
      <c r="A430" s="17" t="s">
        <v>283</v>
      </c>
      <c r="B430" s="11">
        <v>31</v>
      </c>
      <c r="C430" s="86">
        <v>3024</v>
      </c>
      <c r="D430" s="17"/>
      <c r="E430" s="17"/>
      <c r="F430" s="17"/>
      <c r="G430" s="17"/>
      <c r="H430" s="17"/>
      <c r="I430" s="17"/>
      <c r="J430" s="73"/>
      <c r="K430" s="17"/>
      <c r="L430" s="17"/>
      <c r="M430" s="73"/>
      <c r="N430" s="73"/>
      <c r="O430" s="19"/>
      <c r="P430" s="15"/>
      <c r="Q430" s="16"/>
      <c r="R430" s="11" t="s">
        <v>441</v>
      </c>
      <c r="S430" s="16"/>
    </row>
    <row r="431" spans="1:19" x14ac:dyDescent="0.2">
      <c r="A431" s="20" t="s">
        <v>284</v>
      </c>
      <c r="B431" s="13">
        <v>31</v>
      </c>
      <c r="C431" s="85">
        <v>14.7</v>
      </c>
      <c r="D431" s="17"/>
      <c r="E431" s="17"/>
      <c r="F431" s="17"/>
      <c r="G431" s="17"/>
      <c r="H431" s="17"/>
      <c r="I431" s="17"/>
      <c r="J431" s="73"/>
      <c r="K431" s="17"/>
      <c r="L431" s="17"/>
      <c r="M431" s="73"/>
      <c r="N431" s="73"/>
      <c r="O431" s="19">
        <v>420</v>
      </c>
      <c r="P431" s="15">
        <v>261</v>
      </c>
      <c r="Q431" s="16"/>
      <c r="R431" s="11" t="s">
        <v>442</v>
      </c>
      <c r="S431" s="16"/>
    </row>
    <row r="432" spans="1:19" x14ac:dyDescent="0.2">
      <c r="A432" s="20" t="s">
        <v>638</v>
      </c>
      <c r="B432" s="13">
        <v>31</v>
      </c>
      <c r="C432" s="85">
        <v>37.6</v>
      </c>
      <c r="D432" s="17"/>
      <c r="E432" s="17"/>
      <c r="F432" s="17"/>
      <c r="G432" s="17"/>
      <c r="H432" s="17"/>
      <c r="I432" s="17"/>
      <c r="J432" s="73"/>
      <c r="K432" s="17"/>
      <c r="L432" s="17"/>
      <c r="M432" s="73"/>
      <c r="N432" s="73"/>
      <c r="O432" s="19"/>
      <c r="P432" s="15">
        <v>16</v>
      </c>
      <c r="Q432" s="16"/>
      <c r="R432" s="11" t="s">
        <v>49</v>
      </c>
      <c r="S432" s="16"/>
    </row>
    <row r="433" spans="1:19" x14ac:dyDescent="0.2">
      <c r="A433" s="20" t="s">
        <v>636</v>
      </c>
      <c r="B433" s="13">
        <v>31</v>
      </c>
      <c r="C433" s="85">
        <v>21.4</v>
      </c>
      <c r="D433" s="17"/>
      <c r="E433" s="17"/>
      <c r="F433" s="17"/>
      <c r="G433" s="17"/>
      <c r="H433" s="17"/>
      <c r="I433" s="17"/>
      <c r="J433" s="73"/>
      <c r="K433" s="17"/>
      <c r="L433" s="17"/>
      <c r="M433" s="73"/>
      <c r="N433" s="73"/>
      <c r="O433" s="19"/>
      <c r="P433" s="15">
        <v>1000</v>
      </c>
      <c r="Q433" s="16"/>
      <c r="R433" s="11" t="s">
        <v>416</v>
      </c>
      <c r="S433" s="16"/>
    </row>
    <row r="434" spans="1:19" x14ac:dyDescent="0.2">
      <c r="A434" s="17" t="s">
        <v>285</v>
      </c>
      <c r="B434" s="11">
        <v>31</v>
      </c>
      <c r="C434" s="86">
        <v>42.3</v>
      </c>
      <c r="D434" s="17">
        <v>8685</v>
      </c>
      <c r="E434" s="17">
        <v>10</v>
      </c>
      <c r="F434" s="17">
        <v>8685</v>
      </c>
      <c r="G434" s="17">
        <v>10</v>
      </c>
      <c r="H434" s="17"/>
      <c r="I434" s="17"/>
      <c r="J434" s="73"/>
      <c r="K434" s="17"/>
      <c r="L434" s="17"/>
      <c r="M434" s="73"/>
      <c r="N434" s="73"/>
      <c r="O434" s="19"/>
      <c r="P434" s="15">
        <v>307</v>
      </c>
      <c r="Q434" s="16"/>
      <c r="R434" s="11" t="s">
        <v>442</v>
      </c>
      <c r="S434" s="16"/>
    </row>
    <row r="435" spans="1:19" x14ac:dyDescent="0.2">
      <c r="A435" s="20" t="s">
        <v>643</v>
      </c>
      <c r="B435" s="11">
        <v>31</v>
      </c>
      <c r="C435" s="86">
        <v>5.5</v>
      </c>
      <c r="D435" s="17"/>
      <c r="E435" s="17"/>
      <c r="F435" s="17"/>
      <c r="G435" s="17"/>
      <c r="H435" s="17"/>
      <c r="I435" s="17"/>
      <c r="J435" s="73"/>
      <c r="K435" s="17"/>
      <c r="L435" s="17"/>
      <c r="M435" s="73"/>
      <c r="N435" s="73"/>
      <c r="O435" s="19"/>
      <c r="P435" s="15">
        <v>1</v>
      </c>
      <c r="Q435" s="16"/>
      <c r="R435" s="11" t="s">
        <v>49</v>
      </c>
      <c r="S435" s="16"/>
    </row>
    <row r="436" spans="1:19" x14ac:dyDescent="0.2">
      <c r="A436" s="17" t="s">
        <v>286</v>
      </c>
      <c r="B436" s="11">
        <v>31</v>
      </c>
      <c r="C436" s="86">
        <v>21.9</v>
      </c>
      <c r="D436" s="17"/>
      <c r="E436" s="17"/>
      <c r="F436" s="17"/>
      <c r="G436" s="17"/>
      <c r="H436" s="17"/>
      <c r="I436" s="17"/>
      <c r="J436" s="73"/>
      <c r="K436" s="17"/>
      <c r="L436" s="17"/>
      <c r="M436" s="73"/>
      <c r="N436" s="73"/>
      <c r="O436" s="19"/>
      <c r="P436" s="15">
        <v>250</v>
      </c>
      <c r="Q436" s="16"/>
      <c r="R436" s="11" t="s">
        <v>443</v>
      </c>
      <c r="S436" s="16"/>
    </row>
    <row r="437" spans="1:19" x14ac:dyDescent="0.2">
      <c r="A437" s="17" t="s">
        <v>632</v>
      </c>
      <c r="B437" s="11">
        <v>31</v>
      </c>
      <c r="C437" s="86">
        <v>8.6</v>
      </c>
      <c r="D437" s="17"/>
      <c r="E437" s="17"/>
      <c r="F437" s="17"/>
      <c r="G437" s="17"/>
      <c r="H437" s="17"/>
      <c r="I437" s="17"/>
      <c r="J437" s="73"/>
      <c r="K437" s="17"/>
      <c r="L437" s="17"/>
      <c r="M437" s="73"/>
      <c r="N437" s="73"/>
      <c r="O437" s="19">
        <v>50</v>
      </c>
      <c r="P437" s="15">
        <v>17</v>
      </c>
      <c r="Q437" s="16"/>
      <c r="R437" s="11" t="s">
        <v>743</v>
      </c>
      <c r="S437" s="16"/>
    </row>
    <row r="438" spans="1:19" x14ac:dyDescent="0.2">
      <c r="A438" s="17" t="s">
        <v>633</v>
      </c>
      <c r="B438" s="11">
        <v>31</v>
      </c>
      <c r="C438" s="86">
        <v>7.7</v>
      </c>
      <c r="D438" s="17"/>
      <c r="E438" s="17"/>
      <c r="F438" s="17"/>
      <c r="G438" s="17"/>
      <c r="H438" s="17"/>
      <c r="I438" s="17"/>
      <c r="J438" s="73"/>
      <c r="K438" s="17"/>
      <c r="L438" s="17"/>
      <c r="M438" s="73"/>
      <c r="N438" s="73"/>
      <c r="O438" s="19">
        <v>50</v>
      </c>
      <c r="P438" s="15">
        <v>11</v>
      </c>
      <c r="Q438" s="16"/>
      <c r="R438" s="11" t="s">
        <v>743</v>
      </c>
      <c r="S438" s="16"/>
    </row>
    <row r="439" spans="1:19" x14ac:dyDescent="0.2">
      <c r="A439" s="17" t="s">
        <v>634</v>
      </c>
      <c r="B439" s="11">
        <v>31</v>
      </c>
      <c r="C439" s="86">
        <v>4</v>
      </c>
      <c r="D439" s="17"/>
      <c r="E439" s="17"/>
      <c r="F439" s="17"/>
      <c r="G439" s="17"/>
      <c r="H439" s="17"/>
      <c r="I439" s="17"/>
      <c r="J439" s="73"/>
      <c r="K439" s="17"/>
      <c r="L439" s="17"/>
      <c r="M439" s="73"/>
      <c r="N439" s="73"/>
      <c r="O439" s="19"/>
      <c r="P439" s="15">
        <v>3</v>
      </c>
      <c r="Q439" s="16"/>
      <c r="R439" s="11" t="s">
        <v>45</v>
      </c>
      <c r="S439" s="16"/>
    </row>
    <row r="440" spans="1:19" x14ac:dyDescent="0.2">
      <c r="A440" s="17" t="s">
        <v>641</v>
      </c>
      <c r="B440" s="11">
        <v>31</v>
      </c>
      <c r="C440" s="86">
        <v>12.8</v>
      </c>
      <c r="D440" s="17"/>
      <c r="E440" s="17"/>
      <c r="F440" s="17"/>
      <c r="G440" s="17"/>
      <c r="H440" s="17"/>
      <c r="I440" s="17"/>
      <c r="J440" s="73"/>
      <c r="K440" s="17"/>
      <c r="L440" s="17"/>
      <c r="M440" s="73"/>
      <c r="N440" s="73"/>
      <c r="O440" s="19"/>
      <c r="P440" s="15">
        <v>3</v>
      </c>
      <c r="Q440" s="16"/>
      <c r="R440" s="11" t="s">
        <v>744</v>
      </c>
      <c r="S440" s="16"/>
    </row>
    <row r="441" spans="1:19" x14ac:dyDescent="0.2">
      <c r="A441" s="17" t="s">
        <v>287</v>
      </c>
      <c r="B441" s="13">
        <v>31</v>
      </c>
      <c r="C441" s="86">
        <v>2.8</v>
      </c>
      <c r="D441" s="17"/>
      <c r="E441" s="17"/>
      <c r="F441" s="17"/>
      <c r="G441" s="17"/>
      <c r="H441" s="17"/>
      <c r="I441" s="17"/>
      <c r="J441" s="73"/>
      <c r="K441" s="17"/>
      <c r="L441" s="17"/>
      <c r="M441" s="73"/>
      <c r="N441" s="73"/>
      <c r="O441" s="19"/>
      <c r="P441" s="15">
        <v>27</v>
      </c>
      <c r="Q441" s="16"/>
      <c r="R441" s="11" t="s">
        <v>444</v>
      </c>
      <c r="S441" s="16"/>
    </row>
    <row r="442" spans="1:19" x14ac:dyDescent="0.2">
      <c r="A442" s="17" t="s">
        <v>288</v>
      </c>
      <c r="B442" s="11">
        <v>31</v>
      </c>
      <c r="C442" s="86">
        <v>797</v>
      </c>
      <c r="D442" s="17"/>
      <c r="E442" s="17"/>
      <c r="F442" s="17"/>
      <c r="G442" s="17"/>
      <c r="H442" s="17"/>
      <c r="I442" s="17"/>
      <c r="J442" s="73"/>
      <c r="K442" s="17"/>
      <c r="L442" s="17"/>
      <c r="M442" s="73"/>
      <c r="N442" s="73"/>
      <c r="O442" s="19"/>
      <c r="P442" s="15">
        <v>1</v>
      </c>
      <c r="Q442" s="16"/>
      <c r="R442" s="11" t="s">
        <v>441</v>
      </c>
      <c r="S442" s="16"/>
    </row>
    <row r="443" spans="1:19" x14ac:dyDescent="0.2">
      <c r="A443" s="20" t="s">
        <v>537</v>
      </c>
      <c r="B443" s="11">
        <v>31</v>
      </c>
      <c r="C443" s="85">
        <v>82.6</v>
      </c>
      <c r="D443" s="17"/>
      <c r="E443" s="17"/>
      <c r="F443" s="17"/>
      <c r="G443" s="17"/>
      <c r="H443" s="17"/>
      <c r="I443" s="17"/>
      <c r="J443" s="73"/>
      <c r="K443" s="17"/>
      <c r="L443" s="17"/>
      <c r="M443" s="73"/>
      <c r="N443" s="73"/>
      <c r="O443" s="19">
        <v>56</v>
      </c>
      <c r="P443" s="15">
        <v>42</v>
      </c>
      <c r="Q443" s="16"/>
      <c r="R443" s="11" t="s">
        <v>442</v>
      </c>
      <c r="S443" s="16"/>
    </row>
    <row r="444" spans="1:19" x14ac:dyDescent="0.2">
      <c r="A444" s="20" t="s">
        <v>538</v>
      </c>
      <c r="B444" s="11">
        <v>31</v>
      </c>
      <c r="C444" s="85">
        <v>86.7</v>
      </c>
      <c r="D444" s="17">
        <v>1362</v>
      </c>
      <c r="E444" s="17">
        <v>50</v>
      </c>
      <c r="F444" s="17">
        <v>1362</v>
      </c>
      <c r="G444" s="17">
        <v>50</v>
      </c>
      <c r="H444" s="17"/>
      <c r="I444" s="17"/>
      <c r="J444" s="73"/>
      <c r="K444" s="17"/>
      <c r="L444" s="17"/>
      <c r="M444" s="73"/>
      <c r="N444" s="73"/>
      <c r="O444" s="19">
        <v>84</v>
      </c>
      <c r="P444" s="15">
        <v>144</v>
      </c>
      <c r="Q444" s="16"/>
      <c r="R444" s="11" t="s">
        <v>442</v>
      </c>
      <c r="S444" s="16"/>
    </row>
    <row r="445" spans="1:19" x14ac:dyDescent="0.2">
      <c r="A445" s="20" t="s">
        <v>539</v>
      </c>
      <c r="B445" s="11">
        <v>31</v>
      </c>
      <c r="C445" s="85">
        <v>68.5</v>
      </c>
      <c r="D445" s="17"/>
      <c r="E445" s="17"/>
      <c r="F445" s="17"/>
      <c r="G445" s="17"/>
      <c r="H445" s="17"/>
      <c r="I445" s="17"/>
      <c r="J445" s="73"/>
      <c r="K445" s="17"/>
      <c r="L445" s="17"/>
      <c r="M445" s="73"/>
      <c r="N445" s="73"/>
      <c r="O445" s="19">
        <v>168</v>
      </c>
      <c r="P445" s="15">
        <v>164</v>
      </c>
      <c r="Q445" s="16"/>
      <c r="R445" s="11" t="s">
        <v>442</v>
      </c>
      <c r="S445" s="16"/>
    </row>
    <row r="446" spans="1:19" x14ac:dyDescent="0.2">
      <c r="A446" s="20" t="s">
        <v>540</v>
      </c>
      <c r="B446" s="11">
        <v>31</v>
      </c>
      <c r="C446" s="85">
        <v>77.099999999999994</v>
      </c>
      <c r="D446" s="17"/>
      <c r="E446" s="17"/>
      <c r="F446" s="17"/>
      <c r="G446" s="17"/>
      <c r="H446" s="17"/>
      <c r="I446" s="17"/>
      <c r="J446" s="73"/>
      <c r="K446" s="17"/>
      <c r="L446" s="17"/>
      <c r="M446" s="73"/>
      <c r="N446" s="73"/>
      <c r="O446" s="19">
        <v>140</v>
      </c>
      <c r="P446" s="15">
        <v>139</v>
      </c>
      <c r="Q446" s="16"/>
      <c r="R446" s="11" t="s">
        <v>442</v>
      </c>
      <c r="S446" s="16"/>
    </row>
    <row r="447" spans="1:19" x14ac:dyDescent="0.2">
      <c r="A447" s="20" t="s">
        <v>745</v>
      </c>
      <c r="B447" s="11">
        <v>31</v>
      </c>
      <c r="C447" s="85"/>
      <c r="D447" s="17"/>
      <c r="E447" s="17"/>
      <c r="F447" s="17"/>
      <c r="G447" s="17"/>
      <c r="H447" s="17"/>
      <c r="I447" s="17"/>
      <c r="J447" s="73"/>
      <c r="K447" s="17"/>
      <c r="L447" s="17"/>
      <c r="M447" s="73"/>
      <c r="N447" s="73"/>
      <c r="O447" s="19"/>
      <c r="P447" s="15">
        <v>2</v>
      </c>
      <c r="Q447" s="16"/>
      <c r="R447" s="11" t="s">
        <v>744</v>
      </c>
      <c r="S447" s="16"/>
    </row>
    <row r="448" spans="1:19" x14ac:dyDescent="0.2">
      <c r="A448" s="17" t="s">
        <v>528</v>
      </c>
      <c r="B448" s="11">
        <v>31</v>
      </c>
      <c r="C448" s="85">
        <v>4348</v>
      </c>
      <c r="D448" s="17"/>
      <c r="E448" s="17"/>
      <c r="F448" s="17"/>
      <c r="G448" s="17"/>
      <c r="H448" s="17"/>
      <c r="I448" s="17"/>
      <c r="J448" s="73"/>
      <c r="K448" s="17"/>
      <c r="L448" s="17"/>
      <c r="M448" s="73"/>
      <c r="N448" s="73"/>
      <c r="O448" s="19"/>
      <c r="P448" s="15">
        <v>1</v>
      </c>
      <c r="Q448" s="16"/>
      <c r="R448" s="11" t="s">
        <v>744</v>
      </c>
      <c r="S448" s="16"/>
    </row>
    <row r="449" spans="1:19" x14ac:dyDescent="0.2">
      <c r="A449" s="17" t="s">
        <v>289</v>
      </c>
      <c r="B449" s="11">
        <v>31</v>
      </c>
      <c r="C449" s="86">
        <v>4837</v>
      </c>
      <c r="D449" s="17"/>
      <c r="E449" s="17"/>
      <c r="F449" s="17"/>
      <c r="G449" s="17"/>
      <c r="H449" s="17"/>
      <c r="I449" s="17"/>
      <c r="J449" s="73"/>
      <c r="K449" s="17"/>
      <c r="L449" s="17"/>
      <c r="M449" s="73"/>
      <c r="N449" s="73"/>
      <c r="O449" s="19"/>
      <c r="P449" s="15">
        <v>1</v>
      </c>
      <c r="Q449" s="16"/>
      <c r="R449" s="11" t="s">
        <v>441</v>
      </c>
      <c r="S449" s="16"/>
    </row>
    <row r="450" spans="1:19" x14ac:dyDescent="0.2">
      <c r="A450" s="17" t="s">
        <v>541</v>
      </c>
      <c r="B450" s="11">
        <v>31</v>
      </c>
      <c r="C450" s="86">
        <v>402.5</v>
      </c>
      <c r="D450" s="17"/>
      <c r="E450" s="17"/>
      <c r="F450" s="17"/>
      <c r="G450" s="17"/>
      <c r="H450" s="17"/>
      <c r="I450" s="17"/>
      <c r="J450" s="73"/>
      <c r="K450" s="17"/>
      <c r="L450" s="17"/>
      <c r="M450" s="73"/>
      <c r="N450" s="73"/>
      <c r="O450" s="19"/>
      <c r="P450" s="15">
        <v>6</v>
      </c>
      <c r="Q450" s="16"/>
      <c r="R450" s="11" t="s">
        <v>442</v>
      </c>
      <c r="S450" s="16"/>
    </row>
    <row r="451" spans="1:19" x14ac:dyDescent="0.2">
      <c r="A451" s="17" t="s">
        <v>729</v>
      </c>
      <c r="B451" s="11"/>
      <c r="C451" s="86"/>
      <c r="D451" s="17"/>
      <c r="E451" s="17"/>
      <c r="F451" s="17"/>
      <c r="G451" s="17"/>
      <c r="H451" s="17"/>
      <c r="I451" s="17"/>
      <c r="J451" s="73"/>
      <c r="K451" s="17"/>
      <c r="L451" s="17"/>
      <c r="M451" s="73"/>
      <c r="N451" s="73"/>
      <c r="O451" s="19"/>
      <c r="P451" s="15">
        <v>115</v>
      </c>
      <c r="Q451" s="16"/>
      <c r="R451" s="11" t="s">
        <v>442</v>
      </c>
      <c r="S451" s="16"/>
    </row>
    <row r="452" spans="1:19" x14ac:dyDescent="0.2">
      <c r="A452" s="20" t="s">
        <v>627</v>
      </c>
      <c r="B452" s="11">
        <v>32</v>
      </c>
      <c r="C452" s="85">
        <v>287.2</v>
      </c>
      <c r="D452" s="17"/>
      <c r="E452" s="17"/>
      <c r="F452" s="17"/>
      <c r="G452" s="17"/>
      <c r="H452" s="17"/>
      <c r="I452" s="17"/>
      <c r="J452" s="73"/>
      <c r="K452" s="17"/>
      <c r="L452" s="17"/>
      <c r="M452" s="73"/>
      <c r="N452" s="73"/>
      <c r="O452" s="19"/>
      <c r="P452" s="15">
        <v>4</v>
      </c>
      <c r="Q452" s="16"/>
      <c r="R452" s="11" t="s">
        <v>743</v>
      </c>
      <c r="S452" s="16"/>
    </row>
    <row r="453" spans="1:19" x14ac:dyDescent="0.2">
      <c r="A453" s="20" t="s">
        <v>618</v>
      </c>
      <c r="B453" s="11">
        <v>32</v>
      </c>
      <c r="C453" s="85">
        <v>80.5</v>
      </c>
      <c r="D453" s="17"/>
      <c r="E453" s="17"/>
      <c r="F453" s="17"/>
      <c r="G453" s="17"/>
      <c r="H453" s="17"/>
      <c r="I453" s="17"/>
      <c r="J453" s="73"/>
      <c r="K453" s="17"/>
      <c r="L453" s="17"/>
      <c r="M453" s="73"/>
      <c r="N453" s="73"/>
      <c r="O453" s="19"/>
      <c r="P453" s="15">
        <v>16</v>
      </c>
      <c r="Q453" s="16"/>
      <c r="R453" s="11" t="s">
        <v>743</v>
      </c>
      <c r="S453" s="16"/>
    </row>
    <row r="454" spans="1:19" x14ac:dyDescent="0.2">
      <c r="A454" s="17" t="s">
        <v>291</v>
      </c>
      <c r="B454" s="13">
        <v>32</v>
      </c>
      <c r="C454" s="86">
        <v>454</v>
      </c>
      <c r="D454" s="17"/>
      <c r="E454" s="17"/>
      <c r="F454" s="17"/>
      <c r="G454" s="17"/>
      <c r="H454" s="17"/>
      <c r="I454" s="17"/>
      <c r="J454" s="73"/>
      <c r="K454" s="17"/>
      <c r="L454" s="17"/>
      <c r="M454" s="73"/>
      <c r="N454" s="73"/>
      <c r="O454" s="19"/>
      <c r="P454" s="15">
        <v>13</v>
      </c>
      <c r="Q454" s="16"/>
      <c r="R454" s="11" t="s">
        <v>444</v>
      </c>
      <c r="S454" s="16"/>
    </row>
    <row r="455" spans="1:19" x14ac:dyDescent="0.2">
      <c r="A455" s="20" t="s">
        <v>292</v>
      </c>
      <c r="B455" s="13">
        <v>32</v>
      </c>
      <c r="C455" s="85">
        <v>197.4</v>
      </c>
      <c r="D455" s="17"/>
      <c r="E455" s="17"/>
      <c r="F455" s="17"/>
      <c r="G455" s="17"/>
      <c r="H455" s="17"/>
      <c r="I455" s="17"/>
      <c r="J455" s="73"/>
      <c r="K455" s="17"/>
      <c r="L455" s="17"/>
      <c r="M455" s="73"/>
      <c r="N455" s="73"/>
      <c r="O455" s="19"/>
      <c r="P455" s="15">
        <v>21</v>
      </c>
      <c r="Q455" s="16"/>
      <c r="R455" s="11" t="s">
        <v>444</v>
      </c>
      <c r="S455" s="16"/>
    </row>
    <row r="456" spans="1:19" x14ac:dyDescent="0.2">
      <c r="A456" s="17" t="s">
        <v>293</v>
      </c>
      <c r="B456" s="13">
        <v>32</v>
      </c>
      <c r="C456" s="86">
        <v>97.6</v>
      </c>
      <c r="D456" s="17"/>
      <c r="E456" s="17"/>
      <c r="F456" s="17"/>
      <c r="G456" s="17"/>
      <c r="H456" s="17"/>
      <c r="I456" s="17"/>
      <c r="J456" s="73"/>
      <c r="K456" s="17"/>
      <c r="L456" s="17"/>
      <c r="M456" s="73"/>
      <c r="N456" s="73"/>
      <c r="O456" s="19"/>
      <c r="P456" s="15">
        <v>9</v>
      </c>
      <c r="Q456" s="16"/>
      <c r="R456" s="11" t="s">
        <v>444</v>
      </c>
      <c r="S456" s="16"/>
    </row>
    <row r="457" spans="1:19" x14ac:dyDescent="0.2">
      <c r="A457" s="20" t="s">
        <v>294</v>
      </c>
      <c r="B457" s="13">
        <v>32</v>
      </c>
      <c r="C457" s="85">
        <v>192</v>
      </c>
      <c r="D457" s="17"/>
      <c r="E457" s="17"/>
      <c r="F457" s="17"/>
      <c r="G457" s="17"/>
      <c r="H457" s="17"/>
      <c r="I457" s="17"/>
      <c r="J457" s="73"/>
      <c r="K457" s="17"/>
      <c r="L457" s="17"/>
      <c r="M457" s="73"/>
      <c r="N457" s="73"/>
      <c r="O457" s="19"/>
      <c r="P457" s="15">
        <v>12</v>
      </c>
      <c r="Q457" s="16"/>
      <c r="R457" s="11" t="s">
        <v>444</v>
      </c>
      <c r="S457" s="16"/>
    </row>
    <row r="458" spans="1:19" x14ac:dyDescent="0.2">
      <c r="A458" s="20" t="s">
        <v>635</v>
      </c>
      <c r="B458" s="13">
        <v>32</v>
      </c>
      <c r="C458" s="85">
        <v>70</v>
      </c>
      <c r="D458" s="17"/>
      <c r="E458" s="17"/>
      <c r="F458" s="17"/>
      <c r="G458" s="17"/>
      <c r="H458" s="17"/>
      <c r="I458" s="17"/>
      <c r="J458" s="73"/>
      <c r="K458" s="17"/>
      <c r="L458" s="17"/>
      <c r="M458" s="73"/>
      <c r="N458" s="73"/>
      <c r="O458" s="19"/>
      <c r="P458" s="15">
        <v>8</v>
      </c>
      <c r="Q458" s="16"/>
      <c r="R458" s="11" t="s">
        <v>444</v>
      </c>
      <c r="S458" s="16"/>
    </row>
    <row r="459" spans="1:19" x14ac:dyDescent="0.2">
      <c r="A459" s="20" t="s">
        <v>295</v>
      </c>
      <c r="B459" s="13">
        <v>32</v>
      </c>
      <c r="C459" s="85">
        <v>469</v>
      </c>
      <c r="D459" s="17"/>
      <c r="E459" s="17"/>
      <c r="F459" s="17"/>
      <c r="G459" s="17"/>
      <c r="H459" s="17"/>
      <c r="I459" s="17"/>
      <c r="J459" s="73"/>
      <c r="K459" s="17"/>
      <c r="L459" s="17"/>
      <c r="M459" s="73"/>
      <c r="N459" s="73"/>
      <c r="O459" s="19"/>
      <c r="P459" s="15">
        <v>10</v>
      </c>
      <c r="Q459" s="16"/>
      <c r="R459" s="11" t="s">
        <v>444</v>
      </c>
      <c r="S459" s="16"/>
    </row>
    <row r="460" spans="1:19" x14ac:dyDescent="0.2">
      <c r="A460" s="17" t="s">
        <v>637</v>
      </c>
      <c r="B460" s="13">
        <v>32</v>
      </c>
      <c r="C460" s="86">
        <v>54.4</v>
      </c>
      <c r="D460" s="17">
        <v>5193</v>
      </c>
      <c r="E460" s="17">
        <v>50</v>
      </c>
      <c r="F460" s="17">
        <v>5193</v>
      </c>
      <c r="G460" s="17">
        <v>50</v>
      </c>
      <c r="H460" s="17"/>
      <c r="I460" s="17"/>
      <c r="J460" s="73"/>
      <c r="K460" s="17"/>
      <c r="L460" s="17"/>
      <c r="M460" s="73"/>
      <c r="N460" s="73"/>
      <c r="O460" s="19"/>
      <c r="P460" s="15">
        <v>32</v>
      </c>
      <c r="Q460" s="16"/>
      <c r="R460" s="11" t="s">
        <v>444</v>
      </c>
      <c r="S460" s="16"/>
    </row>
    <row r="461" spans="1:19" x14ac:dyDescent="0.2">
      <c r="A461" s="17" t="s">
        <v>296</v>
      </c>
      <c r="B461" s="13">
        <v>32</v>
      </c>
      <c r="C461" s="194">
        <v>145</v>
      </c>
      <c r="D461" s="28">
        <v>1754</v>
      </c>
      <c r="E461" s="17" t="s">
        <v>124</v>
      </c>
      <c r="F461" s="17" t="s">
        <v>297</v>
      </c>
      <c r="G461" s="29" t="s">
        <v>298</v>
      </c>
      <c r="H461" s="17">
        <v>10</v>
      </c>
      <c r="I461" s="17" t="s">
        <v>86</v>
      </c>
      <c r="J461" s="73"/>
      <c r="K461" s="17"/>
      <c r="L461" s="17"/>
      <c r="M461" s="73"/>
      <c r="N461" s="73"/>
      <c r="O461" s="19"/>
      <c r="P461" s="15">
        <v>40</v>
      </c>
      <c r="Q461" s="16"/>
      <c r="R461" s="11" t="s">
        <v>444</v>
      </c>
      <c r="S461" s="16"/>
    </row>
    <row r="462" spans="1:19" x14ac:dyDescent="0.2">
      <c r="A462" s="17" t="s">
        <v>640</v>
      </c>
      <c r="B462" s="13">
        <v>32</v>
      </c>
      <c r="C462" s="194">
        <v>56.7</v>
      </c>
      <c r="D462" s="28"/>
      <c r="E462" s="17"/>
      <c r="F462" s="17"/>
      <c r="G462" s="29"/>
      <c r="H462" s="17"/>
      <c r="I462" s="17"/>
      <c r="J462" s="73"/>
      <c r="K462" s="17"/>
      <c r="L462" s="17"/>
      <c r="M462" s="73"/>
      <c r="N462" s="73"/>
      <c r="O462" s="19"/>
      <c r="P462" s="15">
        <v>19</v>
      </c>
      <c r="Q462" s="16"/>
      <c r="R462" s="11" t="s">
        <v>49</v>
      </c>
      <c r="S462" s="16"/>
    </row>
    <row r="463" spans="1:19" x14ac:dyDescent="0.2">
      <c r="A463" s="17" t="s">
        <v>299</v>
      </c>
      <c r="B463" s="13">
        <v>32</v>
      </c>
      <c r="C463" s="86"/>
      <c r="D463" s="17"/>
      <c r="E463" s="17"/>
      <c r="F463" s="17"/>
      <c r="G463" s="17"/>
      <c r="H463" s="17"/>
      <c r="I463" s="17"/>
      <c r="J463" s="73"/>
      <c r="K463" s="17"/>
      <c r="L463" s="17"/>
      <c r="M463" s="73"/>
      <c r="N463" s="73"/>
      <c r="O463" s="19"/>
      <c r="P463" s="15">
        <v>7</v>
      </c>
      <c r="Q463" s="16"/>
      <c r="R463" s="11" t="s">
        <v>444</v>
      </c>
      <c r="S463" s="16"/>
    </row>
    <row r="464" spans="1:19" x14ac:dyDescent="0.2">
      <c r="A464" s="20" t="s">
        <v>300</v>
      </c>
      <c r="B464" s="13">
        <v>32</v>
      </c>
      <c r="C464" s="85">
        <v>16</v>
      </c>
      <c r="D464" s="17"/>
      <c r="E464" s="17"/>
      <c r="F464" s="17"/>
      <c r="G464" s="17"/>
      <c r="H464" s="17"/>
      <c r="I464" s="17"/>
      <c r="J464" s="73"/>
      <c r="K464" s="17"/>
      <c r="L464" s="17"/>
      <c r="M464" s="73"/>
      <c r="N464" s="73"/>
      <c r="O464" s="19"/>
      <c r="P464" s="15">
        <v>9</v>
      </c>
      <c r="Q464" s="16"/>
      <c r="R464" s="11" t="s">
        <v>444</v>
      </c>
      <c r="S464" s="16"/>
    </row>
    <row r="465" spans="1:19" x14ac:dyDescent="0.2">
      <c r="A465" s="20" t="s">
        <v>746</v>
      </c>
      <c r="B465" s="13">
        <v>32</v>
      </c>
      <c r="C465" s="85"/>
      <c r="D465" s="17"/>
      <c r="E465" s="17"/>
      <c r="F465" s="17"/>
      <c r="G465" s="17"/>
      <c r="H465" s="17"/>
      <c r="I465" s="17"/>
      <c r="J465" s="73"/>
      <c r="K465" s="17"/>
      <c r="L465" s="17"/>
      <c r="M465" s="73"/>
      <c r="N465" s="73"/>
      <c r="O465" s="19"/>
      <c r="P465" s="15">
        <v>42</v>
      </c>
      <c r="Q465" s="16"/>
      <c r="R465" s="11" t="s">
        <v>49</v>
      </c>
      <c r="S465" s="16"/>
    </row>
    <row r="466" spans="1:19" x14ac:dyDescent="0.2">
      <c r="A466" s="37" t="s">
        <v>431</v>
      </c>
      <c r="B466" s="38">
        <v>32</v>
      </c>
      <c r="C466" s="85">
        <v>163.4</v>
      </c>
      <c r="D466" s="17"/>
      <c r="E466" s="17"/>
      <c r="F466" s="17"/>
      <c r="G466" s="17"/>
      <c r="H466" s="17"/>
      <c r="I466" s="17"/>
      <c r="J466" s="73"/>
      <c r="K466" s="17"/>
      <c r="L466" s="17"/>
      <c r="M466" s="73"/>
      <c r="N466" s="73"/>
      <c r="O466" s="19"/>
      <c r="P466" s="15">
        <v>41</v>
      </c>
      <c r="Q466" s="16"/>
      <c r="R466" s="11" t="s">
        <v>444</v>
      </c>
      <c r="S466" s="16"/>
    </row>
    <row r="467" spans="1:19" x14ac:dyDescent="0.2">
      <c r="A467" s="17" t="s">
        <v>301</v>
      </c>
      <c r="B467" s="13">
        <v>32</v>
      </c>
      <c r="C467" s="86">
        <v>49.4</v>
      </c>
      <c r="D467" s="17"/>
      <c r="E467" s="17"/>
      <c r="F467" s="17"/>
      <c r="G467" s="17"/>
      <c r="H467" s="17"/>
      <c r="I467" s="17"/>
      <c r="J467" s="73"/>
      <c r="K467" s="17"/>
      <c r="L467" s="17"/>
      <c r="M467" s="73"/>
      <c r="N467" s="73"/>
      <c r="O467" s="19"/>
      <c r="P467" s="15">
        <v>8</v>
      </c>
      <c r="Q467" s="16"/>
      <c r="R467" s="11" t="s">
        <v>444</v>
      </c>
      <c r="S467" s="16"/>
    </row>
    <row r="468" spans="1:19" x14ac:dyDescent="0.2">
      <c r="A468" s="17" t="s">
        <v>302</v>
      </c>
      <c r="B468" s="13">
        <v>40</v>
      </c>
      <c r="C468" s="86">
        <v>52.5</v>
      </c>
      <c r="D468" s="17"/>
      <c r="E468" s="17"/>
      <c r="F468" s="17"/>
      <c r="G468" s="17"/>
      <c r="H468" s="17"/>
      <c r="I468" s="17"/>
      <c r="J468" s="73"/>
      <c r="K468" s="17"/>
      <c r="L468" s="17"/>
      <c r="M468" s="73"/>
      <c r="N468" s="73"/>
      <c r="O468" s="19"/>
      <c r="P468" s="15">
        <v>18</v>
      </c>
      <c r="Q468" s="16"/>
      <c r="R468" s="11" t="s">
        <v>444</v>
      </c>
      <c r="S468" s="16"/>
    </row>
    <row r="469" spans="1:19" x14ac:dyDescent="0.2">
      <c r="A469" s="17" t="s">
        <v>303</v>
      </c>
      <c r="B469" s="13">
        <v>40</v>
      </c>
      <c r="C469" s="86">
        <v>245</v>
      </c>
      <c r="D469" s="17"/>
      <c r="E469" s="17"/>
      <c r="F469" s="17"/>
      <c r="G469" s="17"/>
      <c r="H469" s="17"/>
      <c r="I469" s="17"/>
      <c r="J469" s="73"/>
      <c r="K469" s="17"/>
      <c r="L469" s="17"/>
      <c r="M469" s="73"/>
      <c r="N469" s="73"/>
      <c r="O469" s="19"/>
      <c r="P469" s="15">
        <v>48</v>
      </c>
      <c r="Q469" s="16"/>
      <c r="R469" s="11" t="s">
        <v>445</v>
      </c>
      <c r="S469" s="16"/>
    </row>
    <row r="470" spans="1:19" x14ac:dyDescent="0.2">
      <c r="A470" s="17" t="s">
        <v>650</v>
      </c>
      <c r="B470" s="13">
        <v>40</v>
      </c>
      <c r="C470" s="86">
        <v>354.5</v>
      </c>
      <c r="D470" s="17"/>
      <c r="E470" s="17"/>
      <c r="F470" s="17"/>
      <c r="G470" s="17"/>
      <c r="H470" s="17"/>
      <c r="I470" s="17"/>
      <c r="J470" s="73"/>
      <c r="K470" s="17"/>
      <c r="L470" s="17"/>
      <c r="M470" s="73"/>
      <c r="N470" s="73"/>
      <c r="O470" s="19"/>
      <c r="P470" s="15">
        <v>51</v>
      </c>
      <c r="Q470" s="16"/>
      <c r="R470" s="11" t="s">
        <v>747</v>
      </c>
      <c r="S470" s="16"/>
    </row>
    <row r="471" spans="1:19" x14ac:dyDescent="0.2">
      <c r="A471" s="17" t="s">
        <v>304</v>
      </c>
      <c r="B471" s="13">
        <v>40</v>
      </c>
      <c r="C471" s="86">
        <v>151.80000000000001</v>
      </c>
      <c r="D471" s="17"/>
      <c r="E471" s="17"/>
      <c r="F471" s="17"/>
      <c r="G471" s="17"/>
      <c r="H471" s="17"/>
      <c r="I471" s="17"/>
      <c r="J471" s="73"/>
      <c r="K471" s="17"/>
      <c r="L471" s="17"/>
      <c r="M471" s="73"/>
      <c r="N471" s="73"/>
      <c r="O471" s="19"/>
      <c r="P471" s="15">
        <v>3</v>
      </c>
      <c r="Q471" s="16"/>
      <c r="R471" s="11" t="s">
        <v>444</v>
      </c>
      <c r="S471" s="16"/>
    </row>
    <row r="472" spans="1:19" x14ac:dyDescent="0.2">
      <c r="A472" s="17" t="s">
        <v>750</v>
      </c>
      <c r="B472" s="13">
        <v>40</v>
      </c>
      <c r="C472" s="86"/>
      <c r="D472" s="17"/>
      <c r="E472" s="17"/>
      <c r="F472" s="17"/>
      <c r="G472" s="17"/>
      <c r="H472" s="17"/>
      <c r="I472" s="17"/>
      <c r="J472" s="73"/>
      <c r="K472" s="17"/>
      <c r="L472" s="17"/>
      <c r="M472" s="73"/>
      <c r="N472" s="73"/>
      <c r="O472" s="19"/>
      <c r="P472" s="15">
        <v>12</v>
      </c>
      <c r="Q472" s="16"/>
      <c r="R472" s="11" t="s">
        <v>49</v>
      </c>
      <c r="S472" s="16"/>
    </row>
    <row r="473" spans="1:19" x14ac:dyDescent="0.2">
      <c r="A473" s="17" t="s">
        <v>305</v>
      </c>
      <c r="B473" s="13">
        <v>40</v>
      </c>
      <c r="C473" s="86">
        <v>51.8</v>
      </c>
      <c r="D473" s="17"/>
      <c r="E473" s="17"/>
      <c r="F473" s="17"/>
      <c r="G473" s="17"/>
      <c r="H473" s="17"/>
      <c r="I473" s="17"/>
      <c r="J473" s="73"/>
      <c r="K473" s="17"/>
      <c r="L473" s="17"/>
      <c r="M473" s="73"/>
      <c r="N473" s="73"/>
      <c r="O473" s="19"/>
      <c r="P473" s="15">
        <v>36</v>
      </c>
      <c r="Q473" s="16"/>
      <c r="R473" s="11" t="s">
        <v>444</v>
      </c>
      <c r="S473" s="16"/>
    </row>
    <row r="474" spans="1:19" x14ac:dyDescent="0.2">
      <c r="A474" s="17" t="s">
        <v>306</v>
      </c>
      <c r="B474" s="13">
        <v>40</v>
      </c>
      <c r="C474" s="86">
        <v>83.7</v>
      </c>
      <c r="D474" s="17"/>
      <c r="E474" s="17"/>
      <c r="F474" s="17"/>
      <c r="G474" s="17"/>
      <c r="H474" s="17"/>
      <c r="I474" s="17"/>
      <c r="J474" s="73"/>
      <c r="K474" s="17"/>
      <c r="L474" s="17"/>
      <c r="M474" s="73"/>
      <c r="N474" s="73"/>
      <c r="O474" s="19"/>
      <c r="P474" s="15">
        <v>7</v>
      </c>
      <c r="Q474" s="16"/>
      <c r="R474" s="11" t="s">
        <v>444</v>
      </c>
      <c r="S474" s="16"/>
    </row>
    <row r="475" spans="1:19" x14ac:dyDescent="0.2">
      <c r="A475" s="20" t="s">
        <v>307</v>
      </c>
      <c r="B475" s="13">
        <v>40</v>
      </c>
      <c r="C475" s="85">
        <v>200.6</v>
      </c>
      <c r="D475" s="17"/>
      <c r="E475" s="17"/>
      <c r="F475" s="17"/>
      <c r="G475" s="17"/>
      <c r="H475" s="17"/>
      <c r="I475" s="17"/>
      <c r="J475" s="73"/>
      <c r="K475" s="17"/>
      <c r="L475" s="17"/>
      <c r="M475" s="73"/>
      <c r="N475" s="73"/>
      <c r="O475" s="19"/>
      <c r="P475" s="15">
        <v>1</v>
      </c>
      <c r="Q475" s="16"/>
      <c r="R475" s="11" t="s">
        <v>444</v>
      </c>
      <c r="S475" s="16"/>
    </row>
    <row r="476" spans="1:19" x14ac:dyDescent="0.2">
      <c r="A476" s="17" t="s">
        <v>308</v>
      </c>
      <c r="B476" s="13">
        <v>40</v>
      </c>
      <c r="C476" s="86">
        <v>1836.4</v>
      </c>
      <c r="D476" s="17"/>
      <c r="E476" s="17"/>
      <c r="F476" s="17"/>
      <c r="G476" s="17"/>
      <c r="H476" s="17"/>
      <c r="I476" s="17"/>
      <c r="J476" s="73"/>
      <c r="K476" s="17"/>
      <c r="L476" s="17"/>
      <c r="M476" s="73"/>
      <c r="N476" s="73"/>
      <c r="O476" s="19"/>
      <c r="P476" s="15">
        <v>2</v>
      </c>
      <c r="Q476" s="16"/>
      <c r="R476" s="11" t="s">
        <v>444</v>
      </c>
      <c r="S476" s="16"/>
    </row>
    <row r="477" spans="1:19" x14ac:dyDescent="0.2">
      <c r="A477" s="17" t="s">
        <v>309</v>
      </c>
      <c r="B477" s="13">
        <v>40</v>
      </c>
      <c r="C477" s="86">
        <v>3811</v>
      </c>
      <c r="D477" s="17"/>
      <c r="E477" s="17"/>
      <c r="F477" s="17"/>
      <c r="G477" s="17"/>
      <c r="H477" s="17"/>
      <c r="I477" s="17"/>
      <c r="J477" s="73"/>
      <c r="K477" s="17"/>
      <c r="L477" s="17"/>
      <c r="M477" s="73"/>
      <c r="N477" s="73"/>
      <c r="O477" s="19"/>
      <c r="P477" s="59">
        <v>1</v>
      </c>
      <c r="Q477" s="16"/>
      <c r="R477" s="11" t="s">
        <v>444</v>
      </c>
      <c r="S477" s="16"/>
    </row>
    <row r="478" spans="1:19" x14ac:dyDescent="0.2">
      <c r="A478" s="20" t="s">
        <v>310</v>
      </c>
      <c r="B478" s="13">
        <v>40</v>
      </c>
      <c r="C478" s="85">
        <v>110.4</v>
      </c>
      <c r="D478" s="17"/>
      <c r="E478" s="17"/>
      <c r="F478" s="17"/>
      <c r="G478" s="17"/>
      <c r="H478" s="17"/>
      <c r="I478" s="17"/>
      <c r="J478" s="73"/>
      <c r="K478" s="17"/>
      <c r="L478" s="17"/>
      <c r="M478" s="73"/>
      <c r="N478" s="73"/>
      <c r="O478" s="19"/>
      <c r="P478" s="15">
        <v>3</v>
      </c>
      <c r="Q478" s="16"/>
      <c r="R478" s="11" t="s">
        <v>444</v>
      </c>
      <c r="S478" s="16"/>
    </row>
    <row r="479" spans="1:19" x14ac:dyDescent="0.2">
      <c r="A479" s="20" t="s">
        <v>430</v>
      </c>
      <c r="B479" s="13">
        <v>40</v>
      </c>
      <c r="C479" s="85">
        <v>1046</v>
      </c>
      <c r="D479" s="17"/>
      <c r="E479" s="17"/>
      <c r="F479" s="17"/>
      <c r="G479" s="17"/>
      <c r="H479" s="17"/>
      <c r="I479" s="17"/>
      <c r="J479" s="73"/>
      <c r="K479" s="17"/>
      <c r="L479" s="17"/>
      <c r="M479" s="73"/>
      <c r="N479" s="73"/>
      <c r="O479" s="19"/>
      <c r="P479" s="15">
        <v>0</v>
      </c>
      <c r="Q479" s="16"/>
      <c r="R479" s="11" t="s">
        <v>445</v>
      </c>
      <c r="S479" s="16"/>
    </row>
    <row r="480" spans="1:19" x14ac:dyDescent="0.2">
      <c r="A480" s="20" t="s">
        <v>644</v>
      </c>
      <c r="B480" s="13">
        <v>40</v>
      </c>
      <c r="C480" s="85">
        <v>1363</v>
      </c>
      <c r="D480" s="17"/>
      <c r="E480" s="17"/>
      <c r="F480" s="17"/>
      <c r="G480" s="17"/>
      <c r="H480" s="17"/>
      <c r="I480" s="17"/>
      <c r="J480" s="73"/>
      <c r="K480" s="17"/>
      <c r="L480" s="17"/>
      <c r="M480" s="73"/>
      <c r="N480" s="73"/>
      <c r="O480" s="19"/>
      <c r="P480" s="15">
        <v>3</v>
      </c>
      <c r="Q480" s="16"/>
      <c r="R480" s="11" t="s">
        <v>444</v>
      </c>
      <c r="S480" s="16"/>
    </row>
    <row r="481" spans="1:19" x14ac:dyDescent="0.2">
      <c r="A481" s="17" t="s">
        <v>311</v>
      </c>
      <c r="B481" s="13">
        <v>40</v>
      </c>
      <c r="C481" s="86">
        <v>727</v>
      </c>
      <c r="D481" s="17"/>
      <c r="E481" s="17"/>
      <c r="F481" s="17"/>
      <c r="G481" s="17"/>
      <c r="H481" s="17"/>
      <c r="I481" s="17"/>
      <c r="J481" s="73"/>
      <c r="K481" s="17"/>
      <c r="L481" s="17"/>
      <c r="M481" s="73"/>
      <c r="N481" s="73"/>
      <c r="O481" s="19"/>
      <c r="P481" s="15">
        <v>20</v>
      </c>
      <c r="Q481" s="16"/>
      <c r="R481" s="11" t="s">
        <v>445</v>
      </c>
      <c r="S481" s="16"/>
    </row>
    <row r="482" spans="1:19" x14ac:dyDescent="0.2">
      <c r="A482" s="17" t="s">
        <v>312</v>
      </c>
      <c r="B482" s="13">
        <v>40</v>
      </c>
      <c r="C482" s="86">
        <v>30409</v>
      </c>
      <c r="D482" s="17"/>
      <c r="E482" s="17"/>
      <c r="F482" s="17"/>
      <c r="G482" s="17"/>
      <c r="H482" s="17"/>
      <c r="I482" s="17"/>
      <c r="J482" s="73"/>
      <c r="K482" s="17"/>
      <c r="L482" s="17"/>
      <c r="M482" s="73"/>
      <c r="N482" s="73"/>
      <c r="O482" s="19"/>
      <c r="P482" s="15">
        <v>2</v>
      </c>
      <c r="Q482" s="16"/>
      <c r="R482" s="11" t="s">
        <v>444</v>
      </c>
      <c r="S482" s="16"/>
    </row>
    <row r="483" spans="1:19" x14ac:dyDescent="0.2">
      <c r="A483" s="17" t="s">
        <v>313</v>
      </c>
      <c r="B483" s="13">
        <v>40</v>
      </c>
      <c r="C483" s="86">
        <v>36610</v>
      </c>
      <c r="D483" s="17"/>
      <c r="E483" s="17"/>
      <c r="F483" s="17"/>
      <c r="G483" s="17"/>
      <c r="H483" s="17"/>
      <c r="I483" s="17"/>
      <c r="J483" s="73"/>
      <c r="K483" s="17"/>
      <c r="L483" s="17"/>
      <c r="M483" s="73"/>
      <c r="N483" s="73"/>
      <c r="O483" s="19"/>
      <c r="P483" s="15">
        <v>3</v>
      </c>
      <c r="Q483" s="16"/>
      <c r="R483" s="11" t="s">
        <v>444</v>
      </c>
      <c r="S483" s="16"/>
    </row>
    <row r="484" spans="1:19" x14ac:dyDescent="0.2">
      <c r="A484" s="17" t="s">
        <v>314</v>
      </c>
      <c r="B484" s="13">
        <v>40</v>
      </c>
      <c r="C484" s="86">
        <v>52.5</v>
      </c>
      <c r="D484" s="17"/>
      <c r="E484" s="17"/>
      <c r="F484" s="17"/>
      <c r="G484" s="17"/>
      <c r="H484" s="17"/>
      <c r="I484" s="17"/>
      <c r="J484" s="73"/>
      <c r="K484" s="17"/>
      <c r="L484" s="17"/>
      <c r="M484" s="73"/>
      <c r="N484" s="73"/>
      <c r="O484" s="19"/>
      <c r="P484" s="15">
        <v>5</v>
      </c>
      <c r="Q484" s="16"/>
      <c r="R484" s="11" t="s">
        <v>444</v>
      </c>
      <c r="S484" s="16"/>
    </row>
    <row r="485" spans="1:19" x14ac:dyDescent="0.2">
      <c r="A485" s="20" t="s">
        <v>651</v>
      </c>
      <c r="B485" s="13">
        <v>40</v>
      </c>
      <c r="C485" s="85">
        <v>51.8</v>
      </c>
      <c r="D485" s="17"/>
      <c r="E485" s="17"/>
      <c r="F485" s="17"/>
      <c r="G485" s="17"/>
      <c r="H485" s="17"/>
      <c r="I485" s="17"/>
      <c r="J485" s="73"/>
      <c r="K485" s="17"/>
      <c r="L485" s="17"/>
      <c r="M485" s="73"/>
      <c r="N485" s="73"/>
      <c r="O485" s="19"/>
      <c r="P485" s="15">
        <v>56</v>
      </c>
      <c r="Q485" s="16"/>
      <c r="R485" s="11" t="s">
        <v>444</v>
      </c>
      <c r="S485" s="16"/>
    </row>
    <row r="486" spans="1:19" x14ac:dyDescent="0.2">
      <c r="A486" s="20" t="s">
        <v>315</v>
      </c>
      <c r="B486" s="13">
        <v>40</v>
      </c>
      <c r="C486" s="85"/>
      <c r="D486" s="17"/>
      <c r="E486" s="17"/>
      <c r="F486" s="17"/>
      <c r="G486" s="17"/>
      <c r="H486" s="17"/>
      <c r="I486" s="17"/>
      <c r="J486" s="73"/>
      <c r="K486" s="17"/>
      <c r="L486" s="17"/>
      <c r="M486" s="73"/>
      <c r="N486" s="73"/>
      <c r="O486" s="19"/>
      <c r="P486" s="15">
        <v>0</v>
      </c>
      <c r="Q486" s="16"/>
      <c r="R486" s="11" t="s">
        <v>444</v>
      </c>
      <c r="S486" s="16"/>
    </row>
    <row r="487" spans="1:19" x14ac:dyDescent="0.2">
      <c r="A487" s="20" t="s">
        <v>447</v>
      </c>
      <c r="B487" s="13">
        <v>40</v>
      </c>
      <c r="C487" s="85">
        <v>183.5</v>
      </c>
      <c r="D487" s="17"/>
      <c r="E487" s="17"/>
      <c r="F487" s="17"/>
      <c r="G487" s="17"/>
      <c r="H487" s="17"/>
      <c r="I487" s="17"/>
      <c r="J487" s="73"/>
      <c r="K487" s="17"/>
      <c r="L487" s="17"/>
      <c r="M487" s="73"/>
      <c r="N487" s="73"/>
      <c r="O487" s="19"/>
      <c r="P487" s="15">
        <v>10</v>
      </c>
      <c r="Q487" s="16"/>
      <c r="R487" s="11" t="s">
        <v>49</v>
      </c>
      <c r="S487" s="16"/>
    </row>
    <row r="488" spans="1:19" x14ac:dyDescent="0.2">
      <c r="A488" s="17" t="s">
        <v>316</v>
      </c>
      <c r="B488" s="11">
        <v>40</v>
      </c>
      <c r="C488" s="86"/>
      <c r="D488" s="17">
        <v>552</v>
      </c>
      <c r="E488" s="17">
        <v>100</v>
      </c>
      <c r="F488" s="17">
        <v>552</v>
      </c>
      <c r="G488" s="17">
        <v>100</v>
      </c>
      <c r="H488" s="17"/>
      <c r="I488" s="17"/>
      <c r="J488" s="73"/>
      <c r="K488" s="17"/>
      <c r="L488" s="17"/>
      <c r="M488" s="73"/>
      <c r="N488" s="73"/>
      <c r="O488" s="19"/>
      <c r="P488" s="15">
        <v>1</v>
      </c>
      <c r="Q488" s="16"/>
      <c r="R488" s="11" t="s">
        <v>444</v>
      </c>
      <c r="S488" s="16"/>
    </row>
    <row r="489" spans="1:19" x14ac:dyDescent="0.2">
      <c r="A489" s="17" t="s">
        <v>317</v>
      </c>
      <c r="B489" s="11">
        <v>40</v>
      </c>
      <c r="C489" s="86">
        <v>19.2</v>
      </c>
      <c r="D489" s="17">
        <v>1745</v>
      </c>
      <c r="E489" s="17">
        <v>80</v>
      </c>
      <c r="F489" s="17">
        <v>1745</v>
      </c>
      <c r="G489" s="17">
        <v>80</v>
      </c>
      <c r="H489" s="17"/>
      <c r="I489" s="17"/>
      <c r="J489" s="73"/>
      <c r="K489" s="17"/>
      <c r="L489" s="17"/>
      <c r="M489" s="73"/>
      <c r="N489" s="73"/>
      <c r="O489" s="19"/>
      <c r="P489" s="15">
        <v>1</v>
      </c>
      <c r="Q489" s="16"/>
      <c r="R489" s="11" t="s">
        <v>444</v>
      </c>
      <c r="S489" s="16"/>
    </row>
    <row r="490" spans="1:19" x14ac:dyDescent="0.2">
      <c r="A490" s="17" t="s">
        <v>318</v>
      </c>
      <c r="B490" s="11">
        <v>40</v>
      </c>
      <c r="C490" s="86">
        <v>52.1</v>
      </c>
      <c r="D490" s="17">
        <v>552</v>
      </c>
      <c r="E490" s="17">
        <v>10</v>
      </c>
      <c r="F490" s="17">
        <v>552</v>
      </c>
      <c r="G490" s="17">
        <v>10</v>
      </c>
      <c r="H490" s="17"/>
      <c r="I490" s="17"/>
      <c r="J490" s="73"/>
      <c r="K490" s="17"/>
      <c r="L490" s="17"/>
      <c r="M490" s="73"/>
      <c r="N490" s="73"/>
      <c r="O490" s="19"/>
      <c r="P490" s="15">
        <v>0</v>
      </c>
      <c r="Q490" s="16"/>
      <c r="R490" s="11" t="s">
        <v>444</v>
      </c>
      <c r="S490" s="16"/>
    </row>
    <row r="491" spans="1:19" x14ac:dyDescent="0.2">
      <c r="A491" s="20" t="s">
        <v>319</v>
      </c>
      <c r="B491" s="13">
        <v>40</v>
      </c>
      <c r="C491" s="85">
        <v>221.8</v>
      </c>
      <c r="D491" s="17"/>
      <c r="E491" s="17"/>
      <c r="F491" s="17"/>
      <c r="G491" s="17"/>
      <c r="H491" s="17"/>
      <c r="I491" s="17"/>
      <c r="J491" s="73"/>
      <c r="K491" s="17"/>
      <c r="L491" s="17"/>
      <c r="M491" s="73"/>
      <c r="N491" s="73"/>
      <c r="O491" s="19"/>
      <c r="P491" s="15">
        <v>0</v>
      </c>
      <c r="Q491" s="16"/>
      <c r="R491" s="11" t="s">
        <v>445</v>
      </c>
      <c r="S491" s="16"/>
    </row>
    <row r="492" spans="1:19" x14ac:dyDescent="0.2">
      <c r="A492" s="17" t="s">
        <v>320</v>
      </c>
      <c r="B492" s="13">
        <v>40</v>
      </c>
      <c r="C492" s="86">
        <v>243</v>
      </c>
      <c r="D492" s="17"/>
      <c r="E492" s="17"/>
      <c r="F492" s="17"/>
      <c r="G492" s="17"/>
      <c r="H492" s="17"/>
      <c r="I492" s="17"/>
      <c r="J492" s="73"/>
      <c r="K492" s="17"/>
      <c r="L492" s="17"/>
      <c r="M492" s="73"/>
      <c r="N492" s="73"/>
      <c r="O492" s="19"/>
      <c r="P492" s="15">
        <v>31</v>
      </c>
      <c r="Q492" s="16"/>
      <c r="R492" s="11" t="s">
        <v>444</v>
      </c>
      <c r="S492" s="16"/>
    </row>
    <row r="493" spans="1:19" x14ac:dyDescent="0.2">
      <c r="A493" s="17" t="s">
        <v>668</v>
      </c>
      <c r="B493" s="13">
        <v>40</v>
      </c>
      <c r="C493" s="86"/>
      <c r="D493" s="17"/>
      <c r="E493" s="17"/>
      <c r="F493" s="17"/>
      <c r="G493" s="17"/>
      <c r="H493" s="17"/>
      <c r="I493" s="17"/>
      <c r="J493" s="73"/>
      <c r="K493" s="17"/>
      <c r="L493" s="17"/>
      <c r="M493" s="73"/>
      <c r="N493" s="73"/>
      <c r="O493" s="19"/>
      <c r="P493" s="15">
        <v>1</v>
      </c>
      <c r="Q493" s="16"/>
      <c r="R493" s="11" t="s">
        <v>764</v>
      </c>
      <c r="S493" s="16"/>
    </row>
    <row r="494" spans="1:19" x14ac:dyDescent="0.2">
      <c r="A494" s="20" t="s">
        <v>321</v>
      </c>
      <c r="B494" s="13">
        <v>40</v>
      </c>
      <c r="C494" s="85">
        <v>58.7</v>
      </c>
      <c r="D494" s="17"/>
      <c r="E494" s="17"/>
      <c r="F494" s="17"/>
      <c r="G494" s="17"/>
      <c r="H494" s="17"/>
      <c r="I494" s="17"/>
      <c r="J494" s="73"/>
      <c r="K494" s="17"/>
      <c r="L494" s="17"/>
      <c r="M494" s="73"/>
      <c r="N494" s="73"/>
      <c r="O494" s="19"/>
      <c r="P494" s="15">
        <v>10</v>
      </c>
      <c r="Q494" s="16"/>
      <c r="R494" s="11" t="s">
        <v>444</v>
      </c>
      <c r="S494" s="16"/>
    </row>
    <row r="495" spans="1:19" x14ac:dyDescent="0.2">
      <c r="A495" s="20" t="s">
        <v>322</v>
      </c>
      <c r="B495" s="13">
        <v>40</v>
      </c>
      <c r="C495" s="85">
        <v>123.8</v>
      </c>
      <c r="D495" s="17"/>
      <c r="E495" s="17"/>
      <c r="F495" s="17"/>
      <c r="G495" s="17"/>
      <c r="H495" s="17"/>
      <c r="I495" s="17"/>
      <c r="J495" s="73"/>
      <c r="K495" s="17"/>
      <c r="L495" s="17"/>
      <c r="M495" s="73"/>
      <c r="N495" s="73"/>
      <c r="O495" s="19"/>
      <c r="P495" s="15">
        <v>1</v>
      </c>
      <c r="Q495" s="16"/>
      <c r="R495" s="11" t="s">
        <v>444</v>
      </c>
      <c r="S495" s="16"/>
    </row>
    <row r="496" spans="1:19" x14ac:dyDescent="0.2">
      <c r="A496" s="53" t="s">
        <v>766</v>
      </c>
      <c r="B496" s="51">
        <v>40</v>
      </c>
      <c r="C496" s="193"/>
      <c r="D496" s="53"/>
      <c r="E496" s="53"/>
      <c r="F496" s="53"/>
      <c r="G496" s="53"/>
      <c r="H496" s="53"/>
      <c r="I496" s="53"/>
      <c r="J496" s="82"/>
      <c r="K496" s="53"/>
      <c r="L496" s="53"/>
      <c r="M496" s="82"/>
      <c r="N496" s="82"/>
      <c r="O496" s="54"/>
      <c r="P496" s="30">
        <v>7</v>
      </c>
      <c r="Q496" s="55"/>
      <c r="R496" s="56" t="s">
        <v>445</v>
      </c>
      <c r="S496" s="55"/>
    </row>
    <row r="497" spans="1:19" x14ac:dyDescent="0.2">
      <c r="A497" s="17" t="s">
        <v>323</v>
      </c>
      <c r="B497" s="11">
        <v>40</v>
      </c>
      <c r="C497" s="86">
        <v>84.6</v>
      </c>
      <c r="D497" s="17"/>
      <c r="E497" s="17"/>
      <c r="F497" s="17"/>
      <c r="G497" s="17"/>
      <c r="H497" s="17"/>
      <c r="I497" s="17"/>
      <c r="J497" s="73"/>
      <c r="K497" s="17"/>
      <c r="L497" s="17"/>
      <c r="M497" s="73"/>
      <c r="N497" s="73"/>
      <c r="O497" s="19"/>
      <c r="P497" s="15">
        <v>4</v>
      </c>
      <c r="Q497" s="16"/>
      <c r="R497" s="11" t="s">
        <v>444</v>
      </c>
      <c r="S497" s="16"/>
    </row>
    <row r="498" spans="1:19" x14ac:dyDescent="0.2">
      <c r="A498" s="17" t="s">
        <v>652</v>
      </c>
      <c r="B498" s="11">
        <v>40</v>
      </c>
      <c r="C498" s="86">
        <v>470.6</v>
      </c>
      <c r="D498" s="17"/>
      <c r="E498" s="17"/>
      <c r="F498" s="17"/>
      <c r="G498" s="17"/>
      <c r="H498" s="17"/>
      <c r="I498" s="17"/>
      <c r="J498" s="73"/>
      <c r="K498" s="17"/>
      <c r="L498" s="17"/>
      <c r="M498" s="73"/>
      <c r="N498" s="73"/>
      <c r="O498" s="19"/>
      <c r="P498" s="15">
        <v>6</v>
      </c>
      <c r="Q498" s="16"/>
      <c r="R498" s="11" t="s">
        <v>764</v>
      </c>
      <c r="S498" s="16"/>
    </row>
    <row r="499" spans="1:19" x14ac:dyDescent="0.2">
      <c r="A499" s="17" t="s">
        <v>324</v>
      </c>
      <c r="B499" s="13">
        <v>40</v>
      </c>
      <c r="C499" s="86">
        <v>181.6</v>
      </c>
      <c r="D499" s="17"/>
      <c r="E499" s="17"/>
      <c r="F499" s="17"/>
      <c r="G499" s="17"/>
      <c r="H499" s="17"/>
      <c r="I499" s="17"/>
      <c r="J499" s="73"/>
      <c r="K499" s="17"/>
      <c r="L499" s="17"/>
      <c r="M499" s="73"/>
      <c r="N499" s="73"/>
      <c r="O499" s="19"/>
      <c r="P499" s="15">
        <v>127</v>
      </c>
      <c r="Q499" s="16"/>
      <c r="R499" s="11" t="s">
        <v>444</v>
      </c>
      <c r="S499" s="16"/>
    </row>
    <row r="500" spans="1:19" x14ac:dyDescent="0.2">
      <c r="A500" s="17" t="s">
        <v>664</v>
      </c>
      <c r="B500" s="13">
        <v>40</v>
      </c>
      <c r="C500" s="86">
        <v>432</v>
      </c>
      <c r="D500" s="17"/>
      <c r="E500" s="17"/>
      <c r="F500" s="17"/>
      <c r="G500" s="17"/>
      <c r="H500" s="17"/>
      <c r="I500" s="17"/>
      <c r="J500" s="73"/>
      <c r="K500" s="17"/>
      <c r="L500" s="17"/>
      <c r="M500" s="73"/>
      <c r="N500" s="73"/>
      <c r="O500" s="19"/>
      <c r="P500" s="15">
        <v>71</v>
      </c>
      <c r="Q500" s="16"/>
      <c r="R500" s="11" t="s">
        <v>764</v>
      </c>
      <c r="S500" s="16"/>
    </row>
    <row r="501" spans="1:19" x14ac:dyDescent="0.2">
      <c r="A501" s="20" t="s">
        <v>325</v>
      </c>
      <c r="B501" s="21">
        <v>40</v>
      </c>
      <c r="C501" s="89">
        <v>415.4</v>
      </c>
      <c r="D501" s="17"/>
      <c r="E501" s="17"/>
      <c r="F501" s="17"/>
      <c r="G501" s="17"/>
      <c r="H501" s="17"/>
      <c r="I501" s="17"/>
      <c r="J501" s="73"/>
      <c r="K501" s="17"/>
      <c r="L501" s="17"/>
      <c r="M501" s="73"/>
      <c r="N501" s="73"/>
      <c r="O501" s="19"/>
      <c r="P501" s="15">
        <v>77</v>
      </c>
      <c r="Q501" s="16"/>
      <c r="R501" s="11" t="s">
        <v>444</v>
      </c>
      <c r="S501" s="16"/>
    </row>
    <row r="502" spans="1:19" x14ac:dyDescent="0.2">
      <c r="A502" s="17" t="s">
        <v>326</v>
      </c>
      <c r="B502" s="13">
        <v>40</v>
      </c>
      <c r="C502" s="86">
        <v>349</v>
      </c>
      <c r="D502" s="17"/>
      <c r="E502" s="17"/>
      <c r="F502" s="17"/>
      <c r="G502" s="17"/>
      <c r="H502" s="17"/>
      <c r="I502" s="17"/>
      <c r="J502" s="73"/>
      <c r="K502" s="17"/>
      <c r="L502" s="17"/>
      <c r="M502" s="73"/>
      <c r="N502" s="73"/>
      <c r="O502" s="19"/>
      <c r="P502" s="15">
        <v>48</v>
      </c>
      <c r="Q502" s="16"/>
      <c r="R502" s="11" t="s">
        <v>444</v>
      </c>
      <c r="S502" s="16"/>
    </row>
    <row r="503" spans="1:19" x14ac:dyDescent="0.2">
      <c r="A503" s="17" t="s">
        <v>327</v>
      </c>
      <c r="B503" s="13">
        <v>40</v>
      </c>
      <c r="C503" s="86">
        <v>39626</v>
      </c>
      <c r="D503" s="17"/>
      <c r="E503" s="17"/>
      <c r="F503" s="17"/>
      <c r="G503" s="17"/>
      <c r="H503" s="17"/>
      <c r="I503" s="17"/>
      <c r="J503" s="73"/>
      <c r="K503" s="17"/>
      <c r="L503" s="17"/>
      <c r="M503" s="73"/>
      <c r="N503" s="73"/>
      <c r="O503" s="19"/>
      <c r="P503" s="15">
        <v>1</v>
      </c>
      <c r="Q503" s="16"/>
      <c r="R503" s="11" t="s">
        <v>444</v>
      </c>
      <c r="S503" s="16"/>
    </row>
    <row r="504" spans="1:19" x14ac:dyDescent="0.2">
      <c r="A504" s="17" t="s">
        <v>328</v>
      </c>
      <c r="B504" s="13">
        <v>40</v>
      </c>
      <c r="C504" s="86">
        <v>50893</v>
      </c>
      <c r="D504" s="17"/>
      <c r="E504" s="17"/>
      <c r="F504" s="17"/>
      <c r="G504" s="17"/>
      <c r="H504" s="17"/>
      <c r="I504" s="17"/>
      <c r="J504" s="73"/>
      <c r="K504" s="17"/>
      <c r="L504" s="17"/>
      <c r="M504" s="73"/>
      <c r="N504" s="73"/>
      <c r="O504" s="19"/>
      <c r="P504" s="15">
        <v>3</v>
      </c>
      <c r="Q504" s="16"/>
      <c r="R504" s="11" t="s">
        <v>444</v>
      </c>
      <c r="S504" s="16"/>
    </row>
    <row r="505" spans="1:19" x14ac:dyDescent="0.2">
      <c r="A505" s="17" t="s">
        <v>329</v>
      </c>
      <c r="B505" s="13">
        <v>40</v>
      </c>
      <c r="C505" s="86"/>
      <c r="D505" s="17"/>
      <c r="E505" s="17"/>
      <c r="F505" s="17"/>
      <c r="G505" s="17"/>
      <c r="H505" s="17"/>
      <c r="I505" s="17"/>
      <c r="J505" s="73"/>
      <c r="K505" s="17"/>
      <c r="L505" s="17"/>
      <c r="M505" s="73"/>
      <c r="N505" s="73"/>
      <c r="O505" s="19"/>
      <c r="P505" s="15">
        <v>0</v>
      </c>
      <c r="Q505" s="16"/>
      <c r="R505" s="11" t="s">
        <v>444</v>
      </c>
      <c r="S505" s="16"/>
    </row>
    <row r="506" spans="1:19" x14ac:dyDescent="0.2">
      <c r="A506" s="17" t="s">
        <v>330</v>
      </c>
      <c r="B506" s="13">
        <v>40</v>
      </c>
      <c r="C506" s="86">
        <v>24839</v>
      </c>
      <c r="D506" s="17"/>
      <c r="E506" s="17"/>
      <c r="F506" s="17"/>
      <c r="G506" s="17"/>
      <c r="H506" s="17"/>
      <c r="I506" s="17"/>
      <c r="J506" s="73"/>
      <c r="K506" s="17"/>
      <c r="L506" s="17"/>
      <c r="M506" s="73"/>
      <c r="N506" s="73"/>
      <c r="O506" s="19"/>
      <c r="P506" s="15">
        <v>0</v>
      </c>
      <c r="Q506" s="16"/>
      <c r="R506" s="11" t="s">
        <v>444</v>
      </c>
      <c r="S506" s="16"/>
    </row>
    <row r="507" spans="1:19" x14ac:dyDescent="0.2">
      <c r="A507" s="17" t="s">
        <v>331</v>
      </c>
      <c r="B507" s="13">
        <v>40</v>
      </c>
      <c r="C507" s="86">
        <v>32669</v>
      </c>
      <c r="D507" s="17"/>
      <c r="E507" s="17"/>
      <c r="F507" s="17"/>
      <c r="G507" s="17"/>
      <c r="H507" s="17"/>
      <c r="I507" s="17"/>
      <c r="J507" s="73"/>
      <c r="K507" s="17"/>
      <c r="L507" s="17"/>
      <c r="M507" s="73"/>
      <c r="N507" s="73"/>
      <c r="O507" s="19"/>
      <c r="P507" s="15">
        <v>2</v>
      </c>
      <c r="Q507" s="16"/>
      <c r="R507" s="11" t="s">
        <v>444</v>
      </c>
      <c r="S507" s="16"/>
    </row>
    <row r="508" spans="1:19" x14ac:dyDescent="0.2">
      <c r="A508" s="17" t="s">
        <v>332</v>
      </c>
      <c r="B508" s="13">
        <v>40</v>
      </c>
      <c r="C508" s="86">
        <v>73.900000000000006</v>
      </c>
      <c r="D508" s="17"/>
      <c r="E508" s="17"/>
      <c r="F508" s="17"/>
      <c r="G508" s="17"/>
      <c r="H508" s="17"/>
      <c r="I508" s="17"/>
      <c r="J508" s="73"/>
      <c r="K508" s="17"/>
      <c r="L508" s="17"/>
      <c r="M508" s="73"/>
      <c r="N508" s="73"/>
      <c r="O508" s="19"/>
      <c r="P508" s="15">
        <v>11</v>
      </c>
      <c r="Q508" s="16"/>
      <c r="R508" s="11" t="s">
        <v>444</v>
      </c>
      <c r="S508" s="16"/>
    </row>
    <row r="509" spans="1:19" x14ac:dyDescent="0.2">
      <c r="A509" s="20" t="s">
        <v>333</v>
      </c>
      <c r="B509" s="13">
        <v>40</v>
      </c>
      <c r="C509" s="85">
        <v>78.3</v>
      </c>
      <c r="D509" s="17"/>
      <c r="E509" s="17"/>
      <c r="F509" s="17"/>
      <c r="G509" s="17"/>
      <c r="H509" s="17"/>
      <c r="I509" s="17"/>
      <c r="J509" s="73"/>
      <c r="K509" s="17"/>
      <c r="L509" s="17"/>
      <c r="M509" s="73"/>
      <c r="N509" s="73"/>
      <c r="O509" s="19"/>
      <c r="P509" s="15">
        <v>39</v>
      </c>
      <c r="Q509" s="16"/>
      <c r="R509" s="11" t="s">
        <v>444</v>
      </c>
      <c r="S509" s="16"/>
    </row>
    <row r="510" spans="1:19" x14ac:dyDescent="0.2">
      <c r="A510" s="20" t="s">
        <v>653</v>
      </c>
      <c r="B510" s="13">
        <v>40</v>
      </c>
      <c r="C510" s="85">
        <v>1113.4000000000001</v>
      </c>
      <c r="D510" s="17"/>
      <c r="E510" s="17"/>
      <c r="F510" s="17"/>
      <c r="G510" s="17"/>
      <c r="H510" s="17"/>
      <c r="I510" s="17"/>
      <c r="J510" s="73"/>
      <c r="K510" s="17"/>
      <c r="L510" s="17"/>
      <c r="M510" s="73"/>
      <c r="N510" s="73"/>
      <c r="O510" s="19"/>
      <c r="P510" s="15">
        <v>2</v>
      </c>
      <c r="Q510" s="16"/>
      <c r="R510" s="11" t="s">
        <v>764</v>
      </c>
      <c r="S510" s="16"/>
    </row>
    <row r="511" spans="1:19" x14ac:dyDescent="0.2">
      <c r="A511" s="20" t="s">
        <v>665</v>
      </c>
      <c r="B511" s="13">
        <v>40</v>
      </c>
      <c r="C511" s="85">
        <v>210.3</v>
      </c>
      <c r="D511" s="17"/>
      <c r="E511" s="17"/>
      <c r="F511" s="17"/>
      <c r="G511" s="17"/>
      <c r="H511" s="17"/>
      <c r="I511" s="17"/>
      <c r="J511" s="73"/>
      <c r="K511" s="17"/>
      <c r="L511" s="17"/>
      <c r="M511" s="73"/>
      <c r="N511" s="73"/>
      <c r="O511" s="19"/>
      <c r="P511" s="15">
        <v>5</v>
      </c>
      <c r="Q511" s="16"/>
      <c r="R511" s="11" t="s">
        <v>764</v>
      </c>
      <c r="S511" s="16"/>
    </row>
    <row r="512" spans="1:19" x14ac:dyDescent="0.2">
      <c r="A512" s="17" t="s">
        <v>334</v>
      </c>
      <c r="B512" s="13">
        <v>40</v>
      </c>
      <c r="C512" s="86">
        <v>107</v>
      </c>
      <c r="D512" s="17"/>
      <c r="E512" s="17"/>
      <c r="F512" s="17"/>
      <c r="G512" s="17"/>
      <c r="H512" s="17"/>
      <c r="I512" s="17"/>
      <c r="J512" s="73"/>
      <c r="K512" s="17"/>
      <c r="L512" s="17"/>
      <c r="M512" s="73"/>
      <c r="N512" s="73"/>
      <c r="O512" s="19"/>
      <c r="P512" s="15">
        <v>39</v>
      </c>
      <c r="Q512" s="16"/>
      <c r="R512" s="11" t="s">
        <v>445</v>
      </c>
      <c r="S512" s="16"/>
    </row>
    <row r="513" spans="1:19" x14ac:dyDescent="0.2">
      <c r="A513" s="17" t="s">
        <v>335</v>
      </c>
      <c r="B513" s="13">
        <v>40</v>
      </c>
      <c r="C513" s="86">
        <v>133.5</v>
      </c>
      <c r="D513" s="17"/>
      <c r="E513" s="17"/>
      <c r="F513" s="17"/>
      <c r="G513" s="17"/>
      <c r="H513" s="17"/>
      <c r="I513" s="17"/>
      <c r="J513" s="73"/>
      <c r="K513" s="17"/>
      <c r="L513" s="17"/>
      <c r="M513" s="73"/>
      <c r="N513" s="73"/>
      <c r="O513" s="19"/>
      <c r="P513" s="15">
        <v>310</v>
      </c>
      <c r="Q513" s="16"/>
      <c r="R513" s="11" t="s">
        <v>445</v>
      </c>
      <c r="S513" s="16"/>
    </row>
    <row r="514" spans="1:19" x14ac:dyDescent="0.2">
      <c r="A514" s="17" t="s">
        <v>654</v>
      </c>
      <c r="B514" s="13">
        <v>40</v>
      </c>
      <c r="C514" s="86">
        <v>445</v>
      </c>
      <c r="D514" s="17"/>
      <c r="E514" s="17"/>
      <c r="F514" s="17"/>
      <c r="G514" s="17"/>
      <c r="H514" s="17"/>
      <c r="I514" s="17"/>
      <c r="J514" s="73"/>
      <c r="K514" s="17"/>
      <c r="L514" s="17"/>
      <c r="M514" s="73"/>
      <c r="N514" s="73"/>
      <c r="O514" s="19"/>
      <c r="P514" s="15">
        <v>50</v>
      </c>
      <c r="Q514" s="16"/>
      <c r="R514" s="11" t="s">
        <v>764</v>
      </c>
      <c r="S514" s="16"/>
    </row>
    <row r="515" spans="1:19" x14ac:dyDescent="0.2">
      <c r="A515" s="17" t="s">
        <v>336</v>
      </c>
      <c r="B515" s="13">
        <v>40</v>
      </c>
      <c r="C515" s="86">
        <v>1643.6</v>
      </c>
      <c r="D515" s="17"/>
      <c r="E515" s="17"/>
      <c r="F515" s="17"/>
      <c r="G515" s="17"/>
      <c r="H515" s="17"/>
      <c r="I515" s="17"/>
      <c r="J515" s="73"/>
      <c r="K515" s="17"/>
      <c r="L515" s="17"/>
      <c r="M515" s="73"/>
      <c r="N515" s="73"/>
      <c r="O515" s="19"/>
      <c r="P515" s="15">
        <v>2</v>
      </c>
      <c r="Q515" s="16"/>
      <c r="R515" s="11" t="s">
        <v>444</v>
      </c>
      <c r="S515" s="16"/>
    </row>
    <row r="516" spans="1:19" x14ac:dyDescent="0.2">
      <c r="A516" s="17" t="s">
        <v>655</v>
      </c>
      <c r="B516" s="13">
        <v>40</v>
      </c>
      <c r="C516" s="86">
        <v>9432</v>
      </c>
      <c r="D516" s="17"/>
      <c r="E516" s="17"/>
      <c r="F516" s="17"/>
      <c r="G516" s="17"/>
      <c r="H516" s="17"/>
      <c r="I516" s="17"/>
      <c r="J516" s="73"/>
      <c r="K516" s="17"/>
      <c r="L516" s="17"/>
      <c r="M516" s="73"/>
      <c r="N516" s="73"/>
      <c r="O516" s="19"/>
      <c r="P516" s="15">
        <v>2</v>
      </c>
      <c r="Q516" s="16"/>
      <c r="R516" s="11" t="s">
        <v>764</v>
      </c>
      <c r="S516" s="16"/>
    </row>
    <row r="517" spans="1:19" x14ac:dyDescent="0.2">
      <c r="A517" s="17" t="s">
        <v>439</v>
      </c>
      <c r="B517" s="13">
        <v>40</v>
      </c>
      <c r="C517" s="86">
        <v>311.39999999999998</v>
      </c>
      <c r="D517" s="17"/>
      <c r="E517" s="17"/>
      <c r="F517" s="17"/>
      <c r="G517" s="17"/>
      <c r="H517" s="17"/>
      <c r="I517" s="17"/>
      <c r="J517" s="73"/>
      <c r="K517" s="17"/>
      <c r="L517" s="17"/>
      <c r="M517" s="73"/>
      <c r="N517" s="73"/>
      <c r="O517" s="19"/>
      <c r="P517" s="15">
        <v>27</v>
      </c>
      <c r="Q517" s="16"/>
      <c r="R517" s="11" t="s">
        <v>444</v>
      </c>
      <c r="S517" s="16"/>
    </row>
    <row r="518" spans="1:19" x14ac:dyDescent="0.2">
      <c r="A518" s="20" t="s">
        <v>337</v>
      </c>
      <c r="B518" s="13">
        <v>40</v>
      </c>
      <c r="C518" s="85">
        <v>113.1</v>
      </c>
      <c r="D518" s="17"/>
      <c r="E518" s="17"/>
      <c r="F518" s="17"/>
      <c r="G518" s="17"/>
      <c r="H518" s="17"/>
      <c r="I518" s="17"/>
      <c r="J518" s="73"/>
      <c r="K518" s="17"/>
      <c r="L518" s="17"/>
      <c r="M518" s="73"/>
      <c r="N518" s="73"/>
      <c r="O518" s="19"/>
      <c r="P518" s="15">
        <v>83</v>
      </c>
      <c r="Q518" s="16"/>
      <c r="R518" s="11" t="s">
        <v>444</v>
      </c>
      <c r="S518" s="16"/>
    </row>
    <row r="519" spans="1:19" x14ac:dyDescent="0.2">
      <c r="A519" s="17" t="s">
        <v>338</v>
      </c>
      <c r="B519" s="13">
        <v>40</v>
      </c>
      <c r="C519" s="86">
        <v>56.4</v>
      </c>
      <c r="D519" s="17"/>
      <c r="E519" s="17"/>
      <c r="F519" s="17"/>
      <c r="G519" s="17"/>
      <c r="H519" s="17"/>
      <c r="I519" s="17"/>
      <c r="J519" s="73"/>
      <c r="K519" s="17"/>
      <c r="L519" s="17"/>
      <c r="M519" s="73"/>
      <c r="N519" s="73"/>
      <c r="O519" s="19"/>
      <c r="P519" s="15">
        <v>67</v>
      </c>
      <c r="Q519" s="16"/>
      <c r="R519" s="11" t="s">
        <v>444</v>
      </c>
      <c r="S519" s="16"/>
    </row>
    <row r="520" spans="1:19" x14ac:dyDescent="0.2">
      <c r="A520" s="17" t="s">
        <v>339</v>
      </c>
      <c r="B520" s="11">
        <v>40</v>
      </c>
      <c r="C520" s="86">
        <v>228.1</v>
      </c>
      <c r="D520" s="17">
        <v>3806</v>
      </c>
      <c r="E520" s="17">
        <v>20</v>
      </c>
      <c r="F520" s="17">
        <v>3806</v>
      </c>
      <c r="G520" s="17">
        <v>20</v>
      </c>
      <c r="H520" s="17"/>
      <c r="I520" s="17"/>
      <c r="J520" s="73"/>
      <c r="K520" s="17"/>
      <c r="L520" s="17"/>
      <c r="M520" s="73"/>
      <c r="N520" s="73"/>
      <c r="O520" s="19"/>
      <c r="P520" s="15">
        <v>115</v>
      </c>
      <c r="Q520" s="16"/>
      <c r="R520" s="11" t="s">
        <v>445</v>
      </c>
      <c r="S520" s="16"/>
    </row>
    <row r="521" spans="1:19" x14ac:dyDescent="0.2">
      <c r="A521" s="17" t="s">
        <v>543</v>
      </c>
      <c r="B521" s="11">
        <v>40</v>
      </c>
      <c r="C521" s="86"/>
      <c r="D521" s="17"/>
      <c r="E521" s="17"/>
      <c r="F521" s="17"/>
      <c r="G521" s="17"/>
      <c r="H521" s="17"/>
      <c r="I521" s="17"/>
      <c r="J521" s="73"/>
      <c r="K521" s="17"/>
      <c r="L521" s="17"/>
      <c r="M521" s="73"/>
      <c r="N521" s="73"/>
      <c r="O521" s="19"/>
      <c r="P521" s="15">
        <v>6</v>
      </c>
      <c r="Q521" s="16"/>
      <c r="R521" s="11" t="s">
        <v>747</v>
      </c>
      <c r="S521" s="16"/>
    </row>
    <row r="522" spans="1:19" x14ac:dyDescent="0.2">
      <c r="A522" s="17" t="s">
        <v>340</v>
      </c>
      <c r="B522" s="13">
        <v>40</v>
      </c>
      <c r="C522" s="86">
        <v>171.1</v>
      </c>
      <c r="D522" s="17"/>
      <c r="E522" s="17"/>
      <c r="F522" s="17"/>
      <c r="G522" s="17"/>
      <c r="H522" s="17"/>
      <c r="I522" s="17"/>
      <c r="J522" s="73"/>
      <c r="K522" s="17"/>
      <c r="L522" s="17"/>
      <c r="M522" s="73"/>
      <c r="N522" s="73"/>
      <c r="O522" s="19"/>
      <c r="P522" s="15">
        <v>12</v>
      </c>
      <c r="Q522" s="16"/>
      <c r="R522" s="11" t="s">
        <v>444</v>
      </c>
      <c r="S522" s="16"/>
    </row>
    <row r="523" spans="1:19" x14ac:dyDescent="0.2">
      <c r="A523" s="17" t="s">
        <v>656</v>
      </c>
      <c r="B523" s="13">
        <v>40</v>
      </c>
      <c r="C523" s="86"/>
      <c r="D523" s="17"/>
      <c r="E523" s="17"/>
      <c r="F523" s="17"/>
      <c r="G523" s="17"/>
      <c r="H523" s="17"/>
      <c r="I523" s="17"/>
      <c r="J523" s="73"/>
      <c r="K523" s="17"/>
      <c r="L523" s="17"/>
      <c r="M523" s="73"/>
      <c r="N523" s="73"/>
      <c r="O523" s="19"/>
      <c r="P523" s="15">
        <v>9</v>
      </c>
      <c r="Q523" s="16"/>
      <c r="R523" s="11" t="s">
        <v>49</v>
      </c>
      <c r="S523" s="16"/>
    </row>
    <row r="524" spans="1:19" x14ac:dyDescent="0.2">
      <c r="A524" s="17" t="s">
        <v>657</v>
      </c>
      <c r="B524" s="13">
        <v>40</v>
      </c>
      <c r="C524" s="86">
        <v>79.900000000000006</v>
      </c>
      <c r="D524" s="17"/>
      <c r="E524" s="17"/>
      <c r="F524" s="17"/>
      <c r="G524" s="17"/>
      <c r="H524" s="17"/>
      <c r="I524" s="17"/>
      <c r="J524" s="73"/>
      <c r="K524" s="17"/>
      <c r="L524" s="17"/>
      <c r="M524" s="73"/>
      <c r="N524" s="73"/>
      <c r="O524" s="19"/>
      <c r="P524" s="15">
        <v>3</v>
      </c>
      <c r="Q524" s="16"/>
      <c r="R524" s="11" t="s">
        <v>49</v>
      </c>
      <c r="S524" s="16"/>
    </row>
    <row r="525" spans="1:19" x14ac:dyDescent="0.2">
      <c r="A525" s="17" t="s">
        <v>341</v>
      </c>
      <c r="B525" s="11">
        <v>40</v>
      </c>
      <c r="C525" s="86"/>
      <c r="D525" s="17">
        <v>969</v>
      </c>
      <c r="E525" s="17">
        <v>5</v>
      </c>
      <c r="F525" s="17">
        <v>969</v>
      </c>
      <c r="G525" s="17">
        <v>5</v>
      </c>
      <c r="H525" s="17"/>
      <c r="I525" s="17"/>
      <c r="J525" s="73"/>
      <c r="K525" s="17"/>
      <c r="L525" s="17"/>
      <c r="M525" s="73"/>
      <c r="N525" s="73"/>
      <c r="O525" s="19"/>
      <c r="P525" s="15">
        <v>0</v>
      </c>
      <c r="Q525" s="16"/>
      <c r="R525" s="11" t="s">
        <v>444</v>
      </c>
      <c r="S525" s="16"/>
    </row>
    <row r="526" spans="1:19" x14ac:dyDescent="0.2">
      <c r="A526" s="17" t="s">
        <v>342</v>
      </c>
      <c r="B526" s="11">
        <v>40</v>
      </c>
      <c r="C526" s="86">
        <v>83.7</v>
      </c>
      <c r="D526" s="17"/>
      <c r="E526" s="17"/>
      <c r="F526" s="17"/>
      <c r="G526" s="17"/>
      <c r="H526" s="17"/>
      <c r="I526" s="17"/>
      <c r="J526" s="73"/>
      <c r="K526" s="17"/>
      <c r="L526" s="17"/>
      <c r="M526" s="73"/>
      <c r="N526" s="73"/>
      <c r="O526" s="19"/>
      <c r="P526" s="15">
        <v>8</v>
      </c>
      <c r="Q526" s="16"/>
      <c r="R526" s="11" t="s">
        <v>444</v>
      </c>
      <c r="S526" s="16"/>
    </row>
    <row r="527" spans="1:19" x14ac:dyDescent="0.2">
      <c r="A527" s="17" t="s">
        <v>343</v>
      </c>
      <c r="B527" s="13">
        <v>40</v>
      </c>
      <c r="C527" s="86">
        <v>3898</v>
      </c>
      <c r="D527" s="17"/>
      <c r="E527" s="17"/>
      <c r="F527" s="17"/>
      <c r="G527" s="17"/>
      <c r="H527" s="17"/>
      <c r="I527" s="17"/>
      <c r="J527" s="73"/>
      <c r="K527" s="17"/>
      <c r="L527" s="17"/>
      <c r="M527" s="73"/>
      <c r="N527" s="73"/>
      <c r="O527" s="19"/>
      <c r="P527" s="15">
        <v>31</v>
      </c>
      <c r="Q527" s="16"/>
      <c r="R527" s="11" t="s">
        <v>444</v>
      </c>
      <c r="S527" s="16"/>
    </row>
    <row r="528" spans="1:19" x14ac:dyDescent="0.2">
      <c r="A528" s="17" t="s">
        <v>667</v>
      </c>
      <c r="B528" s="13">
        <v>40</v>
      </c>
      <c r="C528" s="86">
        <v>473.1</v>
      </c>
      <c r="D528" s="17"/>
      <c r="E528" s="17"/>
      <c r="F528" s="17"/>
      <c r="G528" s="17"/>
      <c r="H528" s="17"/>
      <c r="I528" s="17"/>
      <c r="J528" s="73"/>
      <c r="K528" s="17"/>
      <c r="L528" s="17"/>
      <c r="M528" s="73"/>
      <c r="N528" s="73"/>
      <c r="O528" s="19"/>
      <c r="P528" s="15">
        <v>12</v>
      </c>
      <c r="Q528" s="16"/>
      <c r="R528" s="11" t="s">
        <v>752</v>
      </c>
      <c r="S528" s="16"/>
    </row>
    <row r="529" spans="1:19" x14ac:dyDescent="0.2">
      <c r="A529" s="17" t="s">
        <v>658</v>
      </c>
      <c r="B529" s="13">
        <v>40</v>
      </c>
      <c r="C529" s="86">
        <v>2068.3000000000002</v>
      </c>
      <c r="D529" s="17"/>
      <c r="E529" s="17"/>
      <c r="F529" s="17"/>
      <c r="G529" s="17"/>
      <c r="H529" s="17"/>
      <c r="I529" s="17"/>
      <c r="J529" s="73"/>
      <c r="K529" s="17"/>
      <c r="L529" s="17"/>
      <c r="M529" s="73"/>
      <c r="N529" s="73"/>
      <c r="O529" s="19"/>
      <c r="P529" s="15">
        <v>13</v>
      </c>
      <c r="Q529" s="16"/>
      <c r="R529" s="11" t="s">
        <v>747</v>
      </c>
      <c r="S529" s="16"/>
    </row>
    <row r="530" spans="1:19" x14ac:dyDescent="0.2">
      <c r="A530" s="17" t="s">
        <v>659</v>
      </c>
      <c r="B530" s="13">
        <v>40</v>
      </c>
      <c r="C530" s="86">
        <v>1352.3</v>
      </c>
      <c r="D530" s="17"/>
      <c r="E530" s="17"/>
      <c r="F530" s="17"/>
      <c r="G530" s="17"/>
      <c r="H530" s="17"/>
      <c r="I530" s="17"/>
      <c r="J530" s="73"/>
      <c r="K530" s="17"/>
      <c r="L530" s="17"/>
      <c r="M530" s="73"/>
      <c r="N530" s="73"/>
      <c r="O530" s="19"/>
      <c r="P530" s="15">
        <v>17</v>
      </c>
      <c r="Q530" s="16"/>
      <c r="R530" s="11" t="s">
        <v>747</v>
      </c>
      <c r="S530" s="16"/>
    </row>
    <row r="531" spans="1:19" x14ac:dyDescent="0.2">
      <c r="A531" s="17" t="s">
        <v>344</v>
      </c>
      <c r="B531" s="13">
        <v>40</v>
      </c>
      <c r="C531" s="86">
        <v>50.8</v>
      </c>
      <c r="D531" s="17"/>
      <c r="E531" s="17"/>
      <c r="F531" s="17"/>
      <c r="G531" s="17"/>
      <c r="H531" s="17"/>
      <c r="I531" s="17"/>
      <c r="J531" s="73"/>
      <c r="K531" s="17"/>
      <c r="L531" s="17"/>
      <c r="M531" s="73"/>
      <c r="N531" s="73"/>
      <c r="O531" s="19"/>
      <c r="P531" s="15">
        <v>102</v>
      </c>
      <c r="Q531" s="16"/>
      <c r="R531" s="11" t="s">
        <v>444</v>
      </c>
      <c r="S531" s="16"/>
    </row>
    <row r="532" spans="1:19" x14ac:dyDescent="0.2">
      <c r="A532" s="20" t="s">
        <v>345</v>
      </c>
      <c r="B532" s="13">
        <v>40</v>
      </c>
      <c r="C532" s="85">
        <v>49.3</v>
      </c>
      <c r="D532" s="17"/>
      <c r="E532" s="17"/>
      <c r="F532" s="17"/>
      <c r="G532" s="17"/>
      <c r="H532" s="17"/>
      <c r="I532" s="17"/>
      <c r="J532" s="73"/>
      <c r="K532" s="17"/>
      <c r="L532" s="17"/>
      <c r="M532" s="73"/>
      <c r="N532" s="73"/>
      <c r="O532" s="19"/>
      <c r="P532" s="15">
        <v>36</v>
      </c>
      <c r="Q532" s="16"/>
      <c r="R532" s="11" t="s">
        <v>444</v>
      </c>
      <c r="S532" s="16"/>
    </row>
    <row r="533" spans="1:19" x14ac:dyDescent="0.2">
      <c r="A533" s="20" t="s">
        <v>346</v>
      </c>
      <c r="B533" s="13">
        <v>40</v>
      </c>
      <c r="C533" s="85">
        <v>52.6</v>
      </c>
      <c r="D533" s="17"/>
      <c r="E533" s="17"/>
      <c r="F533" s="17"/>
      <c r="G533" s="17"/>
      <c r="H533" s="17"/>
      <c r="I533" s="17"/>
      <c r="J533" s="73"/>
      <c r="K533" s="17"/>
      <c r="L533" s="17"/>
      <c r="M533" s="73"/>
      <c r="N533" s="73"/>
      <c r="O533" s="19"/>
      <c r="P533" s="15">
        <v>21</v>
      </c>
      <c r="Q533" s="16"/>
      <c r="R533" s="11" t="s">
        <v>444</v>
      </c>
      <c r="S533" s="16"/>
    </row>
    <row r="534" spans="1:19" x14ac:dyDescent="0.2">
      <c r="A534" s="20" t="s">
        <v>347</v>
      </c>
      <c r="B534" s="21">
        <v>40</v>
      </c>
      <c r="C534" s="89">
        <v>82.4</v>
      </c>
      <c r="D534" s="17"/>
      <c r="E534" s="17"/>
      <c r="F534" s="17"/>
      <c r="G534" s="17"/>
      <c r="H534" s="17"/>
      <c r="I534" s="17"/>
      <c r="J534" s="73"/>
      <c r="K534" s="17"/>
      <c r="L534" s="17"/>
      <c r="M534" s="73"/>
      <c r="N534" s="73"/>
      <c r="O534" s="19"/>
      <c r="P534" s="15">
        <v>45</v>
      </c>
      <c r="Q534" s="16"/>
      <c r="R534" s="11" t="s">
        <v>444</v>
      </c>
      <c r="S534" s="16"/>
    </row>
    <row r="535" spans="1:19" x14ac:dyDescent="0.2">
      <c r="A535" s="17" t="s">
        <v>348</v>
      </c>
      <c r="B535" s="11">
        <v>40</v>
      </c>
      <c r="C535" s="86">
        <v>109</v>
      </c>
      <c r="D535" s="17">
        <v>581</v>
      </c>
      <c r="E535" s="17">
        <v>10</v>
      </c>
      <c r="F535" s="17">
        <v>581</v>
      </c>
      <c r="G535" s="17">
        <v>10</v>
      </c>
      <c r="H535" s="17"/>
      <c r="I535" s="17"/>
      <c r="J535" s="73"/>
      <c r="K535" s="17"/>
      <c r="L535" s="17"/>
      <c r="M535" s="73"/>
      <c r="N535" s="73"/>
      <c r="O535" s="19"/>
      <c r="P535" s="15">
        <v>22</v>
      </c>
      <c r="Q535" s="16"/>
      <c r="R535" s="11" t="s">
        <v>444</v>
      </c>
      <c r="S535" s="16"/>
    </row>
    <row r="536" spans="1:19" x14ac:dyDescent="0.2">
      <c r="A536" s="20" t="s">
        <v>349</v>
      </c>
      <c r="B536" s="13">
        <v>40</v>
      </c>
      <c r="C536" s="85">
        <v>62.8</v>
      </c>
      <c r="D536" s="17"/>
      <c r="E536" s="17"/>
      <c r="F536" s="17"/>
      <c r="G536" s="17"/>
      <c r="H536" s="17"/>
      <c r="I536" s="17"/>
      <c r="J536" s="73"/>
      <c r="K536" s="17"/>
      <c r="L536" s="17"/>
      <c r="M536" s="73"/>
      <c r="N536" s="73"/>
      <c r="O536" s="19"/>
      <c r="P536" s="15">
        <v>4</v>
      </c>
      <c r="Q536" s="16"/>
      <c r="R536" s="11" t="s">
        <v>444</v>
      </c>
      <c r="S536" s="16"/>
    </row>
    <row r="537" spans="1:19" x14ac:dyDescent="0.2">
      <c r="A537" s="57" t="s">
        <v>662</v>
      </c>
      <c r="B537" s="51">
        <v>40</v>
      </c>
      <c r="C537" s="87"/>
      <c r="D537" s="53"/>
      <c r="E537" s="53"/>
      <c r="F537" s="53"/>
      <c r="G537" s="53"/>
      <c r="H537" s="53"/>
      <c r="I537" s="53"/>
      <c r="J537" s="82"/>
      <c r="K537" s="53"/>
      <c r="L537" s="53"/>
      <c r="M537" s="82"/>
      <c r="N537" s="82"/>
      <c r="O537" s="54"/>
      <c r="P537" s="30">
        <v>10</v>
      </c>
      <c r="Q537" s="55"/>
      <c r="R537" s="56" t="s">
        <v>764</v>
      </c>
      <c r="S537" s="55"/>
    </row>
    <row r="538" spans="1:19" x14ac:dyDescent="0.2">
      <c r="A538" s="17" t="s">
        <v>350</v>
      </c>
      <c r="B538" s="13">
        <v>40</v>
      </c>
      <c r="C538" s="86">
        <v>50.2</v>
      </c>
      <c r="D538" s="17"/>
      <c r="E538" s="17"/>
      <c r="F538" s="17"/>
      <c r="G538" s="17"/>
      <c r="H538" s="17"/>
      <c r="I538" s="17"/>
      <c r="J538" s="73"/>
      <c r="K538" s="17"/>
      <c r="L538" s="17"/>
      <c r="M538" s="73"/>
      <c r="N538" s="73"/>
      <c r="O538" s="19"/>
      <c r="P538" s="15">
        <v>8</v>
      </c>
      <c r="Q538" s="16"/>
      <c r="R538" s="11" t="s">
        <v>444</v>
      </c>
      <c r="S538" s="16"/>
    </row>
    <row r="539" spans="1:19" x14ac:dyDescent="0.2">
      <c r="A539" s="17" t="s">
        <v>351</v>
      </c>
      <c r="B539" s="13">
        <v>40</v>
      </c>
      <c r="C539" s="86">
        <v>58.7</v>
      </c>
      <c r="D539" s="17"/>
      <c r="E539" s="17"/>
      <c r="F539" s="17"/>
      <c r="G539" s="17"/>
      <c r="H539" s="17"/>
      <c r="I539" s="17"/>
      <c r="J539" s="73"/>
      <c r="K539" s="17"/>
      <c r="L539" s="17"/>
      <c r="M539" s="73"/>
      <c r="N539" s="73"/>
      <c r="O539" s="19"/>
      <c r="P539" s="15">
        <v>33</v>
      </c>
      <c r="Q539" s="16"/>
      <c r="R539" s="11" t="s">
        <v>444</v>
      </c>
      <c r="S539" s="16"/>
    </row>
    <row r="540" spans="1:19" x14ac:dyDescent="0.2">
      <c r="A540" s="17" t="s">
        <v>352</v>
      </c>
      <c r="B540" s="13">
        <v>40</v>
      </c>
      <c r="C540" s="86">
        <v>133.6</v>
      </c>
      <c r="D540" s="17"/>
      <c r="E540" s="17"/>
      <c r="F540" s="17"/>
      <c r="G540" s="17"/>
      <c r="H540" s="17"/>
      <c r="I540" s="17"/>
      <c r="J540" s="73"/>
      <c r="K540" s="17"/>
      <c r="L540" s="17"/>
      <c r="M540" s="73"/>
      <c r="N540" s="73"/>
      <c r="O540" s="19"/>
      <c r="P540" s="15">
        <v>10</v>
      </c>
      <c r="Q540" s="16"/>
      <c r="R540" s="11" t="s">
        <v>444</v>
      </c>
      <c r="S540" s="16"/>
    </row>
    <row r="541" spans="1:19" x14ac:dyDescent="0.2">
      <c r="A541" s="17" t="s">
        <v>353</v>
      </c>
      <c r="B541" s="13">
        <v>40</v>
      </c>
      <c r="C541" s="86">
        <v>88.1</v>
      </c>
      <c r="D541" s="17"/>
      <c r="E541" s="17"/>
      <c r="F541" s="17"/>
      <c r="G541" s="17"/>
      <c r="H541" s="17"/>
      <c r="I541" s="17"/>
      <c r="J541" s="73"/>
      <c r="K541" s="17"/>
      <c r="L541" s="17"/>
      <c r="M541" s="73"/>
      <c r="N541" s="73"/>
      <c r="O541" s="19"/>
      <c r="P541" s="15">
        <v>16</v>
      </c>
      <c r="Q541" s="16"/>
      <c r="R541" s="11" t="s">
        <v>444</v>
      </c>
      <c r="S541" s="16"/>
    </row>
    <row r="542" spans="1:19" x14ac:dyDescent="0.2">
      <c r="A542" s="20" t="s">
        <v>354</v>
      </c>
      <c r="B542" s="13">
        <v>40</v>
      </c>
      <c r="C542" s="85">
        <v>1257.5999999999999</v>
      </c>
      <c r="D542" s="17"/>
      <c r="E542" s="17"/>
      <c r="F542" s="17"/>
      <c r="G542" s="17"/>
      <c r="H542" s="17"/>
      <c r="I542" s="17"/>
      <c r="J542" s="73"/>
      <c r="K542" s="17"/>
      <c r="L542" s="17"/>
      <c r="M542" s="73"/>
      <c r="N542" s="73"/>
      <c r="O542" s="19"/>
      <c r="P542" s="15">
        <v>6</v>
      </c>
      <c r="Q542" s="16"/>
      <c r="R542" s="11" t="s">
        <v>444</v>
      </c>
      <c r="S542" s="16"/>
    </row>
    <row r="543" spans="1:19" x14ac:dyDescent="0.2">
      <c r="A543" s="17" t="s">
        <v>355</v>
      </c>
      <c r="B543" s="26">
        <v>40</v>
      </c>
      <c r="C543" s="194">
        <v>46.6</v>
      </c>
      <c r="D543" s="28">
        <v>1464</v>
      </c>
      <c r="E543" s="17" t="s">
        <v>83</v>
      </c>
      <c r="F543" s="17" t="s">
        <v>95</v>
      </c>
      <c r="G543" s="29" t="s">
        <v>356</v>
      </c>
      <c r="H543" s="17">
        <v>50</v>
      </c>
      <c r="I543" s="17" t="s">
        <v>86</v>
      </c>
      <c r="J543" s="73"/>
      <c r="K543" s="17"/>
      <c r="L543" s="17"/>
      <c r="M543" s="73"/>
      <c r="N543" s="73"/>
      <c r="O543" s="19"/>
      <c r="P543" s="15">
        <v>19</v>
      </c>
      <c r="Q543" s="16"/>
      <c r="R543" s="11" t="s">
        <v>444</v>
      </c>
      <c r="S543" s="16"/>
    </row>
    <row r="544" spans="1:19" x14ac:dyDescent="0.2">
      <c r="A544" s="15" t="s">
        <v>433</v>
      </c>
      <c r="B544" s="13">
        <v>40</v>
      </c>
      <c r="C544" s="85">
        <v>142.4</v>
      </c>
      <c r="D544" s="17"/>
      <c r="E544" s="17"/>
      <c r="F544" s="17"/>
      <c r="G544" s="17"/>
      <c r="H544" s="17"/>
      <c r="I544" s="17"/>
      <c r="J544" s="73"/>
      <c r="K544" s="17"/>
      <c r="L544" s="17"/>
      <c r="M544" s="73"/>
      <c r="N544" s="73"/>
      <c r="O544" s="19"/>
      <c r="P544" s="15">
        <v>5</v>
      </c>
      <c r="Q544" s="16"/>
      <c r="R544" s="11" t="s">
        <v>49</v>
      </c>
      <c r="S544" s="16"/>
    </row>
    <row r="545" spans="1:19" x14ac:dyDescent="0.2">
      <c r="A545" s="15" t="s">
        <v>751</v>
      </c>
      <c r="B545" s="13">
        <v>40</v>
      </c>
      <c r="C545" s="85"/>
      <c r="D545" s="17"/>
      <c r="E545" s="17"/>
      <c r="F545" s="17"/>
      <c r="G545" s="17"/>
      <c r="H545" s="17"/>
      <c r="I545" s="17"/>
      <c r="J545" s="73"/>
      <c r="K545" s="17"/>
      <c r="L545" s="17"/>
      <c r="M545" s="73"/>
      <c r="N545" s="73"/>
      <c r="O545" s="19"/>
      <c r="P545" s="15">
        <v>10</v>
      </c>
      <c r="Q545" s="16"/>
      <c r="R545" s="11" t="s">
        <v>49</v>
      </c>
      <c r="S545" s="16"/>
    </row>
    <row r="546" spans="1:19" x14ac:dyDescent="0.2">
      <c r="A546" s="20" t="s">
        <v>663</v>
      </c>
      <c r="B546" s="13">
        <v>40</v>
      </c>
      <c r="C546" s="85">
        <v>613.6</v>
      </c>
      <c r="D546" s="17"/>
      <c r="E546" s="17"/>
      <c r="F546" s="17"/>
      <c r="G546" s="17"/>
      <c r="H546" s="17"/>
      <c r="I546" s="17"/>
      <c r="J546" s="73"/>
      <c r="K546" s="17"/>
      <c r="L546" s="17"/>
      <c r="M546" s="73"/>
      <c r="N546" s="73"/>
      <c r="O546" s="19"/>
      <c r="P546" s="15">
        <v>21</v>
      </c>
      <c r="Q546" s="16"/>
      <c r="R546" s="11" t="s">
        <v>49</v>
      </c>
      <c r="S546" s="16"/>
    </row>
    <row r="547" spans="1:19" x14ac:dyDescent="0.2">
      <c r="A547" s="17" t="s">
        <v>357</v>
      </c>
      <c r="B547" s="13">
        <v>40</v>
      </c>
      <c r="C547" s="86">
        <v>296.8</v>
      </c>
      <c r="D547" s="17"/>
      <c r="E547" s="17"/>
      <c r="F547" s="17"/>
      <c r="G547" s="17"/>
      <c r="H547" s="17"/>
      <c r="I547" s="17"/>
      <c r="J547" s="73"/>
      <c r="K547" s="17"/>
      <c r="L547" s="17"/>
      <c r="M547" s="73"/>
      <c r="N547" s="73"/>
      <c r="O547" s="19"/>
      <c r="P547" s="15">
        <v>83</v>
      </c>
      <c r="Q547" s="16"/>
      <c r="R547" s="11" t="s">
        <v>444</v>
      </c>
      <c r="S547" s="16"/>
    </row>
    <row r="548" spans="1:19" x14ac:dyDescent="0.2">
      <c r="A548" s="17" t="s">
        <v>358</v>
      </c>
      <c r="B548" s="13">
        <v>40</v>
      </c>
      <c r="C548" s="86">
        <v>784</v>
      </c>
      <c r="D548" s="17"/>
      <c r="E548" s="17"/>
      <c r="F548" s="17"/>
      <c r="G548" s="17"/>
      <c r="H548" s="17"/>
      <c r="I548" s="17"/>
      <c r="J548" s="73"/>
      <c r="K548" s="17"/>
      <c r="L548" s="17"/>
      <c r="M548" s="73"/>
      <c r="N548" s="73"/>
      <c r="O548" s="19"/>
      <c r="P548" s="15">
        <v>68</v>
      </c>
      <c r="Q548" s="16"/>
      <c r="R548" s="11" t="s">
        <v>444</v>
      </c>
      <c r="S548" s="16"/>
    </row>
    <row r="549" spans="1:19" x14ac:dyDescent="0.2">
      <c r="A549" s="17" t="s">
        <v>749</v>
      </c>
      <c r="B549" s="13">
        <v>40</v>
      </c>
      <c r="C549" s="86"/>
      <c r="D549" s="17"/>
      <c r="E549" s="17"/>
      <c r="F549" s="17"/>
      <c r="G549" s="17"/>
      <c r="H549" s="17"/>
      <c r="I549" s="17"/>
      <c r="J549" s="73"/>
      <c r="K549" s="17"/>
      <c r="L549" s="17"/>
      <c r="M549" s="73"/>
      <c r="N549" s="73"/>
      <c r="O549" s="19"/>
      <c r="P549" s="15">
        <v>67</v>
      </c>
      <c r="Q549" s="16"/>
      <c r="R549" s="11" t="s">
        <v>49</v>
      </c>
      <c r="S549" s="16"/>
    </row>
    <row r="550" spans="1:19" x14ac:dyDescent="0.2">
      <c r="A550" s="17" t="s">
        <v>359</v>
      </c>
      <c r="B550" s="11">
        <v>40</v>
      </c>
      <c r="C550" s="86">
        <v>223.6</v>
      </c>
      <c r="D550" s="17">
        <v>2935</v>
      </c>
      <c r="E550" s="17">
        <v>20</v>
      </c>
      <c r="F550" s="17">
        <v>2935</v>
      </c>
      <c r="G550" s="17">
        <v>20</v>
      </c>
      <c r="H550" s="17"/>
      <c r="I550" s="17"/>
      <c r="J550" s="73"/>
      <c r="K550" s="17"/>
      <c r="L550" s="17"/>
      <c r="M550" s="73"/>
      <c r="N550" s="73"/>
      <c r="O550" s="19"/>
      <c r="P550" s="15">
        <v>145</v>
      </c>
      <c r="Q550" s="16"/>
      <c r="R550" s="11" t="s">
        <v>445</v>
      </c>
      <c r="S550" s="16"/>
    </row>
    <row r="551" spans="1:19" x14ac:dyDescent="0.2">
      <c r="A551" s="17" t="s">
        <v>360</v>
      </c>
      <c r="B551" s="11">
        <v>40</v>
      </c>
      <c r="C551" s="86">
        <v>248.6</v>
      </c>
      <c r="D551" s="17">
        <v>3437</v>
      </c>
      <c r="E551" s="17">
        <v>20</v>
      </c>
      <c r="F551" s="17">
        <v>3437</v>
      </c>
      <c r="G551" s="17">
        <v>20</v>
      </c>
      <c r="H551" s="17"/>
      <c r="I551" s="17"/>
      <c r="J551" s="73"/>
      <c r="K551" s="17"/>
      <c r="L551" s="17"/>
      <c r="M551" s="73"/>
      <c r="N551" s="73"/>
      <c r="O551" s="19"/>
      <c r="P551" s="15">
        <v>182</v>
      </c>
      <c r="Q551" s="16"/>
      <c r="R551" s="11" t="s">
        <v>445</v>
      </c>
      <c r="S551" s="16"/>
    </row>
    <row r="552" spans="1:19" x14ac:dyDescent="0.2">
      <c r="A552" s="17" t="s">
        <v>361</v>
      </c>
      <c r="B552" s="13">
        <v>40</v>
      </c>
      <c r="C552" s="86">
        <v>185.4</v>
      </c>
      <c r="D552" s="17"/>
      <c r="E552" s="17"/>
      <c r="F552" s="17"/>
      <c r="G552" s="17"/>
      <c r="H552" s="17"/>
      <c r="I552" s="17"/>
      <c r="J552" s="73"/>
      <c r="K552" s="17"/>
      <c r="L552" s="17"/>
      <c r="M552" s="73"/>
      <c r="N552" s="73"/>
      <c r="O552" s="19"/>
      <c r="P552" s="15">
        <v>62</v>
      </c>
      <c r="Q552" s="16"/>
      <c r="R552" s="11" t="s">
        <v>444</v>
      </c>
      <c r="S552" s="16"/>
    </row>
    <row r="553" spans="1:19" x14ac:dyDescent="0.2">
      <c r="A553" s="17" t="s">
        <v>362</v>
      </c>
      <c r="B553" s="11">
        <v>40</v>
      </c>
      <c r="C553" s="86"/>
      <c r="D553" s="17">
        <v>860</v>
      </c>
      <c r="E553" s="17">
        <v>10</v>
      </c>
      <c r="F553" s="17">
        <v>860</v>
      </c>
      <c r="G553" s="17">
        <v>10</v>
      </c>
      <c r="H553" s="17"/>
      <c r="I553" s="17"/>
      <c r="J553" s="73"/>
      <c r="K553" s="17"/>
      <c r="L553" s="17"/>
      <c r="M553" s="73"/>
      <c r="N553" s="73"/>
      <c r="O553" s="19"/>
      <c r="P553" s="15">
        <v>1</v>
      </c>
      <c r="Q553" s="16"/>
      <c r="R553" s="11" t="s">
        <v>49</v>
      </c>
      <c r="S553" s="16"/>
    </row>
    <row r="554" spans="1:19" x14ac:dyDescent="0.2">
      <c r="A554" s="53" t="s">
        <v>715</v>
      </c>
      <c r="B554" s="11">
        <v>40</v>
      </c>
      <c r="C554" s="86">
        <v>511.3</v>
      </c>
      <c r="D554" s="17"/>
      <c r="E554" s="17"/>
      <c r="F554" s="17"/>
      <c r="G554" s="17"/>
      <c r="H554" s="17"/>
      <c r="I554" s="17"/>
      <c r="J554" s="73"/>
      <c r="K554" s="17"/>
      <c r="L554" s="17"/>
      <c r="M554" s="73"/>
      <c r="N554" s="73"/>
      <c r="O554" s="19"/>
      <c r="P554" s="15">
        <v>66</v>
      </c>
      <c r="Q554" s="16"/>
      <c r="R554" s="11" t="s">
        <v>49</v>
      </c>
      <c r="S554" s="16"/>
    </row>
    <row r="555" spans="1:19" x14ac:dyDescent="0.2">
      <c r="A555" s="53" t="s">
        <v>748</v>
      </c>
      <c r="B555" s="11"/>
      <c r="C555" s="86"/>
      <c r="D555" s="17"/>
      <c r="E555" s="17"/>
      <c r="F555" s="17"/>
      <c r="G555" s="17"/>
      <c r="H555" s="17"/>
      <c r="I555" s="17"/>
      <c r="J555" s="73"/>
      <c r="K555" s="17"/>
      <c r="L555" s="17"/>
      <c r="M555" s="73"/>
      <c r="N555" s="73"/>
      <c r="O555" s="19"/>
      <c r="P555" s="15">
        <v>9</v>
      </c>
      <c r="Q555" s="16"/>
      <c r="R555" s="11" t="s">
        <v>445</v>
      </c>
      <c r="S555" s="16"/>
    </row>
    <row r="556" spans="1:19" x14ac:dyDescent="0.2">
      <c r="A556" s="17" t="s">
        <v>660</v>
      </c>
      <c r="B556" s="11">
        <v>40</v>
      </c>
      <c r="C556" s="86">
        <v>16120</v>
      </c>
      <c r="D556" s="17"/>
      <c r="E556" s="17"/>
      <c r="F556" s="17"/>
      <c r="G556" s="17"/>
      <c r="H556" s="17"/>
      <c r="I556" s="17"/>
      <c r="J556" s="73"/>
      <c r="K556" s="17"/>
      <c r="L556" s="17"/>
      <c r="M556" s="73"/>
      <c r="N556" s="73"/>
      <c r="O556" s="19"/>
      <c r="P556" s="15">
        <v>1</v>
      </c>
      <c r="Q556" s="16"/>
      <c r="R556" s="11" t="s">
        <v>747</v>
      </c>
      <c r="S556" s="16"/>
    </row>
    <row r="557" spans="1:19" x14ac:dyDescent="0.2">
      <c r="A557" s="17" t="s">
        <v>666</v>
      </c>
      <c r="B557" s="11">
        <v>40</v>
      </c>
      <c r="C557" s="86">
        <v>186</v>
      </c>
      <c r="D557" s="17"/>
      <c r="E557" s="17"/>
      <c r="F557" s="17"/>
      <c r="G557" s="17"/>
      <c r="H557" s="17"/>
      <c r="I557" s="17"/>
      <c r="J557" s="73"/>
      <c r="K557" s="17"/>
      <c r="L557" s="17"/>
      <c r="M557" s="73"/>
      <c r="N557" s="73"/>
      <c r="O557" s="19"/>
      <c r="P557" s="15">
        <v>8</v>
      </c>
      <c r="Q557" s="16"/>
      <c r="R557" s="11" t="s">
        <v>747</v>
      </c>
      <c r="S557" s="16"/>
    </row>
    <row r="558" spans="1:19" x14ac:dyDescent="0.2">
      <c r="A558" s="17" t="s">
        <v>661</v>
      </c>
      <c r="B558" s="11">
        <v>40</v>
      </c>
      <c r="C558" s="86">
        <v>629.4</v>
      </c>
      <c r="D558" s="17"/>
      <c r="E558" s="17"/>
      <c r="F558" s="17"/>
      <c r="G558" s="17"/>
      <c r="H558" s="17"/>
      <c r="I558" s="17"/>
      <c r="J558" s="73"/>
      <c r="K558" s="17"/>
      <c r="L558" s="17"/>
      <c r="M558" s="73"/>
      <c r="N558" s="73"/>
      <c r="O558" s="19"/>
      <c r="P558" s="15">
        <v>38</v>
      </c>
      <c r="Q558" s="16"/>
      <c r="R558" s="11" t="s">
        <v>747</v>
      </c>
      <c r="S558" s="16"/>
    </row>
    <row r="559" spans="1:19" x14ac:dyDescent="0.2">
      <c r="A559" s="20" t="s">
        <v>363</v>
      </c>
      <c r="B559" s="13">
        <v>40</v>
      </c>
      <c r="C559" s="85">
        <v>50.8</v>
      </c>
      <c r="D559" s="17"/>
      <c r="E559" s="17"/>
      <c r="F559" s="17"/>
      <c r="G559" s="17"/>
      <c r="H559" s="17"/>
      <c r="I559" s="17"/>
      <c r="J559" s="73"/>
      <c r="K559" s="17"/>
      <c r="L559" s="17"/>
      <c r="M559" s="73"/>
      <c r="N559" s="73"/>
      <c r="O559" s="19"/>
      <c r="P559" s="15">
        <v>11</v>
      </c>
      <c r="Q559" s="16"/>
      <c r="R559" s="11" t="s">
        <v>444</v>
      </c>
      <c r="S559" s="16"/>
    </row>
    <row r="560" spans="1:19" x14ac:dyDescent="0.2">
      <c r="A560" s="17" t="s">
        <v>364</v>
      </c>
      <c r="B560" s="11">
        <v>40</v>
      </c>
      <c r="C560" s="86">
        <v>201.3</v>
      </c>
      <c r="D560" s="17">
        <v>2634</v>
      </c>
      <c r="E560" s="17">
        <v>10</v>
      </c>
      <c r="F560" s="17">
        <v>2634</v>
      </c>
      <c r="G560" s="17">
        <v>10</v>
      </c>
      <c r="H560" s="17"/>
      <c r="I560" s="17"/>
      <c r="J560" s="73"/>
      <c r="K560" s="17"/>
      <c r="L560" s="17"/>
      <c r="M560" s="73"/>
      <c r="N560" s="73"/>
      <c r="O560" s="19"/>
      <c r="P560" s="15">
        <v>17</v>
      </c>
      <c r="Q560" s="16"/>
      <c r="R560" s="11" t="s">
        <v>444</v>
      </c>
      <c r="S560" s="16"/>
    </row>
    <row r="561" spans="1:19" x14ac:dyDescent="0.2">
      <c r="A561" s="17" t="s">
        <v>674</v>
      </c>
      <c r="B561" s="11">
        <v>40</v>
      </c>
      <c r="C561" s="86">
        <v>1270.5</v>
      </c>
      <c r="D561" s="17"/>
      <c r="E561" s="17"/>
      <c r="F561" s="17"/>
      <c r="G561" s="17"/>
      <c r="H561" s="17"/>
      <c r="I561" s="17"/>
      <c r="J561" s="73"/>
      <c r="K561" s="17"/>
      <c r="L561" s="17"/>
      <c r="M561" s="73"/>
      <c r="N561" s="73"/>
      <c r="O561" s="19"/>
      <c r="P561" s="15">
        <v>49</v>
      </c>
      <c r="Q561" s="16"/>
      <c r="R561" s="11" t="s">
        <v>752</v>
      </c>
      <c r="S561" s="16"/>
    </row>
    <row r="562" spans="1:19" x14ac:dyDescent="0.2">
      <c r="A562" s="17" t="s">
        <v>675</v>
      </c>
      <c r="B562" s="11">
        <v>40</v>
      </c>
      <c r="C562" s="86">
        <v>1658.6</v>
      </c>
      <c r="D562" s="17"/>
      <c r="E562" s="17"/>
      <c r="F562" s="17"/>
      <c r="G562" s="17"/>
      <c r="H562" s="17"/>
      <c r="I562" s="17"/>
      <c r="J562" s="73"/>
      <c r="K562" s="17"/>
      <c r="L562" s="17"/>
      <c r="M562" s="73"/>
      <c r="N562" s="73"/>
      <c r="O562" s="19"/>
      <c r="P562" s="15">
        <v>39</v>
      </c>
      <c r="Q562" s="16"/>
      <c r="R562" s="11" t="s">
        <v>752</v>
      </c>
      <c r="S562" s="16"/>
    </row>
    <row r="563" spans="1:19" x14ac:dyDescent="0.2">
      <c r="A563" s="20" t="s">
        <v>365</v>
      </c>
      <c r="B563" s="13">
        <v>40</v>
      </c>
      <c r="C563" s="85">
        <v>576.79999999999995</v>
      </c>
      <c r="D563" s="17"/>
      <c r="E563" s="17"/>
      <c r="F563" s="17"/>
      <c r="G563" s="17"/>
      <c r="H563" s="17"/>
      <c r="I563" s="17"/>
      <c r="J563" s="73"/>
      <c r="K563" s="17"/>
      <c r="L563" s="17"/>
      <c r="M563" s="73"/>
      <c r="N563" s="73"/>
      <c r="O563" s="19"/>
      <c r="P563" s="15">
        <v>71</v>
      </c>
      <c r="Q563" s="16"/>
      <c r="R563" s="11" t="s">
        <v>444</v>
      </c>
      <c r="S563" s="16"/>
    </row>
    <row r="564" spans="1:19" x14ac:dyDescent="0.2">
      <c r="A564" s="20" t="s">
        <v>366</v>
      </c>
      <c r="B564" s="13">
        <v>40</v>
      </c>
      <c r="C564" s="85"/>
      <c r="D564" s="17"/>
      <c r="E564" s="17"/>
      <c r="F564" s="17"/>
      <c r="G564" s="17"/>
      <c r="H564" s="17"/>
      <c r="I564" s="17"/>
      <c r="J564" s="73"/>
      <c r="K564" s="17"/>
      <c r="L564" s="17"/>
      <c r="M564" s="73"/>
      <c r="N564" s="73"/>
      <c r="O564" s="19"/>
      <c r="P564" s="15">
        <v>14</v>
      </c>
      <c r="Q564" s="16"/>
      <c r="R564" s="11" t="s">
        <v>444</v>
      </c>
      <c r="S564" s="16"/>
    </row>
    <row r="565" spans="1:19" x14ac:dyDescent="0.2">
      <c r="A565" s="17" t="s">
        <v>669</v>
      </c>
      <c r="B565" s="13">
        <v>40</v>
      </c>
      <c r="C565" s="86">
        <v>117.5</v>
      </c>
      <c r="D565" s="17"/>
      <c r="E565" s="17"/>
      <c r="F565" s="17"/>
      <c r="G565" s="17"/>
      <c r="H565" s="17"/>
      <c r="I565" s="17"/>
      <c r="J565" s="73"/>
      <c r="K565" s="17"/>
      <c r="L565" s="17"/>
      <c r="M565" s="73"/>
      <c r="N565" s="73"/>
      <c r="O565" s="19"/>
      <c r="P565" s="15">
        <v>75</v>
      </c>
      <c r="Q565" s="16"/>
      <c r="R565" s="11" t="s">
        <v>444</v>
      </c>
      <c r="S565" s="16"/>
    </row>
    <row r="566" spans="1:19" x14ac:dyDescent="0.2">
      <c r="A566" s="17" t="s">
        <v>670</v>
      </c>
      <c r="B566" s="13">
        <v>40</v>
      </c>
      <c r="C566" s="86">
        <v>55.2</v>
      </c>
      <c r="D566" s="17"/>
      <c r="E566" s="17"/>
      <c r="F566" s="17"/>
      <c r="G566" s="17"/>
      <c r="H566" s="17"/>
      <c r="I566" s="17"/>
      <c r="J566" s="73"/>
      <c r="K566" s="17"/>
      <c r="L566" s="17"/>
      <c r="M566" s="73"/>
      <c r="N566" s="73"/>
      <c r="O566" s="19"/>
      <c r="P566" s="15">
        <v>30</v>
      </c>
      <c r="Q566" s="16"/>
      <c r="R566" s="11" t="s">
        <v>444</v>
      </c>
      <c r="S566" s="16"/>
    </row>
    <row r="567" spans="1:19" x14ac:dyDescent="0.2">
      <c r="A567" s="17" t="s">
        <v>367</v>
      </c>
      <c r="B567" s="13">
        <v>40</v>
      </c>
      <c r="C567" s="86">
        <v>86.4</v>
      </c>
      <c r="D567" s="17"/>
      <c r="E567" s="17"/>
      <c r="F567" s="17"/>
      <c r="G567" s="17"/>
      <c r="H567" s="17"/>
      <c r="I567" s="17"/>
      <c r="J567" s="73"/>
      <c r="K567" s="17"/>
      <c r="L567" s="17"/>
      <c r="M567" s="73"/>
      <c r="N567" s="73"/>
      <c r="O567" s="19"/>
      <c r="P567" s="15">
        <v>126</v>
      </c>
      <c r="Q567" s="16"/>
      <c r="R567" s="11" t="s">
        <v>444</v>
      </c>
      <c r="S567" s="16"/>
    </row>
    <row r="568" spans="1:19" x14ac:dyDescent="0.2">
      <c r="A568" s="17" t="s">
        <v>368</v>
      </c>
      <c r="B568" s="13">
        <v>40</v>
      </c>
      <c r="C568" s="86">
        <v>86.4</v>
      </c>
      <c r="D568" s="17"/>
      <c r="E568" s="17"/>
      <c r="F568" s="17"/>
      <c r="G568" s="17"/>
      <c r="H568" s="17"/>
      <c r="I568" s="17"/>
      <c r="J568" s="73"/>
      <c r="K568" s="17"/>
      <c r="L568" s="17"/>
      <c r="M568" s="73"/>
      <c r="N568" s="73"/>
      <c r="O568" s="19"/>
      <c r="P568" s="15">
        <v>50</v>
      </c>
      <c r="Q568" s="16"/>
      <c r="R568" s="11" t="s">
        <v>444</v>
      </c>
      <c r="S568" s="16"/>
    </row>
    <row r="569" spans="1:19" x14ac:dyDescent="0.2">
      <c r="A569" s="17" t="s">
        <v>369</v>
      </c>
      <c r="B569" s="13">
        <v>40</v>
      </c>
      <c r="C569" s="86">
        <v>188.9</v>
      </c>
      <c r="D569" s="17"/>
      <c r="E569" s="17"/>
      <c r="F569" s="17"/>
      <c r="G569" s="17"/>
      <c r="H569" s="17"/>
      <c r="I569" s="17"/>
      <c r="J569" s="73"/>
      <c r="K569" s="17"/>
      <c r="L569" s="17"/>
      <c r="M569" s="73"/>
      <c r="N569" s="73"/>
      <c r="O569" s="19"/>
      <c r="P569" s="15">
        <v>21</v>
      </c>
      <c r="Q569" s="16"/>
      <c r="R569" s="11" t="s">
        <v>444</v>
      </c>
      <c r="S569" s="16"/>
    </row>
    <row r="570" spans="1:19" x14ac:dyDescent="0.2">
      <c r="A570" s="17" t="s">
        <v>370</v>
      </c>
      <c r="B570" s="13">
        <v>40</v>
      </c>
      <c r="C570" s="86">
        <v>188.9</v>
      </c>
      <c r="D570" s="17"/>
      <c r="E570" s="17"/>
      <c r="F570" s="17"/>
      <c r="G570" s="17"/>
      <c r="H570" s="17"/>
      <c r="I570" s="17"/>
      <c r="J570" s="73"/>
      <c r="K570" s="17"/>
      <c r="L570" s="17"/>
      <c r="M570" s="73"/>
      <c r="N570" s="73"/>
      <c r="O570" s="19"/>
      <c r="P570" s="15">
        <v>19</v>
      </c>
      <c r="Q570" s="16"/>
      <c r="R570" s="11" t="s">
        <v>445</v>
      </c>
      <c r="S570" s="16"/>
    </row>
    <row r="571" spans="1:19" x14ac:dyDescent="0.2">
      <c r="A571" s="17" t="s">
        <v>371</v>
      </c>
      <c r="B571" s="13">
        <v>40</v>
      </c>
      <c r="C571" s="86">
        <v>196.9</v>
      </c>
      <c r="D571" s="17"/>
      <c r="E571" s="17"/>
      <c r="F571" s="17"/>
      <c r="G571" s="17"/>
      <c r="H571" s="17"/>
      <c r="I571" s="17"/>
      <c r="J571" s="73"/>
      <c r="K571" s="17"/>
      <c r="L571" s="17"/>
      <c r="M571" s="73"/>
      <c r="N571" s="73"/>
      <c r="O571" s="19"/>
      <c r="P571" s="15">
        <v>39</v>
      </c>
      <c r="Q571" s="16"/>
      <c r="R571" s="11" t="s">
        <v>445</v>
      </c>
      <c r="S571" s="16"/>
    </row>
    <row r="572" spans="1:19" x14ac:dyDescent="0.2">
      <c r="A572" s="17" t="s">
        <v>372</v>
      </c>
      <c r="B572" s="13">
        <v>40</v>
      </c>
      <c r="C572" s="86">
        <v>381.6</v>
      </c>
      <c r="D572" s="17"/>
      <c r="E572" s="17"/>
      <c r="F572" s="17"/>
      <c r="G572" s="17"/>
      <c r="H572" s="17"/>
      <c r="I572" s="17"/>
      <c r="J572" s="73"/>
      <c r="K572" s="17"/>
      <c r="L572" s="17"/>
      <c r="M572" s="73"/>
      <c r="N572" s="73"/>
      <c r="O572" s="19"/>
      <c r="P572" s="15">
        <v>20</v>
      </c>
      <c r="Q572" s="16"/>
      <c r="R572" s="11" t="s">
        <v>444</v>
      </c>
      <c r="S572" s="16"/>
    </row>
    <row r="573" spans="1:19" x14ac:dyDescent="0.2">
      <c r="A573" s="17" t="s">
        <v>373</v>
      </c>
      <c r="B573" s="11">
        <v>40</v>
      </c>
      <c r="C573" s="86">
        <v>55.2</v>
      </c>
      <c r="D573" s="17"/>
      <c r="E573" s="17"/>
      <c r="F573" s="17"/>
      <c r="G573" s="17"/>
      <c r="H573" s="17"/>
      <c r="I573" s="17"/>
      <c r="J573" s="73"/>
      <c r="K573" s="17"/>
      <c r="L573" s="17"/>
      <c r="M573" s="73"/>
      <c r="N573" s="73"/>
      <c r="O573" s="19"/>
      <c r="P573" s="15">
        <v>34</v>
      </c>
      <c r="Q573" s="16"/>
      <c r="R573" s="11" t="s">
        <v>444</v>
      </c>
      <c r="S573" s="16"/>
    </row>
    <row r="574" spans="1:19" x14ac:dyDescent="0.2">
      <c r="A574" s="17" t="s">
        <v>375</v>
      </c>
      <c r="B574" s="13">
        <v>50</v>
      </c>
      <c r="C574" s="86"/>
      <c r="D574" s="17"/>
      <c r="E574" s="17"/>
      <c r="F574" s="17"/>
      <c r="G574" s="17"/>
      <c r="H574" s="17"/>
      <c r="I574" s="17"/>
      <c r="J574" s="73"/>
      <c r="K574" s="17"/>
      <c r="L574" s="17"/>
      <c r="M574" s="73"/>
      <c r="N574" s="73"/>
      <c r="O574" s="19"/>
      <c r="P574" s="15">
        <v>0</v>
      </c>
      <c r="Q574" s="16"/>
      <c r="R574" s="11" t="s">
        <v>444</v>
      </c>
      <c r="S574" s="16"/>
    </row>
    <row r="575" spans="1:19" x14ac:dyDescent="0.2">
      <c r="A575" s="17" t="s">
        <v>672</v>
      </c>
      <c r="B575" s="13">
        <v>50</v>
      </c>
      <c r="C575" s="86">
        <v>71.400000000000006</v>
      </c>
      <c r="D575" s="17"/>
      <c r="E575" s="17"/>
      <c r="F575" s="17"/>
      <c r="G575" s="17"/>
      <c r="H575" s="17"/>
      <c r="I575" s="17"/>
      <c r="J575" s="73"/>
      <c r="K575" s="17"/>
      <c r="L575" s="17"/>
      <c r="M575" s="73"/>
      <c r="N575" s="73"/>
      <c r="O575" s="19"/>
      <c r="P575" s="15">
        <v>58</v>
      </c>
      <c r="Q575" s="16"/>
      <c r="R575" s="11" t="s">
        <v>49</v>
      </c>
      <c r="S575" s="16"/>
    </row>
    <row r="576" spans="1:19" x14ac:dyDescent="0.2">
      <c r="A576" s="17" t="s">
        <v>753</v>
      </c>
      <c r="B576" s="13">
        <v>50</v>
      </c>
      <c r="C576" s="86"/>
      <c r="D576" s="17"/>
      <c r="E576" s="17"/>
      <c r="F576" s="17"/>
      <c r="G576" s="17"/>
      <c r="H576" s="17"/>
      <c r="I576" s="17"/>
      <c r="J576" s="73"/>
      <c r="K576" s="17"/>
      <c r="L576" s="17"/>
      <c r="M576" s="73"/>
      <c r="N576" s="73"/>
      <c r="O576" s="19"/>
      <c r="P576" s="15">
        <v>1</v>
      </c>
      <c r="Q576" s="16"/>
      <c r="R576" s="11" t="s">
        <v>49</v>
      </c>
      <c r="S576" s="16"/>
    </row>
    <row r="577" spans="1:19" x14ac:dyDescent="0.2">
      <c r="A577" s="17" t="s">
        <v>376</v>
      </c>
      <c r="B577" s="13">
        <v>50</v>
      </c>
      <c r="C577" s="86">
        <v>28.8</v>
      </c>
      <c r="D577" s="17"/>
      <c r="E577" s="17"/>
      <c r="F577" s="17"/>
      <c r="G577" s="17"/>
      <c r="H577" s="17"/>
      <c r="I577" s="17"/>
      <c r="J577" s="73"/>
      <c r="K577" s="17"/>
      <c r="L577" s="17"/>
      <c r="M577" s="73"/>
      <c r="N577" s="73"/>
      <c r="O577" s="19"/>
      <c r="P577" s="15">
        <v>60</v>
      </c>
      <c r="Q577" s="16"/>
      <c r="R577" s="11" t="s">
        <v>441</v>
      </c>
      <c r="S577" s="16"/>
    </row>
    <row r="578" spans="1:19" x14ac:dyDescent="0.2">
      <c r="A578" s="20" t="s">
        <v>377</v>
      </c>
      <c r="B578" s="13">
        <v>50</v>
      </c>
      <c r="C578" s="85">
        <v>5.3</v>
      </c>
      <c r="D578" s="17"/>
      <c r="E578" s="17"/>
      <c r="F578" s="17"/>
      <c r="G578" s="17"/>
      <c r="H578" s="17"/>
      <c r="I578" s="17"/>
      <c r="J578" s="73"/>
      <c r="K578" s="17"/>
      <c r="L578" s="17"/>
      <c r="M578" s="73"/>
      <c r="N578" s="73"/>
      <c r="O578" s="19"/>
      <c r="P578" s="15">
        <v>1</v>
      </c>
      <c r="Q578" s="16"/>
      <c r="R578" s="11" t="s">
        <v>444</v>
      </c>
      <c r="S578" s="16"/>
    </row>
    <row r="579" spans="1:19" x14ac:dyDescent="0.2">
      <c r="A579" s="17" t="s">
        <v>378</v>
      </c>
      <c r="B579" s="13">
        <v>50</v>
      </c>
      <c r="C579" s="86">
        <v>17.8</v>
      </c>
      <c r="D579" s="17"/>
      <c r="E579" s="17"/>
      <c r="F579" s="17"/>
      <c r="G579" s="17"/>
      <c r="H579" s="17"/>
      <c r="I579" s="17"/>
      <c r="J579" s="73"/>
      <c r="K579" s="17"/>
      <c r="L579" s="17"/>
      <c r="M579" s="73"/>
      <c r="N579" s="73"/>
      <c r="O579" s="19"/>
      <c r="P579" s="15">
        <v>50</v>
      </c>
      <c r="Q579" s="16"/>
      <c r="R579" s="11" t="s">
        <v>441</v>
      </c>
      <c r="S579" s="16"/>
    </row>
    <row r="580" spans="1:19" x14ac:dyDescent="0.2">
      <c r="A580" s="17" t="s">
        <v>673</v>
      </c>
      <c r="B580" s="13">
        <v>50</v>
      </c>
      <c r="C580" s="86">
        <v>2498</v>
      </c>
      <c r="D580" s="17"/>
      <c r="E580" s="17"/>
      <c r="F580" s="17"/>
      <c r="G580" s="17"/>
      <c r="H580" s="17"/>
      <c r="I580" s="17"/>
      <c r="J580" s="73"/>
      <c r="K580" s="17"/>
      <c r="L580" s="17"/>
      <c r="M580" s="73"/>
      <c r="N580" s="73"/>
      <c r="O580" s="19"/>
      <c r="P580" s="15">
        <v>0</v>
      </c>
      <c r="Q580" s="16"/>
      <c r="R580" s="11" t="s">
        <v>747</v>
      </c>
      <c r="S580" s="16"/>
    </row>
    <row r="581" spans="1:19" x14ac:dyDescent="0.2">
      <c r="A581" s="17" t="s">
        <v>676</v>
      </c>
      <c r="B581" s="13">
        <v>50</v>
      </c>
      <c r="C581" s="86">
        <v>1864.5</v>
      </c>
      <c r="D581" s="17"/>
      <c r="E581" s="17"/>
      <c r="F581" s="17"/>
      <c r="G581" s="17"/>
      <c r="H581" s="17"/>
      <c r="I581" s="17"/>
      <c r="J581" s="73"/>
      <c r="K581" s="17"/>
      <c r="L581" s="17"/>
      <c r="M581" s="73"/>
      <c r="N581" s="73"/>
      <c r="O581" s="19"/>
      <c r="P581" s="15">
        <v>3</v>
      </c>
      <c r="Q581" s="16"/>
      <c r="R581" s="11" t="s">
        <v>747</v>
      </c>
      <c r="S581" s="16"/>
    </row>
    <row r="582" spans="1:19" x14ac:dyDescent="0.2">
      <c r="A582" s="20" t="s">
        <v>379</v>
      </c>
      <c r="B582" s="13">
        <v>50</v>
      </c>
      <c r="C582" s="85">
        <v>1177</v>
      </c>
      <c r="D582" s="17"/>
      <c r="E582" s="17"/>
      <c r="F582" s="17"/>
      <c r="G582" s="17"/>
      <c r="H582" s="17"/>
      <c r="I582" s="17"/>
      <c r="J582" s="73"/>
      <c r="K582" s="17"/>
      <c r="L582" s="17"/>
      <c r="M582" s="73"/>
      <c r="N582" s="73"/>
      <c r="O582" s="19"/>
      <c r="P582" s="15">
        <v>5</v>
      </c>
      <c r="Q582" s="16"/>
      <c r="R582" s="11" t="s">
        <v>444</v>
      </c>
      <c r="S582" s="16"/>
    </row>
    <row r="583" spans="1:19" x14ac:dyDescent="0.2">
      <c r="A583" s="20" t="s">
        <v>671</v>
      </c>
      <c r="B583" s="13">
        <v>50</v>
      </c>
      <c r="C583" s="85">
        <v>51.7</v>
      </c>
      <c r="D583" s="17"/>
      <c r="E583" s="17"/>
      <c r="F583" s="17"/>
      <c r="G583" s="17"/>
      <c r="H583" s="17"/>
      <c r="I583" s="17"/>
      <c r="J583" s="73"/>
      <c r="K583" s="17"/>
      <c r="L583" s="17"/>
      <c r="M583" s="73"/>
      <c r="N583" s="73"/>
      <c r="O583" s="19"/>
      <c r="P583" s="15">
        <v>18</v>
      </c>
      <c r="Q583" s="16"/>
      <c r="R583" s="11" t="s">
        <v>49</v>
      </c>
      <c r="S583" s="16"/>
    </row>
    <row r="584" spans="1:19" x14ac:dyDescent="0.2">
      <c r="A584" s="17" t="s">
        <v>380</v>
      </c>
      <c r="B584" s="11">
        <v>50</v>
      </c>
      <c r="C584" s="86">
        <v>220.9</v>
      </c>
      <c r="D584" s="17">
        <v>3045</v>
      </c>
      <c r="E584" s="17">
        <v>10</v>
      </c>
      <c r="F584" s="17">
        <v>3045</v>
      </c>
      <c r="G584" s="17">
        <v>10</v>
      </c>
      <c r="H584" s="17"/>
      <c r="I584" s="17"/>
      <c r="J584" s="73"/>
      <c r="K584" s="17"/>
      <c r="L584" s="17"/>
      <c r="M584" s="73"/>
      <c r="N584" s="73"/>
      <c r="O584" s="19"/>
      <c r="P584" s="15">
        <v>1</v>
      </c>
      <c r="Q584" s="16"/>
      <c r="R584" s="11" t="s">
        <v>444</v>
      </c>
      <c r="S584" s="16"/>
    </row>
    <row r="585" spans="1:19" x14ac:dyDescent="0.2">
      <c r="A585" s="17" t="s">
        <v>381</v>
      </c>
      <c r="B585" s="11">
        <v>50</v>
      </c>
      <c r="C585" s="86">
        <v>1135</v>
      </c>
      <c r="D585" s="17">
        <v>3437</v>
      </c>
      <c r="E585" s="17">
        <v>2</v>
      </c>
      <c r="F585" s="17">
        <v>3437</v>
      </c>
      <c r="G585" s="17">
        <v>2</v>
      </c>
      <c r="H585" s="17"/>
      <c r="I585" s="17"/>
      <c r="J585" s="73"/>
      <c r="K585" s="17"/>
      <c r="L585" s="17"/>
      <c r="M585" s="73"/>
      <c r="N585" s="73"/>
      <c r="O585" s="19"/>
      <c r="P585" s="15">
        <v>7</v>
      </c>
      <c r="Q585" s="16"/>
      <c r="R585" s="11" t="s">
        <v>444</v>
      </c>
      <c r="S585" s="16"/>
    </row>
    <row r="586" spans="1:19" x14ac:dyDescent="0.2">
      <c r="A586" s="20" t="s">
        <v>382</v>
      </c>
      <c r="B586" s="13">
        <v>50</v>
      </c>
      <c r="C586" s="85"/>
      <c r="D586" s="17"/>
      <c r="E586" s="17"/>
      <c r="F586" s="17"/>
      <c r="G586" s="17"/>
      <c r="H586" s="17"/>
      <c r="I586" s="17"/>
      <c r="J586" s="73"/>
      <c r="K586" s="17"/>
      <c r="L586" s="17"/>
      <c r="M586" s="73"/>
      <c r="N586" s="73"/>
      <c r="O586" s="19"/>
      <c r="P586" s="15">
        <v>1</v>
      </c>
      <c r="Q586" s="16"/>
      <c r="R586" s="11" t="s">
        <v>444</v>
      </c>
      <c r="S586" s="16"/>
    </row>
    <row r="587" spans="1:19" x14ac:dyDescent="0.2">
      <c r="A587" s="17" t="s">
        <v>383</v>
      </c>
      <c r="B587" s="13">
        <v>50</v>
      </c>
      <c r="C587" s="86">
        <v>1122</v>
      </c>
      <c r="D587" s="17"/>
      <c r="E587" s="17"/>
      <c r="F587" s="17"/>
      <c r="G587" s="17"/>
      <c r="H587" s="17"/>
      <c r="I587" s="17"/>
      <c r="J587" s="73"/>
      <c r="K587" s="17"/>
      <c r="L587" s="17"/>
      <c r="M587" s="73"/>
      <c r="N587" s="73"/>
      <c r="O587" s="19"/>
      <c r="P587" s="15">
        <v>5</v>
      </c>
      <c r="Q587" s="16"/>
      <c r="R587" s="11" t="s">
        <v>444</v>
      </c>
      <c r="S587" s="16"/>
    </row>
    <row r="588" spans="1:19" x14ac:dyDescent="0.2">
      <c r="A588" s="17" t="s">
        <v>384</v>
      </c>
      <c r="B588" s="13">
        <v>50</v>
      </c>
      <c r="C588" s="86">
        <v>20572</v>
      </c>
      <c r="D588" s="17"/>
      <c r="E588" s="17"/>
      <c r="F588" s="17"/>
      <c r="G588" s="17"/>
      <c r="H588" s="17"/>
      <c r="I588" s="17"/>
      <c r="J588" s="73"/>
      <c r="K588" s="17"/>
      <c r="L588" s="17"/>
      <c r="M588" s="73"/>
      <c r="N588" s="73"/>
      <c r="O588" s="19"/>
      <c r="P588" s="15">
        <v>1</v>
      </c>
      <c r="Q588" s="16"/>
      <c r="R588" s="11" t="s">
        <v>444</v>
      </c>
      <c r="S588" s="16"/>
    </row>
    <row r="589" spans="1:19" x14ac:dyDescent="0.2">
      <c r="A589" s="17" t="s">
        <v>385</v>
      </c>
      <c r="B589" s="13">
        <v>50</v>
      </c>
      <c r="C589" s="86">
        <v>27073</v>
      </c>
      <c r="D589" s="17"/>
      <c r="E589" s="17"/>
      <c r="F589" s="17"/>
      <c r="G589" s="17"/>
      <c r="H589" s="17"/>
      <c r="I589" s="17"/>
      <c r="J589" s="73"/>
      <c r="K589" s="17"/>
      <c r="L589" s="17"/>
      <c r="M589" s="73"/>
      <c r="N589" s="73"/>
      <c r="O589" s="19"/>
      <c r="P589" s="15">
        <v>1</v>
      </c>
      <c r="Q589" s="16"/>
      <c r="R589" s="11" t="s">
        <v>444</v>
      </c>
      <c r="S589" s="16"/>
    </row>
    <row r="590" spans="1:19" x14ac:dyDescent="0.2">
      <c r="A590" s="17" t="s">
        <v>386</v>
      </c>
      <c r="B590" s="13">
        <v>50</v>
      </c>
      <c r="C590" s="86">
        <v>32902</v>
      </c>
      <c r="D590" s="17"/>
      <c r="E590" s="17"/>
      <c r="F590" s="17"/>
      <c r="G590" s="17"/>
      <c r="H590" s="17"/>
      <c r="I590" s="17"/>
      <c r="J590" s="73"/>
      <c r="K590" s="17"/>
      <c r="L590" s="17"/>
      <c r="M590" s="73"/>
      <c r="N590" s="73"/>
      <c r="O590" s="19"/>
      <c r="P590" s="15">
        <v>1</v>
      </c>
      <c r="Q590" s="16"/>
      <c r="R590" s="11" t="s">
        <v>444</v>
      </c>
      <c r="S590" s="16"/>
    </row>
    <row r="591" spans="1:19" x14ac:dyDescent="0.2">
      <c r="A591" s="17" t="s">
        <v>387</v>
      </c>
      <c r="B591" s="13">
        <v>50</v>
      </c>
      <c r="C591" s="86">
        <v>60.4</v>
      </c>
      <c r="D591" s="17"/>
      <c r="E591" s="17"/>
      <c r="F591" s="17"/>
      <c r="G591" s="17"/>
      <c r="H591" s="17"/>
      <c r="I591" s="17"/>
      <c r="J591" s="73"/>
      <c r="K591" s="17"/>
      <c r="L591" s="17"/>
      <c r="M591" s="73"/>
      <c r="N591" s="73"/>
      <c r="O591" s="19"/>
      <c r="P591" s="15">
        <v>31</v>
      </c>
      <c r="Q591" s="16"/>
      <c r="R591" s="11" t="s">
        <v>444</v>
      </c>
      <c r="S591" s="16"/>
    </row>
    <row r="592" spans="1:19" x14ac:dyDescent="0.2">
      <c r="A592" s="20" t="s">
        <v>531</v>
      </c>
      <c r="B592" s="11">
        <v>51</v>
      </c>
      <c r="C592" s="86">
        <v>8.6999999999999993</v>
      </c>
      <c r="D592" s="17"/>
      <c r="E592" s="17"/>
      <c r="F592" s="17"/>
      <c r="G592" s="17"/>
      <c r="H592" s="17"/>
      <c r="I592" s="17"/>
      <c r="J592" s="73"/>
      <c r="K592" s="17"/>
      <c r="L592" s="17"/>
      <c r="M592" s="73"/>
      <c r="N592" s="73"/>
      <c r="O592" s="19"/>
      <c r="P592" s="15">
        <v>141</v>
      </c>
      <c r="Q592" s="16"/>
      <c r="R592" s="11" t="s">
        <v>445</v>
      </c>
      <c r="S592" s="16"/>
    </row>
    <row r="593" spans="1:19" x14ac:dyDescent="0.2">
      <c r="A593" s="20" t="s">
        <v>532</v>
      </c>
      <c r="B593" s="11">
        <v>51</v>
      </c>
      <c r="C593" s="86">
        <v>8.6999999999999993</v>
      </c>
      <c r="D593" s="17"/>
      <c r="E593" s="17"/>
      <c r="F593" s="17"/>
      <c r="G593" s="17"/>
      <c r="H593" s="17"/>
      <c r="I593" s="17"/>
      <c r="J593" s="73"/>
      <c r="K593" s="17"/>
      <c r="L593" s="17"/>
      <c r="M593" s="73"/>
      <c r="N593" s="73"/>
      <c r="O593" s="19"/>
      <c r="P593" s="15">
        <v>159</v>
      </c>
      <c r="Q593" s="16"/>
      <c r="R593" s="11" t="s">
        <v>445</v>
      </c>
      <c r="S593" s="16"/>
    </row>
    <row r="594" spans="1:19" x14ac:dyDescent="0.2">
      <c r="A594" s="20" t="s">
        <v>388</v>
      </c>
      <c r="B594" s="21">
        <v>51</v>
      </c>
      <c r="C594" s="89">
        <v>14.4</v>
      </c>
      <c r="D594" s="17"/>
      <c r="E594" s="17"/>
      <c r="F594" s="17"/>
      <c r="G594" s="17"/>
      <c r="H594" s="17"/>
      <c r="I594" s="17"/>
      <c r="J594" s="73"/>
      <c r="K594" s="17"/>
      <c r="L594" s="17"/>
      <c r="M594" s="73"/>
      <c r="N594" s="73"/>
      <c r="O594" s="19"/>
      <c r="P594" s="15">
        <v>1</v>
      </c>
      <c r="Q594" s="16"/>
      <c r="R594" s="11" t="s">
        <v>49</v>
      </c>
      <c r="S594" s="16"/>
    </row>
    <row r="595" spans="1:19" x14ac:dyDescent="0.2">
      <c r="A595" s="17" t="s">
        <v>432</v>
      </c>
      <c r="B595" s="21">
        <v>51</v>
      </c>
      <c r="C595" s="89">
        <v>10.3</v>
      </c>
      <c r="D595" s="17"/>
      <c r="E595" s="17"/>
      <c r="F595" s="17"/>
      <c r="G595" s="17"/>
      <c r="H595" s="17"/>
      <c r="I595" s="17"/>
      <c r="J595" s="73"/>
      <c r="K595" s="17"/>
      <c r="L595" s="17"/>
      <c r="M595" s="73"/>
      <c r="N595" s="73"/>
      <c r="O595" s="19"/>
      <c r="P595" s="15">
        <v>58</v>
      </c>
      <c r="Q595" s="16"/>
      <c r="R595" s="11" t="s">
        <v>445</v>
      </c>
      <c r="S595" s="16"/>
    </row>
    <row r="596" spans="1:19" x14ac:dyDescent="0.2">
      <c r="A596" s="20" t="s">
        <v>389</v>
      </c>
      <c r="B596" s="21">
        <v>51</v>
      </c>
      <c r="C596" s="89">
        <v>6.8</v>
      </c>
      <c r="D596" s="17"/>
      <c r="E596" s="17"/>
      <c r="F596" s="17"/>
      <c r="G596" s="17"/>
      <c r="H596" s="17"/>
      <c r="I596" s="17"/>
      <c r="J596" s="73"/>
      <c r="K596" s="17"/>
      <c r="L596" s="17"/>
      <c r="M596" s="73"/>
      <c r="N596" s="73"/>
      <c r="O596" s="19"/>
      <c r="P596" s="15">
        <v>0</v>
      </c>
      <c r="Q596" s="16"/>
      <c r="R596" s="11" t="s">
        <v>444</v>
      </c>
      <c r="S596" s="16"/>
    </row>
    <row r="597" spans="1:19" x14ac:dyDescent="0.2">
      <c r="A597" s="20" t="s">
        <v>390</v>
      </c>
      <c r="B597" s="11">
        <v>51</v>
      </c>
      <c r="C597" s="86"/>
      <c r="D597" s="17"/>
      <c r="E597" s="17"/>
      <c r="F597" s="17"/>
      <c r="G597" s="17"/>
      <c r="H597" s="17"/>
      <c r="I597" s="17"/>
      <c r="J597" s="73"/>
      <c r="K597" s="17"/>
      <c r="L597" s="17"/>
      <c r="M597" s="73"/>
      <c r="N597" s="73"/>
      <c r="O597" s="19"/>
      <c r="P597" s="15">
        <v>0</v>
      </c>
      <c r="Q597" s="16"/>
      <c r="R597" s="11" t="s">
        <v>444</v>
      </c>
      <c r="S597" s="16"/>
    </row>
    <row r="598" spans="1:19" x14ac:dyDescent="0.2">
      <c r="A598" s="17" t="s">
        <v>391</v>
      </c>
      <c r="B598" s="11">
        <v>51</v>
      </c>
      <c r="C598" s="86">
        <v>48.8</v>
      </c>
      <c r="D598" s="17">
        <v>1245</v>
      </c>
      <c r="E598" s="17">
        <v>24</v>
      </c>
      <c r="F598" s="17">
        <v>1245</v>
      </c>
      <c r="G598" s="17">
        <v>24</v>
      </c>
      <c r="H598" s="17"/>
      <c r="I598" s="17"/>
      <c r="J598" s="73"/>
      <c r="K598" s="17"/>
      <c r="L598" s="17"/>
      <c r="M598" s="73"/>
      <c r="N598" s="73"/>
      <c r="O598" s="19"/>
      <c r="P598" s="15">
        <v>0</v>
      </c>
      <c r="Q598" s="16"/>
      <c r="R598" s="11" t="s">
        <v>444</v>
      </c>
      <c r="S598" s="16"/>
    </row>
    <row r="599" spans="1:19" x14ac:dyDescent="0.2">
      <c r="A599" s="20" t="s">
        <v>392</v>
      </c>
      <c r="B599" s="11">
        <v>51</v>
      </c>
      <c r="C599" s="86">
        <v>15.2</v>
      </c>
      <c r="D599" s="17"/>
      <c r="E599" s="17"/>
      <c r="F599" s="17"/>
      <c r="G599" s="17"/>
      <c r="H599" s="17"/>
      <c r="I599" s="17"/>
      <c r="J599" s="73"/>
      <c r="K599" s="17"/>
      <c r="L599" s="17"/>
      <c r="M599" s="73"/>
      <c r="N599" s="73"/>
      <c r="O599" s="19"/>
      <c r="P599" s="15">
        <v>26</v>
      </c>
      <c r="Q599" s="16"/>
      <c r="R599" s="11" t="s">
        <v>445</v>
      </c>
      <c r="S599" s="16"/>
    </row>
    <row r="600" spans="1:19" x14ac:dyDescent="0.2">
      <c r="A600" s="20" t="s">
        <v>754</v>
      </c>
      <c r="B600" s="11">
        <v>51</v>
      </c>
      <c r="C600" s="86"/>
      <c r="D600" s="17"/>
      <c r="E600" s="17"/>
      <c r="F600" s="17"/>
      <c r="G600" s="17"/>
      <c r="H600" s="17"/>
      <c r="I600" s="17"/>
      <c r="J600" s="73"/>
      <c r="K600" s="17"/>
      <c r="L600" s="17"/>
      <c r="M600" s="73"/>
      <c r="N600" s="73"/>
      <c r="O600" s="19"/>
      <c r="P600" s="15">
        <v>1</v>
      </c>
      <c r="Q600" s="16"/>
      <c r="R600" s="11" t="s">
        <v>747</v>
      </c>
      <c r="S600" s="16"/>
    </row>
    <row r="601" spans="1:19" x14ac:dyDescent="0.2">
      <c r="A601" s="17" t="s">
        <v>393</v>
      </c>
      <c r="B601" s="13">
        <v>51</v>
      </c>
      <c r="C601" s="86">
        <v>14.4</v>
      </c>
      <c r="D601" s="17"/>
      <c r="E601" s="17"/>
      <c r="F601" s="17"/>
      <c r="G601" s="17"/>
      <c r="H601" s="17"/>
      <c r="I601" s="17"/>
      <c r="J601" s="73"/>
      <c r="K601" s="17"/>
      <c r="L601" s="17"/>
      <c r="M601" s="73"/>
      <c r="N601" s="73"/>
      <c r="O601" s="19"/>
      <c r="P601" s="15">
        <v>179</v>
      </c>
      <c r="Q601" s="16"/>
      <c r="R601" s="11" t="s">
        <v>445</v>
      </c>
      <c r="S601" s="16"/>
    </row>
    <row r="602" spans="1:19" x14ac:dyDescent="0.2">
      <c r="A602" s="17" t="s">
        <v>394</v>
      </c>
      <c r="B602" s="11">
        <v>60</v>
      </c>
      <c r="C602" s="86">
        <v>4.3</v>
      </c>
      <c r="D602" s="17">
        <v>194</v>
      </c>
      <c r="E602" s="17">
        <v>50</v>
      </c>
      <c r="F602" s="17">
        <v>194</v>
      </c>
      <c r="G602" s="17">
        <v>50</v>
      </c>
      <c r="H602" s="17"/>
      <c r="I602" s="17"/>
      <c r="J602" s="73"/>
      <c r="K602" s="17"/>
      <c r="L602" s="17"/>
      <c r="M602" s="73"/>
      <c r="N602" s="73"/>
      <c r="O602" s="19"/>
      <c r="P602" s="15">
        <v>20</v>
      </c>
      <c r="Q602" s="16"/>
      <c r="R602" s="11" t="s">
        <v>49</v>
      </c>
      <c r="S602" s="16"/>
    </row>
    <row r="603" spans="1:19" x14ac:dyDescent="0.2">
      <c r="A603" s="17" t="s">
        <v>677</v>
      </c>
      <c r="B603" s="11">
        <v>60</v>
      </c>
      <c r="C603" s="86">
        <v>35.700000000000003</v>
      </c>
      <c r="D603" s="17"/>
      <c r="E603" s="17"/>
      <c r="F603" s="17"/>
      <c r="G603" s="17"/>
      <c r="H603" s="17"/>
      <c r="I603" s="17"/>
      <c r="J603" s="73"/>
      <c r="K603" s="17"/>
      <c r="L603" s="17"/>
      <c r="M603" s="73"/>
      <c r="N603" s="73"/>
      <c r="O603" s="19"/>
      <c r="P603" s="15">
        <v>1</v>
      </c>
      <c r="Q603" s="16"/>
      <c r="R603" s="11" t="s">
        <v>49</v>
      </c>
      <c r="S603" s="16"/>
    </row>
    <row r="604" spans="1:19" x14ac:dyDescent="0.2">
      <c r="A604" s="17" t="s">
        <v>395</v>
      </c>
      <c r="B604" s="13">
        <v>60</v>
      </c>
      <c r="C604" s="86">
        <v>11</v>
      </c>
      <c r="D604" s="17"/>
      <c r="E604" s="17"/>
      <c r="F604" s="17"/>
      <c r="G604" s="17"/>
      <c r="H604" s="17"/>
      <c r="I604" s="17"/>
      <c r="J604" s="73"/>
      <c r="K604" s="17"/>
      <c r="L604" s="17"/>
      <c r="M604" s="73"/>
      <c r="N604" s="73"/>
      <c r="O604" s="19"/>
      <c r="P604" s="15"/>
      <c r="Q604" s="16"/>
      <c r="R604" s="11" t="s">
        <v>49</v>
      </c>
      <c r="S604" s="16"/>
    </row>
    <row r="605" spans="1:19" x14ac:dyDescent="0.2">
      <c r="A605" s="20" t="s">
        <v>396</v>
      </c>
      <c r="B605" s="13">
        <v>60</v>
      </c>
      <c r="C605" s="85">
        <v>339</v>
      </c>
      <c r="D605" s="17"/>
      <c r="E605" s="17"/>
      <c r="F605" s="17"/>
      <c r="G605" s="17"/>
      <c r="H605" s="17"/>
      <c r="I605" s="17"/>
      <c r="J605" s="73"/>
      <c r="K605" s="17"/>
      <c r="L605" s="17"/>
      <c r="M605" s="73"/>
      <c r="N605" s="73"/>
      <c r="O605" s="19"/>
      <c r="P605" s="15">
        <v>2</v>
      </c>
      <c r="Q605" s="16"/>
      <c r="R605" s="11" t="s">
        <v>49</v>
      </c>
      <c r="S605" s="16"/>
    </row>
    <row r="606" spans="1:19" x14ac:dyDescent="0.2">
      <c r="A606" s="17" t="s">
        <v>397</v>
      </c>
      <c r="B606" s="11">
        <v>60</v>
      </c>
      <c r="C606" s="86">
        <v>5.3</v>
      </c>
      <c r="D606" s="17">
        <v>230</v>
      </c>
      <c r="E606" s="17">
        <v>50</v>
      </c>
      <c r="F606" s="17">
        <v>230</v>
      </c>
      <c r="G606" s="17">
        <v>50</v>
      </c>
      <c r="H606" s="17"/>
      <c r="I606" s="17"/>
      <c r="J606" s="73"/>
      <c r="K606" s="17"/>
      <c r="L606" s="17"/>
      <c r="M606" s="73"/>
      <c r="N606" s="73"/>
      <c r="O606" s="19"/>
      <c r="P606" s="15">
        <v>18</v>
      </c>
      <c r="Q606" s="16"/>
      <c r="R606" s="11" t="s">
        <v>49</v>
      </c>
      <c r="S606" s="16"/>
    </row>
    <row r="607" spans="1:19" x14ac:dyDescent="0.2">
      <c r="A607" s="17" t="s">
        <v>398</v>
      </c>
      <c r="B607" s="11">
        <v>60</v>
      </c>
      <c r="C607" s="86">
        <v>1.4</v>
      </c>
      <c r="D607" s="17">
        <v>1530</v>
      </c>
      <c r="E607" s="17">
        <v>1000</v>
      </c>
      <c r="F607" s="17">
        <v>1530</v>
      </c>
      <c r="G607" s="17">
        <v>1000</v>
      </c>
      <c r="H607" s="17"/>
      <c r="I607" s="17"/>
      <c r="J607" s="73"/>
      <c r="K607" s="17"/>
      <c r="L607" s="17"/>
      <c r="M607" s="73"/>
      <c r="N607" s="73"/>
      <c r="O607" s="19"/>
      <c r="P607" s="15">
        <v>5</v>
      </c>
      <c r="Q607" s="16"/>
      <c r="R607" s="11" t="s">
        <v>49</v>
      </c>
      <c r="S607" s="16"/>
    </row>
    <row r="608" spans="1:19" x14ac:dyDescent="0.2">
      <c r="A608" s="17" t="s">
        <v>399</v>
      </c>
      <c r="B608" s="13">
        <v>60</v>
      </c>
      <c r="C608" s="86">
        <v>2930</v>
      </c>
      <c r="D608" s="17"/>
      <c r="E608" s="17"/>
      <c r="F608" s="17"/>
      <c r="G608" s="17"/>
      <c r="H608" s="17"/>
      <c r="I608" s="17"/>
      <c r="J608" s="73"/>
      <c r="K608" s="17"/>
      <c r="L608" s="17"/>
      <c r="M608" s="73"/>
      <c r="N608" s="73"/>
      <c r="O608" s="19"/>
      <c r="P608" s="15">
        <v>60</v>
      </c>
      <c r="Q608" s="16"/>
      <c r="R608" s="11" t="s">
        <v>49</v>
      </c>
      <c r="S608" s="16"/>
    </row>
    <row r="609" spans="1:19" x14ac:dyDescent="0.2">
      <c r="A609" s="17" t="s">
        <v>400</v>
      </c>
      <c r="B609" s="13">
        <v>60</v>
      </c>
      <c r="C609" s="86">
        <v>2930</v>
      </c>
      <c r="D609" s="17"/>
      <c r="E609" s="17"/>
      <c r="F609" s="17"/>
      <c r="G609" s="17"/>
      <c r="H609" s="17"/>
      <c r="I609" s="17"/>
      <c r="J609" s="73"/>
      <c r="K609" s="17"/>
      <c r="L609" s="17"/>
      <c r="M609" s="73"/>
      <c r="N609" s="73"/>
      <c r="O609" s="19"/>
      <c r="P609" s="15">
        <v>180</v>
      </c>
      <c r="Q609" s="16"/>
      <c r="R609" s="11" t="s">
        <v>49</v>
      </c>
      <c r="S609" s="16"/>
    </row>
    <row r="610" spans="1:19" x14ac:dyDescent="0.2">
      <c r="A610" s="30" t="s">
        <v>433</v>
      </c>
      <c r="B610" s="51">
        <v>5</v>
      </c>
      <c r="C610" s="193"/>
      <c r="D610" s="53"/>
      <c r="E610" s="53"/>
      <c r="F610" s="53"/>
      <c r="G610" s="53"/>
      <c r="H610" s="53"/>
      <c r="I610" s="53"/>
      <c r="J610" s="82"/>
      <c r="K610" s="53"/>
      <c r="L610" s="53"/>
      <c r="M610" s="82"/>
      <c r="N610" s="82"/>
      <c r="O610" s="54"/>
      <c r="P610" s="30">
        <v>5</v>
      </c>
      <c r="Q610" s="55"/>
      <c r="R610" s="56" t="s">
        <v>451</v>
      </c>
      <c r="S610" s="55"/>
    </row>
    <row r="611" spans="1:19" x14ac:dyDescent="0.2">
      <c r="A611" s="15" t="s">
        <v>678</v>
      </c>
      <c r="B611" s="13">
        <v>5</v>
      </c>
      <c r="C611" s="86">
        <v>74.599999999999994</v>
      </c>
      <c r="D611" s="17"/>
      <c r="E611" s="17"/>
      <c r="F611" s="17"/>
      <c r="G611" s="17"/>
      <c r="H611" s="17"/>
      <c r="I611" s="17"/>
      <c r="J611" s="73"/>
      <c r="K611" s="17"/>
      <c r="L611" s="17"/>
      <c r="M611" s="73"/>
      <c r="N611" s="73"/>
      <c r="O611" s="19"/>
      <c r="P611" s="15">
        <v>170</v>
      </c>
      <c r="Q611" s="16"/>
      <c r="R611" s="11" t="s">
        <v>49</v>
      </c>
      <c r="S611" s="16"/>
    </row>
    <row r="612" spans="1:19" x14ac:dyDescent="0.2">
      <c r="A612" s="15" t="s">
        <v>403</v>
      </c>
      <c r="B612" s="13">
        <v>6</v>
      </c>
      <c r="C612" s="86">
        <v>29.4</v>
      </c>
      <c r="D612" s="17"/>
      <c r="E612" s="17"/>
      <c r="F612" s="17"/>
      <c r="G612" s="17"/>
      <c r="H612" s="17"/>
      <c r="I612" s="17"/>
      <c r="J612" s="73"/>
      <c r="K612" s="17"/>
      <c r="L612" s="17"/>
      <c r="M612" s="73"/>
      <c r="N612" s="73"/>
      <c r="O612" s="19"/>
      <c r="P612" s="15">
        <v>79</v>
      </c>
      <c r="Q612" s="16"/>
      <c r="R612" s="11" t="s">
        <v>449</v>
      </c>
      <c r="S612" s="16"/>
    </row>
    <row r="613" spans="1:19" x14ac:dyDescent="0.2">
      <c r="A613" s="15" t="s">
        <v>530</v>
      </c>
      <c r="B613" s="13">
        <v>6</v>
      </c>
      <c r="C613" s="86">
        <v>80.099999999999994</v>
      </c>
      <c r="D613" s="17"/>
      <c r="E613" s="17"/>
      <c r="F613" s="17"/>
      <c r="G613" s="17"/>
      <c r="H613" s="17"/>
      <c r="I613" s="17"/>
      <c r="J613" s="73"/>
      <c r="K613" s="17"/>
      <c r="L613" s="17"/>
      <c r="M613" s="73"/>
      <c r="N613" s="73"/>
      <c r="O613" s="19"/>
      <c r="P613" s="15">
        <v>97</v>
      </c>
      <c r="Q613" s="16"/>
      <c r="R613" s="11" t="s">
        <v>449</v>
      </c>
      <c r="S613" s="16"/>
    </row>
    <row r="614" spans="1:19" x14ac:dyDescent="0.2">
      <c r="A614" s="15" t="s">
        <v>401</v>
      </c>
      <c r="B614" s="13">
        <v>6</v>
      </c>
      <c r="C614" s="86">
        <v>62.9</v>
      </c>
      <c r="D614" s="17"/>
      <c r="E614" s="17"/>
      <c r="F614" s="17"/>
      <c r="G614" s="17"/>
      <c r="H614" s="17"/>
      <c r="I614" s="17"/>
      <c r="J614" s="73"/>
      <c r="K614" s="17"/>
      <c r="L614" s="17"/>
      <c r="M614" s="73"/>
      <c r="N614" s="73"/>
      <c r="O614" s="19"/>
      <c r="P614" s="15">
        <v>61</v>
      </c>
      <c r="Q614" s="16"/>
      <c r="R614" s="11" t="s">
        <v>449</v>
      </c>
      <c r="S614" s="16"/>
    </row>
    <row r="615" spans="1:19" x14ac:dyDescent="0.2">
      <c r="A615" s="31" t="s">
        <v>523</v>
      </c>
      <c r="B615" s="13">
        <v>6</v>
      </c>
      <c r="C615" s="86">
        <v>122</v>
      </c>
      <c r="D615" s="17"/>
      <c r="E615" s="17"/>
      <c r="F615" s="17"/>
      <c r="G615" s="17"/>
      <c r="H615" s="17"/>
      <c r="I615" s="17"/>
      <c r="J615" s="73"/>
      <c r="K615" s="17"/>
      <c r="L615" s="17"/>
      <c r="M615" s="73"/>
      <c r="N615" s="73"/>
      <c r="O615" s="19"/>
      <c r="P615" s="15"/>
      <c r="Q615" s="16"/>
      <c r="R615" s="11" t="s">
        <v>449</v>
      </c>
      <c r="S615" s="16"/>
    </row>
    <row r="616" spans="1:19" x14ac:dyDescent="0.2">
      <c r="A616" s="17" t="s">
        <v>500</v>
      </c>
      <c r="B616" s="13">
        <v>6</v>
      </c>
      <c r="C616" s="86">
        <v>358.6</v>
      </c>
      <c r="D616" s="17"/>
      <c r="E616" s="17"/>
      <c r="F616" s="17"/>
      <c r="G616" s="17"/>
      <c r="H616" s="17"/>
      <c r="I616" s="17"/>
      <c r="J616" s="73"/>
      <c r="K616" s="17"/>
      <c r="L616" s="17"/>
      <c r="M616" s="73"/>
      <c r="N616" s="73"/>
      <c r="O616" s="19"/>
      <c r="P616" s="15">
        <v>224</v>
      </c>
      <c r="Q616" s="16"/>
      <c r="R616" s="11" t="s">
        <v>450</v>
      </c>
      <c r="S616" s="16"/>
    </row>
    <row r="617" spans="1:19" x14ac:dyDescent="0.2">
      <c r="A617" s="20" t="s">
        <v>501</v>
      </c>
      <c r="B617" s="13">
        <v>6</v>
      </c>
      <c r="C617" s="86">
        <v>30.5</v>
      </c>
      <c r="D617" s="17"/>
      <c r="E617" s="17"/>
      <c r="F617" s="17"/>
      <c r="G617" s="17"/>
      <c r="H617" s="17"/>
      <c r="I617" s="17"/>
      <c r="J617" s="73"/>
      <c r="K617" s="17"/>
      <c r="L617" s="17"/>
      <c r="M617" s="73"/>
      <c r="N617" s="73"/>
      <c r="O617" s="19"/>
      <c r="P617" s="15">
        <v>77</v>
      </c>
      <c r="Q617" s="16"/>
      <c r="R617" s="11" t="s">
        <v>449</v>
      </c>
      <c r="S617" s="16"/>
    </row>
    <row r="618" spans="1:19" x14ac:dyDescent="0.2">
      <c r="A618" s="30" t="s">
        <v>404</v>
      </c>
      <c r="B618" s="13">
        <v>6</v>
      </c>
      <c r="C618" s="86">
        <v>163.30000000000001</v>
      </c>
      <c r="D618" s="17"/>
      <c r="E618" s="17"/>
      <c r="F618" s="17"/>
      <c r="G618" s="17"/>
      <c r="H618" s="17"/>
      <c r="I618" s="17"/>
      <c r="J618" s="73"/>
      <c r="K618" s="17"/>
      <c r="L618" s="17"/>
      <c r="M618" s="73"/>
      <c r="N618" s="73"/>
      <c r="O618" s="19"/>
      <c r="P618" s="15">
        <v>133</v>
      </c>
      <c r="Q618" s="16"/>
      <c r="R618" s="11" t="s">
        <v>449</v>
      </c>
      <c r="S618" s="16"/>
    </row>
    <row r="619" spans="1:19" x14ac:dyDescent="0.2">
      <c r="A619" s="30" t="s">
        <v>506</v>
      </c>
      <c r="B619" s="13">
        <v>6</v>
      </c>
      <c r="C619" s="86"/>
      <c r="D619" s="17"/>
      <c r="E619" s="17"/>
      <c r="F619" s="17"/>
      <c r="G619" s="17"/>
      <c r="H619" s="17"/>
      <c r="I619" s="17"/>
      <c r="J619" s="73"/>
      <c r="K619" s="17">
        <v>19</v>
      </c>
      <c r="L619" s="17">
        <v>1</v>
      </c>
      <c r="M619" s="73"/>
      <c r="N619" s="73"/>
      <c r="O619" s="19"/>
      <c r="P619" s="15">
        <v>86</v>
      </c>
      <c r="Q619" s="16"/>
      <c r="R619" s="11"/>
      <c r="S619" s="16"/>
    </row>
    <row r="620" spans="1:19" x14ac:dyDescent="0.2">
      <c r="A620" s="30" t="s">
        <v>727</v>
      </c>
      <c r="B620" s="13">
        <v>6</v>
      </c>
      <c r="C620" s="86"/>
      <c r="D620" s="17"/>
      <c r="E620" s="17"/>
      <c r="F620" s="17"/>
      <c r="G620" s="17"/>
      <c r="H620" s="17"/>
      <c r="I620" s="17"/>
      <c r="J620" s="73"/>
      <c r="K620" s="17"/>
      <c r="L620" s="17"/>
      <c r="M620" s="73"/>
      <c r="N620" s="73"/>
      <c r="O620" s="19"/>
      <c r="P620" s="15">
        <v>79</v>
      </c>
      <c r="Q620" s="16"/>
      <c r="R620" s="11"/>
      <c r="S620" s="16"/>
    </row>
    <row r="621" spans="1:19" x14ac:dyDescent="0.2">
      <c r="A621" s="30" t="s">
        <v>507</v>
      </c>
      <c r="B621" s="13">
        <v>6</v>
      </c>
      <c r="C621" s="86"/>
      <c r="D621" s="17"/>
      <c r="E621" s="17"/>
      <c r="F621" s="17"/>
      <c r="G621" s="17"/>
      <c r="H621" s="17"/>
      <c r="I621" s="17"/>
      <c r="J621" s="73"/>
      <c r="K621" s="17"/>
      <c r="L621" s="17"/>
      <c r="M621" s="73"/>
      <c r="N621" s="73"/>
      <c r="O621" s="19"/>
      <c r="P621" s="15">
        <v>10</v>
      </c>
      <c r="Q621" s="16"/>
      <c r="R621" s="11"/>
      <c r="S621" s="16"/>
    </row>
    <row r="622" spans="1:19" x14ac:dyDescent="0.2">
      <c r="A622" s="30" t="s">
        <v>510</v>
      </c>
      <c r="B622" s="13">
        <v>6</v>
      </c>
      <c r="C622" s="86"/>
      <c r="D622" s="17"/>
      <c r="E622" s="17"/>
      <c r="F622" s="17"/>
      <c r="G622" s="17"/>
      <c r="H622" s="17"/>
      <c r="I622" s="17"/>
      <c r="J622" s="73"/>
      <c r="K622" s="17"/>
      <c r="L622" s="17"/>
      <c r="M622" s="73"/>
      <c r="N622" s="73"/>
      <c r="O622" s="19"/>
      <c r="P622" s="15">
        <v>26</v>
      </c>
      <c r="Q622" s="16"/>
      <c r="R622" s="11"/>
      <c r="S622" s="16"/>
    </row>
    <row r="623" spans="1:19" x14ac:dyDescent="0.2">
      <c r="A623" s="30" t="s">
        <v>476</v>
      </c>
      <c r="B623" s="13">
        <v>6</v>
      </c>
      <c r="C623" s="86"/>
      <c r="D623" s="17"/>
      <c r="E623" s="17"/>
      <c r="F623" s="17"/>
      <c r="G623" s="17"/>
      <c r="H623" s="17"/>
      <c r="I623" s="17"/>
      <c r="J623" s="73"/>
      <c r="K623" s="17"/>
      <c r="L623" s="17"/>
      <c r="M623" s="73"/>
      <c r="N623" s="73"/>
      <c r="O623" s="19"/>
      <c r="P623" s="15">
        <v>70</v>
      </c>
      <c r="Q623" s="16"/>
      <c r="R623" s="11"/>
      <c r="S623" s="16"/>
    </row>
    <row r="624" spans="1:19" x14ac:dyDescent="0.2">
      <c r="A624" s="30" t="s">
        <v>438</v>
      </c>
      <c r="B624" s="13">
        <v>6</v>
      </c>
      <c r="C624" s="86">
        <v>1298.7</v>
      </c>
      <c r="D624" s="17"/>
      <c r="E624" s="17"/>
      <c r="F624" s="17"/>
      <c r="G624" s="17"/>
      <c r="H624" s="17"/>
      <c r="I624" s="17"/>
      <c r="J624" s="73"/>
      <c r="K624" s="17"/>
      <c r="L624" s="17"/>
      <c r="M624" s="73"/>
      <c r="N624" s="73"/>
      <c r="O624" s="19"/>
      <c r="P624" s="15"/>
      <c r="Q624" s="16"/>
      <c r="R624" s="11" t="s">
        <v>451</v>
      </c>
      <c r="S624" s="16"/>
    </row>
    <row r="625" spans="1:19" x14ac:dyDescent="0.2">
      <c r="A625" s="30" t="s">
        <v>524</v>
      </c>
      <c r="B625" s="13">
        <v>6</v>
      </c>
      <c r="C625" s="86">
        <v>12.4</v>
      </c>
      <c r="D625" s="17"/>
      <c r="E625" s="17"/>
      <c r="F625" s="17"/>
      <c r="G625" s="17"/>
      <c r="H625" s="17"/>
      <c r="I625" s="17"/>
      <c r="J625" s="73"/>
      <c r="K625" s="17"/>
      <c r="L625" s="17"/>
      <c r="M625" s="73"/>
      <c r="N625" s="73"/>
      <c r="O625" s="19"/>
      <c r="P625" s="15">
        <v>150</v>
      </c>
      <c r="Q625" s="16"/>
      <c r="R625" s="11" t="s">
        <v>449</v>
      </c>
      <c r="S625" s="16"/>
    </row>
    <row r="626" spans="1:19" x14ac:dyDescent="0.2">
      <c r="A626" s="30" t="s">
        <v>110</v>
      </c>
      <c r="B626" s="13">
        <v>6</v>
      </c>
      <c r="C626" s="86"/>
      <c r="D626" s="17"/>
      <c r="E626" s="17"/>
      <c r="F626" s="17"/>
      <c r="G626" s="17"/>
      <c r="H626" s="17"/>
      <c r="I626" s="17"/>
      <c r="J626" s="73"/>
      <c r="K626" s="17"/>
      <c r="L626" s="17"/>
      <c r="M626" s="73"/>
      <c r="N626" s="73"/>
      <c r="O626" s="19"/>
      <c r="P626" s="15">
        <v>102</v>
      </c>
      <c r="Q626" s="16"/>
      <c r="R626" s="11"/>
      <c r="S626" s="16"/>
    </row>
    <row r="627" spans="1:19" ht="12.75" customHeight="1" x14ac:dyDescent="0.2">
      <c r="A627" s="30" t="s">
        <v>405</v>
      </c>
      <c r="B627" s="13">
        <v>6</v>
      </c>
      <c r="C627" s="86">
        <v>291.7</v>
      </c>
      <c r="D627" s="17"/>
      <c r="E627" s="17"/>
      <c r="F627" s="17"/>
      <c r="G627" s="17"/>
      <c r="H627" s="17"/>
      <c r="I627" s="17"/>
      <c r="J627" s="73"/>
      <c r="K627" s="17"/>
      <c r="L627" s="17"/>
      <c r="M627" s="73"/>
      <c r="N627" s="73"/>
      <c r="O627" s="19"/>
      <c r="P627" s="15">
        <v>97</v>
      </c>
      <c r="Q627" s="16"/>
      <c r="R627" s="11" t="s">
        <v>449</v>
      </c>
      <c r="S627" s="16"/>
    </row>
    <row r="628" spans="1:19" x14ac:dyDescent="0.2">
      <c r="A628" s="15" t="s">
        <v>402</v>
      </c>
      <c r="B628" s="13">
        <v>6</v>
      </c>
      <c r="C628" s="86">
        <v>24.2</v>
      </c>
      <c r="D628" s="17"/>
      <c r="E628" s="17"/>
      <c r="F628" s="17"/>
      <c r="G628" s="17"/>
      <c r="H628" s="17"/>
      <c r="I628" s="17"/>
      <c r="J628" s="73"/>
      <c r="K628" s="17"/>
      <c r="L628" s="17"/>
      <c r="M628" s="73"/>
      <c r="N628" s="73"/>
      <c r="O628" s="19"/>
      <c r="P628" s="15">
        <v>177</v>
      </c>
      <c r="Q628" s="16"/>
      <c r="R628" s="11" t="s">
        <v>449</v>
      </c>
      <c r="S628" s="16"/>
    </row>
    <row r="629" spans="1:19" x14ac:dyDescent="0.2">
      <c r="A629" s="15" t="s">
        <v>519</v>
      </c>
      <c r="B629" s="13">
        <v>6</v>
      </c>
      <c r="C629" s="86"/>
      <c r="D629" s="17"/>
      <c r="E629" s="17"/>
      <c r="F629" s="17"/>
      <c r="G629" s="17"/>
      <c r="H629" s="17"/>
      <c r="I629" s="17"/>
      <c r="J629" s="73"/>
      <c r="K629" s="17"/>
      <c r="L629" s="17"/>
      <c r="M629" s="73"/>
      <c r="N629" s="73"/>
      <c r="O629" s="19"/>
      <c r="P629" s="15">
        <v>65</v>
      </c>
      <c r="Q629" s="16"/>
      <c r="R629" s="11"/>
      <c r="S629" s="16"/>
    </row>
    <row r="630" spans="1:19" x14ac:dyDescent="0.2">
      <c r="A630" s="15" t="s">
        <v>726</v>
      </c>
      <c r="B630" s="13">
        <v>6</v>
      </c>
      <c r="C630" s="86"/>
      <c r="D630" s="17"/>
      <c r="E630" s="17"/>
      <c r="F630" s="17"/>
      <c r="G630" s="17"/>
      <c r="H630" s="17"/>
      <c r="I630" s="17"/>
      <c r="J630" s="73"/>
      <c r="K630" s="17"/>
      <c r="L630" s="17"/>
      <c r="M630" s="73"/>
      <c r="N630" s="73"/>
      <c r="O630" s="19"/>
      <c r="P630" s="15">
        <v>15</v>
      </c>
      <c r="Q630" s="16"/>
      <c r="R630" s="11"/>
      <c r="S630" s="16"/>
    </row>
    <row r="631" spans="1:19" x14ac:dyDescent="0.2">
      <c r="A631" s="15" t="s">
        <v>406</v>
      </c>
      <c r="B631" s="13">
        <v>6</v>
      </c>
      <c r="C631" s="86">
        <v>59</v>
      </c>
      <c r="D631" s="17"/>
      <c r="E631" s="17"/>
      <c r="F631" s="17"/>
      <c r="G631" s="17"/>
      <c r="H631" s="17"/>
      <c r="I631" s="17"/>
      <c r="J631" s="73"/>
      <c r="K631" s="17"/>
      <c r="L631" s="17"/>
      <c r="M631" s="73"/>
      <c r="N631" s="73"/>
      <c r="O631" s="19"/>
      <c r="P631" s="15">
        <v>76</v>
      </c>
      <c r="Q631" s="16"/>
      <c r="R631" s="11" t="s">
        <v>449</v>
      </c>
      <c r="S631" s="16"/>
    </row>
    <row r="632" spans="1:19" x14ac:dyDescent="0.2">
      <c r="A632" s="15" t="s">
        <v>755</v>
      </c>
      <c r="B632" s="13">
        <v>6</v>
      </c>
      <c r="C632" s="86">
        <v>188.8</v>
      </c>
      <c r="D632" s="17"/>
      <c r="E632" s="17"/>
      <c r="F632" s="17"/>
      <c r="G632" s="17"/>
      <c r="H632" s="17"/>
      <c r="I632" s="17"/>
      <c r="J632" s="73"/>
      <c r="K632" s="17"/>
      <c r="L632" s="17"/>
      <c r="M632" s="73"/>
      <c r="N632" s="73"/>
      <c r="O632" s="19"/>
      <c r="P632" s="15">
        <v>87</v>
      </c>
      <c r="Q632" s="16"/>
      <c r="R632" s="11" t="s">
        <v>449</v>
      </c>
      <c r="S632" s="16"/>
    </row>
    <row r="633" spans="1:19" x14ac:dyDescent="0.2">
      <c r="A633" s="32" t="s">
        <v>407</v>
      </c>
      <c r="B633" s="13">
        <v>6</v>
      </c>
      <c r="C633" s="86">
        <v>14.9</v>
      </c>
      <c r="D633" s="17"/>
      <c r="E633" s="17"/>
      <c r="F633" s="17"/>
      <c r="G633" s="17"/>
      <c r="H633" s="17"/>
      <c r="I633" s="17"/>
      <c r="J633" s="73"/>
      <c r="K633" s="17"/>
      <c r="L633" s="17"/>
      <c r="M633" s="73"/>
      <c r="N633" s="73"/>
      <c r="O633" s="19"/>
      <c r="P633" s="15">
        <v>47</v>
      </c>
      <c r="Q633" s="16"/>
      <c r="R633" s="11" t="s">
        <v>449</v>
      </c>
      <c r="S633" s="16"/>
    </row>
    <row r="634" spans="1:19" x14ac:dyDescent="0.2">
      <c r="A634" s="32" t="s">
        <v>554</v>
      </c>
      <c r="B634" s="13">
        <v>6</v>
      </c>
      <c r="C634" s="86">
        <v>123.4</v>
      </c>
      <c r="D634" s="17"/>
      <c r="E634" s="17"/>
      <c r="F634" s="17"/>
      <c r="G634" s="17"/>
      <c r="H634" s="17"/>
      <c r="I634" s="17"/>
      <c r="J634" s="73"/>
      <c r="K634" s="17"/>
      <c r="L634" s="17"/>
      <c r="M634" s="73"/>
      <c r="N634" s="73"/>
      <c r="O634" s="19"/>
      <c r="P634" s="15">
        <v>110</v>
      </c>
      <c r="Q634" s="16"/>
      <c r="R634" s="11"/>
      <c r="S634" s="16"/>
    </row>
    <row r="635" spans="1:19" x14ac:dyDescent="0.2">
      <c r="A635" s="32" t="s">
        <v>408</v>
      </c>
      <c r="B635" s="13">
        <v>6</v>
      </c>
      <c r="C635" s="86">
        <v>7.4</v>
      </c>
      <c r="D635" s="17"/>
      <c r="E635" s="17"/>
      <c r="F635" s="17"/>
      <c r="G635" s="17"/>
      <c r="H635" s="17"/>
      <c r="I635" s="17"/>
      <c r="J635" s="73"/>
      <c r="K635" s="17"/>
      <c r="L635" s="17"/>
      <c r="M635" s="73"/>
      <c r="N635" s="73"/>
      <c r="O635" s="19"/>
      <c r="P635" s="15">
        <v>147</v>
      </c>
      <c r="Q635" s="16"/>
      <c r="R635" s="11" t="s">
        <v>449</v>
      </c>
      <c r="S635" s="16"/>
    </row>
    <row r="636" spans="1:19" x14ac:dyDescent="0.2">
      <c r="A636" s="32" t="s">
        <v>556</v>
      </c>
      <c r="B636" s="13">
        <v>6</v>
      </c>
      <c r="C636" s="86">
        <v>48.2</v>
      </c>
      <c r="D636" s="17"/>
      <c r="E636" s="17"/>
      <c r="F636" s="17"/>
      <c r="G636" s="17"/>
      <c r="H636" s="17"/>
      <c r="I636" s="17"/>
      <c r="J636" s="73"/>
      <c r="K636" s="17"/>
      <c r="L636" s="17"/>
      <c r="M636" s="73"/>
      <c r="N636" s="73"/>
      <c r="O636" s="19"/>
      <c r="P636" s="15">
        <v>90</v>
      </c>
      <c r="Q636" s="16"/>
      <c r="R636" s="11"/>
      <c r="S636" s="16"/>
    </row>
    <row r="637" spans="1:19" x14ac:dyDescent="0.2">
      <c r="A637" s="32" t="s">
        <v>529</v>
      </c>
      <c r="B637" s="13">
        <v>6</v>
      </c>
      <c r="C637" s="86">
        <v>28</v>
      </c>
      <c r="D637" s="17"/>
      <c r="E637" s="17"/>
      <c r="F637" s="17"/>
      <c r="G637" s="17"/>
      <c r="H637" s="17"/>
      <c r="I637" s="17"/>
      <c r="J637" s="73"/>
      <c r="K637" s="17"/>
      <c r="L637" s="17"/>
      <c r="M637" s="73"/>
      <c r="N637" s="73"/>
      <c r="O637" s="19"/>
      <c r="P637" s="15">
        <v>44</v>
      </c>
      <c r="Q637" s="16"/>
      <c r="R637" s="11"/>
      <c r="S637" s="16"/>
    </row>
    <row r="638" spans="1:19" x14ac:dyDescent="0.2">
      <c r="A638" s="32" t="s">
        <v>562</v>
      </c>
      <c r="B638" s="13">
        <v>6</v>
      </c>
      <c r="C638" s="86">
        <v>108.8</v>
      </c>
      <c r="D638" s="17"/>
      <c r="E638" s="17"/>
      <c r="F638" s="17"/>
      <c r="G638" s="17"/>
      <c r="H638" s="17"/>
      <c r="I638" s="17"/>
      <c r="J638" s="73"/>
      <c r="K638" s="17"/>
      <c r="L638" s="17"/>
      <c r="M638" s="73"/>
      <c r="N638" s="73"/>
      <c r="O638" s="19"/>
      <c r="P638" s="15">
        <v>16</v>
      </c>
      <c r="Q638" s="16"/>
      <c r="R638" s="11"/>
      <c r="S638" s="16"/>
    </row>
    <row r="639" spans="1:19" x14ac:dyDescent="0.2">
      <c r="A639" s="32" t="s">
        <v>563</v>
      </c>
      <c r="B639" s="13">
        <v>6</v>
      </c>
      <c r="C639" s="86">
        <v>23.3</v>
      </c>
      <c r="D639" s="17"/>
      <c r="E639" s="17"/>
      <c r="F639" s="17"/>
      <c r="G639" s="17"/>
      <c r="H639" s="17"/>
      <c r="I639" s="17"/>
      <c r="J639" s="73"/>
      <c r="K639" s="17"/>
      <c r="L639" s="17"/>
      <c r="M639" s="73"/>
      <c r="N639" s="73"/>
      <c r="O639" s="19"/>
      <c r="P639" s="15">
        <v>2</v>
      </c>
      <c r="Q639" s="16"/>
      <c r="R639" s="11"/>
      <c r="S639" s="16"/>
    </row>
    <row r="640" spans="1:19" x14ac:dyDescent="0.2">
      <c r="A640" s="32" t="s">
        <v>728</v>
      </c>
      <c r="B640" s="13">
        <v>6</v>
      </c>
      <c r="C640" s="86"/>
      <c r="D640" s="17"/>
      <c r="E640" s="17"/>
      <c r="F640" s="17"/>
      <c r="G640" s="17"/>
      <c r="H640" s="17"/>
      <c r="I640" s="17"/>
      <c r="J640" s="73"/>
      <c r="K640" s="17"/>
      <c r="L640" s="17"/>
      <c r="M640" s="73"/>
      <c r="N640" s="73"/>
      <c r="O640" s="19"/>
      <c r="P640" s="15">
        <v>48</v>
      </c>
      <c r="Q640" s="16"/>
      <c r="R640" s="11"/>
      <c r="S640" s="16"/>
    </row>
    <row r="641" spans="1:19" x14ac:dyDescent="0.2">
      <c r="A641" s="32" t="s">
        <v>721</v>
      </c>
      <c r="B641" s="13">
        <v>6</v>
      </c>
      <c r="C641" s="86"/>
      <c r="D641" s="17"/>
      <c r="E641" s="17"/>
      <c r="F641" s="17"/>
      <c r="G641" s="17"/>
      <c r="H641" s="17"/>
      <c r="I641" s="17"/>
      <c r="J641" s="73"/>
      <c r="K641" s="17"/>
      <c r="L641" s="17"/>
      <c r="M641" s="73"/>
      <c r="N641" s="73"/>
      <c r="O641" s="19"/>
      <c r="P641" s="15">
        <v>90</v>
      </c>
      <c r="Q641" s="16"/>
      <c r="R641" s="11"/>
      <c r="S641" s="16"/>
    </row>
    <row r="642" spans="1:19" x14ac:dyDescent="0.2">
      <c r="A642" s="30" t="s">
        <v>409</v>
      </c>
      <c r="B642" s="13">
        <v>6</v>
      </c>
      <c r="C642" s="86">
        <v>8.4</v>
      </c>
      <c r="D642" s="17"/>
      <c r="E642" s="17"/>
      <c r="F642" s="17"/>
      <c r="G642" s="17"/>
      <c r="H642" s="17"/>
      <c r="I642" s="17"/>
      <c r="J642" s="73"/>
      <c r="K642" s="17"/>
      <c r="L642" s="17"/>
      <c r="M642" s="73"/>
      <c r="N642" s="73"/>
      <c r="O642" s="19"/>
      <c r="P642" s="15">
        <v>116</v>
      </c>
      <c r="Q642" s="16"/>
      <c r="R642" s="11" t="s">
        <v>449</v>
      </c>
      <c r="S642" s="16"/>
    </row>
    <row r="643" spans="1:19" x14ac:dyDescent="0.2">
      <c r="A643" s="30" t="s">
        <v>435</v>
      </c>
      <c r="B643" s="13">
        <v>6</v>
      </c>
      <c r="C643" s="86">
        <v>125.3</v>
      </c>
      <c r="D643" s="17"/>
      <c r="E643" s="17"/>
      <c r="F643" s="17"/>
      <c r="G643" s="17"/>
      <c r="H643" s="17"/>
      <c r="I643" s="17"/>
      <c r="J643" s="73"/>
      <c r="K643" s="17"/>
      <c r="L643" s="17"/>
      <c r="M643" s="73"/>
      <c r="N643" s="73"/>
      <c r="O643" s="19"/>
      <c r="P643" s="15">
        <v>46</v>
      </c>
      <c r="Q643" s="16"/>
      <c r="R643" s="11" t="s">
        <v>449</v>
      </c>
      <c r="S643" s="16"/>
    </row>
    <row r="644" spans="1:19" x14ac:dyDescent="0.2">
      <c r="A644" s="30" t="s">
        <v>572</v>
      </c>
      <c r="B644" s="13">
        <v>6</v>
      </c>
      <c r="C644" s="86"/>
      <c r="D644" s="17"/>
      <c r="E644" s="17"/>
      <c r="F644" s="17"/>
      <c r="G644" s="17"/>
      <c r="H644" s="17"/>
      <c r="I644" s="17"/>
      <c r="J644" s="73"/>
      <c r="K644" s="17"/>
      <c r="L644" s="17"/>
      <c r="M644" s="73"/>
      <c r="N644" s="73"/>
      <c r="O644" s="19"/>
      <c r="P644" s="15">
        <v>28</v>
      </c>
      <c r="Q644" s="16"/>
      <c r="R644" s="11"/>
      <c r="S644" s="16"/>
    </row>
    <row r="645" spans="1:19" x14ac:dyDescent="0.2">
      <c r="A645" s="30" t="s">
        <v>573</v>
      </c>
      <c r="B645" s="13">
        <v>6</v>
      </c>
      <c r="C645" s="86">
        <v>8.3000000000000007</v>
      </c>
      <c r="D645" s="17"/>
      <c r="E645" s="17"/>
      <c r="F645" s="17"/>
      <c r="G645" s="17"/>
      <c r="H645" s="17"/>
      <c r="I645" s="17"/>
      <c r="J645" s="73"/>
      <c r="K645" s="17"/>
      <c r="L645" s="17"/>
      <c r="M645" s="73"/>
      <c r="N645" s="73"/>
      <c r="O645" s="19"/>
      <c r="P645" s="15">
        <v>62</v>
      </c>
      <c r="Q645" s="16"/>
      <c r="R645" s="11"/>
      <c r="S645" s="16"/>
    </row>
    <row r="646" spans="1:19" x14ac:dyDescent="0.2">
      <c r="A646" s="30" t="s">
        <v>574</v>
      </c>
      <c r="B646" s="13">
        <v>6</v>
      </c>
      <c r="C646" s="86">
        <v>8.1</v>
      </c>
      <c r="D646" s="17"/>
      <c r="E646" s="17"/>
      <c r="F646" s="17"/>
      <c r="G646" s="17"/>
      <c r="H646" s="17"/>
      <c r="I646" s="17"/>
      <c r="J646" s="73"/>
      <c r="K646" s="17"/>
      <c r="L646" s="17"/>
      <c r="M646" s="73"/>
      <c r="N646" s="73"/>
      <c r="O646" s="19"/>
      <c r="P646" s="15">
        <v>142</v>
      </c>
      <c r="Q646" s="16"/>
      <c r="R646" s="11"/>
      <c r="S646" s="16"/>
    </row>
    <row r="647" spans="1:19" x14ac:dyDescent="0.2">
      <c r="A647" s="30" t="s">
        <v>576</v>
      </c>
      <c r="B647" s="13">
        <v>6</v>
      </c>
      <c r="C647" s="86">
        <v>50.1</v>
      </c>
      <c r="D647" s="17"/>
      <c r="E647" s="17"/>
      <c r="F647" s="17"/>
      <c r="G647" s="17"/>
      <c r="H647" s="17"/>
      <c r="I647" s="17"/>
      <c r="J647" s="73"/>
      <c r="K647" s="17"/>
      <c r="L647" s="17"/>
      <c r="M647" s="73"/>
      <c r="N647" s="73"/>
      <c r="O647" s="19"/>
      <c r="P647" s="15">
        <v>100</v>
      </c>
      <c r="Q647" s="16"/>
      <c r="R647" s="11"/>
      <c r="S647" s="16"/>
    </row>
    <row r="648" spans="1:19" x14ac:dyDescent="0.2">
      <c r="A648" s="30" t="s">
        <v>577</v>
      </c>
      <c r="B648" s="13">
        <v>6</v>
      </c>
      <c r="C648" s="86">
        <v>130.4</v>
      </c>
      <c r="D648" s="17"/>
      <c r="E648" s="17"/>
      <c r="F648" s="17"/>
      <c r="G648" s="17"/>
      <c r="H648" s="17"/>
      <c r="I648" s="17"/>
      <c r="J648" s="73"/>
      <c r="K648" s="17"/>
      <c r="L648" s="17"/>
      <c r="M648" s="73"/>
      <c r="N648" s="73"/>
      <c r="O648" s="19"/>
      <c r="P648" s="15">
        <v>100</v>
      </c>
      <c r="Q648" s="16"/>
      <c r="R648" s="11"/>
      <c r="S648" s="16"/>
    </row>
    <row r="649" spans="1:19" x14ac:dyDescent="0.2">
      <c r="A649" s="30" t="s">
        <v>578</v>
      </c>
      <c r="B649" s="13">
        <v>6</v>
      </c>
      <c r="C649" s="86">
        <v>191.2</v>
      </c>
      <c r="D649" s="17"/>
      <c r="E649" s="17"/>
      <c r="F649" s="17"/>
      <c r="G649" s="17"/>
      <c r="H649" s="17"/>
      <c r="I649" s="17"/>
      <c r="J649" s="73"/>
      <c r="K649" s="17"/>
      <c r="L649" s="17"/>
      <c r="M649" s="73"/>
      <c r="N649" s="73"/>
      <c r="O649" s="19"/>
      <c r="P649" s="15">
        <v>71</v>
      </c>
      <c r="Q649" s="16"/>
      <c r="R649" s="11"/>
      <c r="S649" s="16"/>
    </row>
    <row r="650" spans="1:19" x14ac:dyDescent="0.2">
      <c r="A650" s="30" t="s">
        <v>579</v>
      </c>
      <c r="B650" s="13">
        <v>6</v>
      </c>
      <c r="C650" s="86">
        <v>312.10000000000002</v>
      </c>
      <c r="D650" s="17"/>
      <c r="E650" s="17"/>
      <c r="F650" s="17"/>
      <c r="G650" s="17"/>
      <c r="H650" s="17"/>
      <c r="I650" s="17"/>
      <c r="J650" s="73"/>
      <c r="K650" s="17"/>
      <c r="L650" s="17"/>
      <c r="M650" s="73"/>
      <c r="N650" s="73"/>
      <c r="O650" s="19"/>
      <c r="P650" s="15">
        <v>200</v>
      </c>
      <c r="Q650" s="16"/>
      <c r="R650" s="11"/>
      <c r="S650" s="16"/>
    </row>
    <row r="651" spans="1:19" x14ac:dyDescent="0.2">
      <c r="A651" s="30" t="s">
        <v>616</v>
      </c>
      <c r="B651" s="13">
        <v>6</v>
      </c>
      <c r="C651" s="86">
        <v>35.5</v>
      </c>
      <c r="D651" s="17"/>
      <c r="E651" s="17"/>
      <c r="F651" s="17"/>
      <c r="G651" s="17"/>
      <c r="H651" s="17"/>
      <c r="I651" s="17"/>
      <c r="J651" s="73"/>
      <c r="K651" s="17"/>
      <c r="L651" s="17"/>
      <c r="M651" s="73"/>
      <c r="N651" s="73"/>
      <c r="O651" s="19"/>
      <c r="P651" s="15">
        <v>161</v>
      </c>
      <c r="Q651" s="16"/>
      <c r="R651" s="11"/>
      <c r="S651" s="16"/>
    </row>
    <row r="652" spans="1:19" x14ac:dyDescent="0.2">
      <c r="A652" s="30" t="s">
        <v>580</v>
      </c>
      <c r="B652" s="13">
        <v>6</v>
      </c>
      <c r="C652" s="86">
        <v>49.2</v>
      </c>
      <c r="D652" s="17"/>
      <c r="E652" s="17"/>
      <c r="F652" s="17"/>
      <c r="G652" s="17"/>
      <c r="H652" s="17"/>
      <c r="I652" s="17"/>
      <c r="J652" s="73"/>
      <c r="K652" s="17"/>
      <c r="L652" s="17"/>
      <c r="M652" s="73"/>
      <c r="N652" s="73"/>
      <c r="O652" s="19"/>
      <c r="P652" s="15">
        <v>49</v>
      </c>
      <c r="Q652" s="16"/>
      <c r="R652" s="11"/>
      <c r="S652" s="16"/>
    </row>
    <row r="653" spans="1:19" x14ac:dyDescent="0.2">
      <c r="A653" s="30" t="s">
        <v>436</v>
      </c>
      <c r="B653" s="13">
        <v>6</v>
      </c>
      <c r="C653" s="86">
        <v>6.3</v>
      </c>
      <c r="D653" s="17"/>
      <c r="E653" s="17"/>
      <c r="F653" s="17"/>
      <c r="G653" s="17"/>
      <c r="H653" s="17"/>
      <c r="I653" s="17"/>
      <c r="J653" s="73"/>
      <c r="K653" s="17"/>
      <c r="L653" s="17"/>
      <c r="M653" s="73"/>
      <c r="N653" s="73"/>
      <c r="O653" s="19"/>
      <c r="P653" s="15">
        <v>350</v>
      </c>
      <c r="Q653" s="16"/>
      <c r="R653" s="11" t="s">
        <v>449</v>
      </c>
      <c r="S653" s="16"/>
    </row>
    <row r="654" spans="1:19" x14ac:dyDescent="0.2">
      <c r="A654" s="30" t="s">
        <v>722</v>
      </c>
      <c r="B654" s="13">
        <v>6</v>
      </c>
      <c r="C654" s="86"/>
      <c r="D654" s="17"/>
      <c r="E654" s="17"/>
      <c r="F654" s="17"/>
      <c r="G654" s="17"/>
      <c r="H654" s="17"/>
      <c r="I654" s="17"/>
      <c r="J654" s="73"/>
      <c r="K654" s="17"/>
      <c r="L654" s="17"/>
      <c r="M654" s="73"/>
      <c r="N654" s="73"/>
      <c r="O654" s="19"/>
      <c r="P654" s="15">
        <v>44</v>
      </c>
      <c r="Q654" s="16"/>
      <c r="R654" s="11"/>
      <c r="S654" s="16"/>
    </row>
    <row r="655" spans="1:19" x14ac:dyDescent="0.2">
      <c r="A655" s="31" t="s">
        <v>411</v>
      </c>
      <c r="B655" s="13">
        <v>6</v>
      </c>
      <c r="C655" s="86">
        <v>8.6</v>
      </c>
      <c r="D655" s="17"/>
      <c r="E655" s="17"/>
      <c r="F655" s="17"/>
      <c r="G655" s="17"/>
      <c r="H655" s="17"/>
      <c r="I655" s="17"/>
      <c r="J655" s="73"/>
      <c r="K655" s="17"/>
      <c r="L655" s="17"/>
      <c r="M655" s="73"/>
      <c r="N655" s="73"/>
      <c r="O655" s="19"/>
      <c r="P655" s="15">
        <v>104</v>
      </c>
      <c r="Q655" s="16"/>
      <c r="R655" s="11" t="s">
        <v>449</v>
      </c>
      <c r="S655" s="16"/>
    </row>
    <row r="656" spans="1:19" x14ac:dyDescent="0.2">
      <c r="A656" s="31" t="s">
        <v>724</v>
      </c>
      <c r="B656" s="13">
        <v>6</v>
      </c>
      <c r="C656" s="86"/>
      <c r="D656" s="17"/>
      <c r="E656" s="17"/>
      <c r="F656" s="17"/>
      <c r="G656" s="17"/>
      <c r="H656" s="17"/>
      <c r="I656" s="17"/>
      <c r="J656" s="73"/>
      <c r="K656" s="17"/>
      <c r="L656" s="17"/>
      <c r="M656" s="73"/>
      <c r="N656" s="73"/>
      <c r="O656" s="19"/>
      <c r="P656" s="15">
        <v>56</v>
      </c>
      <c r="Q656" s="16"/>
      <c r="R656" s="11"/>
      <c r="S656" s="16"/>
    </row>
    <row r="657" spans="1:19" x14ac:dyDescent="0.2">
      <c r="A657" s="31" t="s">
        <v>526</v>
      </c>
      <c r="B657" s="13">
        <v>6</v>
      </c>
      <c r="C657" s="86">
        <v>11.9</v>
      </c>
      <c r="D657" s="17"/>
      <c r="E657" s="17"/>
      <c r="F657" s="17"/>
      <c r="G657" s="17"/>
      <c r="H657" s="17"/>
      <c r="I657" s="17"/>
      <c r="J657" s="73"/>
      <c r="K657" s="17"/>
      <c r="L657" s="17"/>
      <c r="M657" s="73"/>
      <c r="N657" s="73"/>
      <c r="O657" s="19"/>
      <c r="P657" s="15">
        <v>136</v>
      </c>
      <c r="Q657" s="16"/>
      <c r="R657" s="11"/>
      <c r="S657" s="16"/>
    </row>
    <row r="658" spans="1:19" x14ac:dyDescent="0.2">
      <c r="A658" s="31" t="s">
        <v>527</v>
      </c>
      <c r="B658" s="13">
        <v>6</v>
      </c>
      <c r="C658" s="86">
        <v>19.399999999999999</v>
      </c>
      <c r="D658" s="17"/>
      <c r="E658" s="17"/>
      <c r="F658" s="17"/>
      <c r="G658" s="17"/>
      <c r="H658" s="17"/>
      <c r="I658" s="17"/>
      <c r="J658" s="73"/>
      <c r="K658" s="17"/>
      <c r="L658" s="17"/>
      <c r="M658" s="73"/>
      <c r="N658" s="73"/>
      <c r="O658" s="19"/>
      <c r="P658" s="15">
        <v>81</v>
      </c>
      <c r="Q658" s="16"/>
      <c r="R658" s="11"/>
      <c r="S658" s="16"/>
    </row>
    <row r="659" spans="1:19" x14ac:dyDescent="0.2">
      <c r="A659" s="31" t="s">
        <v>448</v>
      </c>
      <c r="B659" s="13">
        <v>6</v>
      </c>
      <c r="C659" s="86">
        <v>7.4</v>
      </c>
      <c r="D659" s="17"/>
      <c r="E659" s="17"/>
      <c r="F659" s="17"/>
      <c r="G659" s="17"/>
      <c r="H659" s="17"/>
      <c r="I659" s="17"/>
      <c r="J659" s="73"/>
      <c r="K659" s="17"/>
      <c r="L659" s="17"/>
      <c r="M659" s="73"/>
      <c r="N659" s="73"/>
      <c r="O659" s="19"/>
      <c r="P659" s="15">
        <v>152</v>
      </c>
      <c r="Q659" s="16"/>
      <c r="R659" s="11" t="s">
        <v>449</v>
      </c>
      <c r="S659" s="16"/>
    </row>
    <row r="660" spans="1:19" x14ac:dyDescent="0.2">
      <c r="A660" s="31" t="s">
        <v>723</v>
      </c>
      <c r="B660" s="13">
        <v>6</v>
      </c>
      <c r="C660" s="86"/>
      <c r="D660" s="17"/>
      <c r="E660" s="17"/>
      <c r="F660" s="17"/>
      <c r="G660" s="17"/>
      <c r="H660" s="17"/>
      <c r="I660" s="17"/>
      <c r="J660" s="73"/>
      <c r="K660" s="17"/>
      <c r="L660" s="17"/>
      <c r="M660" s="73"/>
      <c r="N660" s="73"/>
      <c r="O660" s="19"/>
      <c r="P660" s="15">
        <v>44</v>
      </c>
      <c r="Q660" s="16"/>
      <c r="R660" s="11"/>
      <c r="S660" s="16"/>
    </row>
    <row r="661" spans="1:19" x14ac:dyDescent="0.2">
      <c r="A661" s="31" t="s">
        <v>594</v>
      </c>
      <c r="B661" s="13">
        <v>6</v>
      </c>
      <c r="C661" s="86">
        <v>38.700000000000003</v>
      </c>
      <c r="D661" s="17"/>
      <c r="E661" s="17"/>
      <c r="F661" s="17"/>
      <c r="G661" s="17"/>
      <c r="H661" s="17"/>
      <c r="I661" s="17"/>
      <c r="J661" s="73"/>
      <c r="K661" s="17"/>
      <c r="L661" s="17"/>
      <c r="M661" s="73"/>
      <c r="N661" s="73"/>
      <c r="O661" s="19"/>
      <c r="P661" s="15"/>
      <c r="Q661" s="16"/>
      <c r="R661" s="11"/>
      <c r="S661" s="16"/>
    </row>
    <row r="662" spans="1:19" x14ac:dyDescent="0.2">
      <c r="A662" s="30" t="s">
        <v>412</v>
      </c>
      <c r="B662" s="13">
        <v>6</v>
      </c>
      <c r="C662" s="86">
        <v>22.2</v>
      </c>
      <c r="D662" s="17"/>
      <c r="E662" s="17"/>
      <c r="F662" s="17"/>
      <c r="G662" s="17"/>
      <c r="H662" s="17"/>
      <c r="I662" s="17"/>
      <c r="J662" s="73"/>
      <c r="K662" s="17"/>
      <c r="L662" s="17"/>
      <c r="M662" s="73"/>
      <c r="N662" s="73"/>
      <c r="O662" s="19"/>
      <c r="P662" s="15"/>
      <c r="Q662" s="16"/>
      <c r="R662" s="11" t="s">
        <v>449</v>
      </c>
      <c r="S662" s="16"/>
    </row>
    <row r="663" spans="1:19" x14ac:dyDescent="0.2">
      <c r="A663" s="17" t="s">
        <v>213</v>
      </c>
      <c r="B663" s="13">
        <v>6</v>
      </c>
      <c r="C663" s="73">
        <v>7.2</v>
      </c>
      <c r="D663" s="17"/>
      <c r="E663" s="17"/>
      <c r="F663" s="17"/>
      <c r="G663" s="17"/>
      <c r="H663" s="17"/>
      <c r="I663" s="17"/>
      <c r="J663" s="73"/>
      <c r="K663" s="17"/>
      <c r="L663" s="17"/>
      <c r="M663" s="73"/>
      <c r="N663" s="73"/>
      <c r="O663" s="19"/>
      <c r="P663" s="15">
        <v>146</v>
      </c>
      <c r="Q663" s="16"/>
      <c r="R663" s="11"/>
      <c r="S663" s="16"/>
    </row>
    <row r="664" spans="1:19" x14ac:dyDescent="0.2">
      <c r="A664" s="31" t="s">
        <v>525</v>
      </c>
      <c r="B664" s="13">
        <v>6</v>
      </c>
      <c r="C664" s="86">
        <v>85.8</v>
      </c>
      <c r="D664" s="17"/>
      <c r="E664" s="17"/>
      <c r="F664" s="17"/>
      <c r="G664" s="17"/>
      <c r="H664" s="17"/>
      <c r="I664" s="17"/>
      <c r="J664" s="73"/>
      <c r="K664" s="17"/>
      <c r="L664" s="17"/>
      <c r="M664" s="73"/>
      <c r="N664" s="73"/>
      <c r="O664" s="19"/>
      <c r="P664" s="15">
        <v>33</v>
      </c>
      <c r="Q664" s="16"/>
      <c r="R664" s="11" t="s">
        <v>449</v>
      </c>
      <c r="S664" s="16"/>
    </row>
    <row r="665" spans="1:19" x14ac:dyDescent="0.2">
      <c r="A665" s="30" t="s">
        <v>413</v>
      </c>
      <c r="B665" s="13">
        <v>6</v>
      </c>
      <c r="C665" s="86">
        <v>8.6</v>
      </c>
      <c r="D665" s="17"/>
      <c r="E665" s="17"/>
      <c r="F665" s="17"/>
      <c r="G665" s="17"/>
      <c r="H665" s="17"/>
      <c r="I665" s="17"/>
      <c r="J665" s="73"/>
      <c r="K665" s="17"/>
      <c r="L665" s="17"/>
      <c r="M665" s="73"/>
      <c r="N665" s="73"/>
      <c r="O665" s="19"/>
      <c r="P665" s="15">
        <v>102</v>
      </c>
      <c r="Q665" s="16"/>
      <c r="R665" s="11" t="s">
        <v>449</v>
      </c>
      <c r="S665" s="16"/>
    </row>
    <row r="666" spans="1:19" x14ac:dyDescent="0.2">
      <c r="A666" s="33" t="s">
        <v>414</v>
      </c>
      <c r="B666" s="13">
        <v>6</v>
      </c>
      <c r="C666" s="86">
        <v>39.1</v>
      </c>
      <c r="D666" s="17"/>
      <c r="E666" s="17"/>
      <c r="F666" s="17"/>
      <c r="G666" s="17"/>
      <c r="H666" s="17"/>
      <c r="I666" s="17"/>
      <c r="J666" s="73"/>
      <c r="K666" s="17"/>
      <c r="L666" s="17"/>
      <c r="M666" s="73"/>
      <c r="N666" s="73"/>
      <c r="O666" s="19"/>
      <c r="P666" s="15">
        <v>26</v>
      </c>
      <c r="Q666" s="16"/>
      <c r="R666" s="11" t="s">
        <v>449</v>
      </c>
      <c r="S666" s="16"/>
    </row>
    <row r="667" spans="1:19" x14ac:dyDescent="0.2">
      <c r="A667" s="30" t="s">
        <v>415</v>
      </c>
      <c r="B667" s="13">
        <v>6</v>
      </c>
      <c r="C667" s="86">
        <v>10.7</v>
      </c>
      <c r="D667" s="17"/>
      <c r="E667" s="17"/>
      <c r="F667" s="17"/>
      <c r="G667" s="17"/>
      <c r="H667" s="17"/>
      <c r="I667" s="17"/>
      <c r="J667" s="73"/>
      <c r="K667" s="17"/>
      <c r="L667" s="17"/>
      <c r="M667" s="73"/>
      <c r="N667" s="73"/>
      <c r="O667" s="19"/>
      <c r="P667" s="15">
        <v>110</v>
      </c>
      <c r="Q667" s="16"/>
      <c r="R667" s="11" t="s">
        <v>449</v>
      </c>
      <c r="S667" s="16"/>
    </row>
    <row r="668" spans="1:19" x14ac:dyDescent="0.2">
      <c r="A668" s="30" t="s">
        <v>725</v>
      </c>
      <c r="B668" s="13">
        <v>6</v>
      </c>
      <c r="C668" s="86"/>
      <c r="D668" s="17"/>
      <c r="E668" s="17"/>
      <c r="F668" s="17"/>
      <c r="G668" s="17"/>
      <c r="H668" s="17"/>
      <c r="I668" s="17"/>
      <c r="J668" s="73"/>
      <c r="K668" s="17"/>
      <c r="L668" s="17"/>
      <c r="M668" s="73"/>
      <c r="N668" s="73"/>
      <c r="O668" s="19"/>
      <c r="P668" s="15">
        <v>85</v>
      </c>
      <c r="Q668" s="16"/>
      <c r="R668" s="11"/>
      <c r="S668" s="16"/>
    </row>
    <row r="669" spans="1:19" x14ac:dyDescent="0.2">
      <c r="A669" s="30" t="s">
        <v>606</v>
      </c>
      <c r="B669" s="13">
        <v>6</v>
      </c>
      <c r="C669" s="86">
        <v>15.3</v>
      </c>
      <c r="D669" s="17"/>
      <c r="E669" s="17"/>
      <c r="F669" s="17"/>
      <c r="G669" s="17"/>
      <c r="H669" s="17"/>
      <c r="I669" s="17"/>
      <c r="J669" s="73"/>
      <c r="K669" s="17"/>
      <c r="L669" s="17"/>
      <c r="M669" s="73"/>
      <c r="N669" s="73"/>
      <c r="O669" s="19"/>
      <c r="P669" s="15">
        <v>50</v>
      </c>
      <c r="Q669" s="16"/>
      <c r="R669" s="11"/>
      <c r="S669" s="16"/>
    </row>
    <row r="670" spans="1:19" x14ac:dyDescent="0.2">
      <c r="A670" s="30" t="s">
        <v>612</v>
      </c>
      <c r="B670" s="13">
        <v>6</v>
      </c>
      <c r="C670" s="86">
        <v>1969.3</v>
      </c>
      <c r="D670" s="17"/>
      <c r="E670" s="17"/>
      <c r="F670" s="17"/>
      <c r="G670" s="17"/>
      <c r="H670" s="17"/>
      <c r="I670" s="17"/>
      <c r="J670" s="73"/>
      <c r="K670" s="17"/>
      <c r="L670" s="17"/>
      <c r="M670" s="73"/>
      <c r="N670" s="73"/>
      <c r="O670" s="19"/>
      <c r="P670" s="15">
        <v>67</v>
      </c>
      <c r="Q670" s="16"/>
      <c r="R670" s="11"/>
      <c r="S670" s="16"/>
    </row>
    <row r="671" spans="1:19" x14ac:dyDescent="0.2">
      <c r="A671" s="30" t="s">
        <v>437</v>
      </c>
      <c r="B671" s="13">
        <v>6</v>
      </c>
      <c r="C671" s="86">
        <v>427.5</v>
      </c>
      <c r="D671" s="17"/>
      <c r="E671" s="17"/>
      <c r="F671" s="17"/>
      <c r="G671" s="17"/>
      <c r="H671" s="17"/>
      <c r="I671" s="17"/>
      <c r="J671" s="73"/>
      <c r="K671" s="17"/>
      <c r="L671" s="17"/>
      <c r="M671" s="73"/>
      <c r="N671" s="73"/>
      <c r="O671" s="19"/>
      <c r="P671" s="15">
        <v>20</v>
      </c>
      <c r="Q671" s="16"/>
      <c r="R671" s="11" t="s">
        <v>449</v>
      </c>
      <c r="S671" s="16"/>
    </row>
    <row r="672" spans="1:19" x14ac:dyDescent="0.2">
      <c r="A672" s="20" t="s">
        <v>243</v>
      </c>
      <c r="B672" s="13">
        <v>6</v>
      </c>
      <c r="C672" s="86">
        <v>69.900000000000006</v>
      </c>
      <c r="D672" s="17"/>
      <c r="E672" s="17"/>
      <c r="F672" s="17"/>
      <c r="G672" s="17"/>
      <c r="H672" s="17"/>
      <c r="I672" s="17"/>
      <c r="J672" s="73"/>
      <c r="K672" s="17"/>
      <c r="L672" s="17"/>
      <c r="M672" s="73"/>
      <c r="N672" s="73"/>
      <c r="O672" s="19"/>
      <c r="P672" s="15">
        <v>15</v>
      </c>
      <c r="Q672" s="16"/>
      <c r="R672" s="11"/>
      <c r="S672" s="16"/>
    </row>
    <row r="673" spans="1:19" x14ac:dyDescent="0.2">
      <c r="A673" s="30" t="s">
        <v>533</v>
      </c>
      <c r="B673" s="51">
        <v>7</v>
      </c>
      <c r="C673" s="193"/>
      <c r="D673" s="53"/>
      <c r="E673" s="53"/>
      <c r="F673" s="53"/>
      <c r="G673" s="53"/>
      <c r="H673" s="53"/>
      <c r="I673" s="53"/>
      <c r="J673" s="82"/>
      <c r="K673" s="53"/>
      <c r="L673" s="53"/>
      <c r="M673" s="82"/>
      <c r="N673" s="82"/>
      <c r="O673" s="54"/>
      <c r="P673" s="30">
        <v>80</v>
      </c>
      <c r="Q673" s="55"/>
      <c r="R673" s="56"/>
      <c r="S673" s="55"/>
    </row>
    <row r="674" spans="1:19" x14ac:dyDescent="0.2">
      <c r="A674" s="53" t="s">
        <v>534</v>
      </c>
      <c r="B674" s="51">
        <v>7</v>
      </c>
      <c r="C674" s="193"/>
      <c r="D674" s="53"/>
      <c r="E674" s="53"/>
      <c r="F674" s="53"/>
      <c r="G674" s="53"/>
      <c r="H674" s="53"/>
      <c r="I674" s="53"/>
      <c r="J674" s="82"/>
      <c r="K674" s="53"/>
      <c r="L674" s="53"/>
      <c r="M674" s="82"/>
      <c r="N674" s="82"/>
      <c r="O674" s="54"/>
      <c r="P674" s="30">
        <v>59</v>
      </c>
      <c r="Q674" s="55"/>
      <c r="R674" s="56"/>
      <c r="S674" s="55"/>
    </row>
    <row r="675" spans="1:19" x14ac:dyDescent="0.2">
      <c r="A675" s="53" t="s">
        <v>719</v>
      </c>
      <c r="B675" s="51">
        <v>7</v>
      </c>
      <c r="C675" s="193"/>
      <c r="D675" s="53"/>
      <c r="E675" s="53"/>
      <c r="F675" s="53"/>
      <c r="G675" s="53"/>
      <c r="H675" s="53"/>
      <c r="I675" s="53"/>
      <c r="J675" s="82"/>
      <c r="K675" s="53"/>
      <c r="L675" s="53"/>
      <c r="M675" s="82"/>
      <c r="N675" s="82"/>
      <c r="O675" s="54"/>
      <c r="P675" s="30">
        <v>73</v>
      </c>
      <c r="Q675" s="55"/>
      <c r="R675" s="56"/>
      <c r="S675" s="55"/>
    </row>
    <row r="676" spans="1:19" x14ac:dyDescent="0.2">
      <c r="A676" s="17" t="s">
        <v>535</v>
      </c>
      <c r="B676" s="13">
        <v>7</v>
      </c>
      <c r="C676" s="86">
        <v>94.6</v>
      </c>
      <c r="D676" s="17"/>
      <c r="E676" s="17"/>
      <c r="F676" s="17"/>
      <c r="G676" s="17"/>
      <c r="H676" s="17"/>
      <c r="I676" s="17"/>
      <c r="J676" s="73"/>
      <c r="K676" s="17"/>
      <c r="L676" s="17"/>
      <c r="M676" s="73"/>
      <c r="N676" s="73"/>
      <c r="O676" s="19"/>
      <c r="P676" s="15">
        <v>4</v>
      </c>
      <c r="Q676" s="16"/>
      <c r="R676" s="11"/>
      <c r="S676" s="16"/>
    </row>
    <row r="677" spans="1:19" x14ac:dyDescent="0.2">
      <c r="A677" s="17" t="s">
        <v>536</v>
      </c>
      <c r="B677" s="13">
        <v>7</v>
      </c>
      <c r="C677" s="86"/>
      <c r="D677" s="17"/>
      <c r="E677" s="17"/>
      <c r="F677" s="17"/>
      <c r="G677" s="17"/>
      <c r="H677" s="17"/>
      <c r="I677" s="17"/>
      <c r="J677" s="73"/>
      <c r="K677" s="17"/>
      <c r="L677" s="17"/>
      <c r="M677" s="73"/>
      <c r="N677" s="73"/>
      <c r="O677" s="19"/>
      <c r="P677" s="15">
        <v>79</v>
      </c>
      <c r="Q677" s="16"/>
      <c r="R677" s="11"/>
      <c r="S677" s="16"/>
    </row>
    <row r="678" spans="1:19" x14ac:dyDescent="0.2">
      <c r="A678" s="17" t="s">
        <v>542</v>
      </c>
      <c r="B678" s="13">
        <v>7</v>
      </c>
      <c r="C678" s="86">
        <v>136.9</v>
      </c>
      <c r="D678" s="17"/>
      <c r="E678" s="17"/>
      <c r="F678" s="17"/>
      <c r="G678" s="17"/>
      <c r="H678" s="17"/>
      <c r="I678" s="17"/>
      <c r="J678" s="73"/>
      <c r="K678" s="17"/>
      <c r="L678" s="17"/>
      <c r="M678" s="73"/>
      <c r="N678" s="73"/>
      <c r="O678" s="19"/>
      <c r="P678" s="15">
        <v>34</v>
      </c>
      <c r="Q678" s="16"/>
      <c r="R678" s="11"/>
      <c r="S678" s="16"/>
    </row>
    <row r="679" spans="1:19" x14ac:dyDescent="0.2">
      <c r="A679" s="17" t="s">
        <v>720</v>
      </c>
      <c r="B679" s="13">
        <v>7</v>
      </c>
      <c r="C679" s="86"/>
      <c r="D679" s="17"/>
      <c r="E679" s="17"/>
      <c r="F679" s="17"/>
      <c r="G679" s="17"/>
      <c r="H679" s="17"/>
      <c r="I679" s="17"/>
      <c r="J679" s="73"/>
      <c r="K679" s="17"/>
      <c r="L679" s="17"/>
      <c r="M679" s="73"/>
      <c r="N679" s="73"/>
      <c r="O679" s="19"/>
      <c r="P679" s="15">
        <v>54</v>
      </c>
      <c r="Q679" s="16"/>
      <c r="R679" s="11"/>
      <c r="S679" s="16"/>
    </row>
    <row r="680" spans="1:19" x14ac:dyDescent="0.2">
      <c r="A680" s="17" t="s">
        <v>543</v>
      </c>
      <c r="B680" s="13">
        <v>7</v>
      </c>
      <c r="C680" s="86">
        <v>91.7</v>
      </c>
      <c r="D680" s="17"/>
      <c r="E680" s="17"/>
      <c r="F680" s="17"/>
      <c r="G680" s="17"/>
      <c r="H680" s="17"/>
      <c r="I680" s="17"/>
      <c r="J680" s="73"/>
      <c r="K680" s="17"/>
      <c r="L680" s="17"/>
      <c r="M680" s="73"/>
      <c r="N680" s="73"/>
      <c r="O680" s="19"/>
      <c r="P680" s="15">
        <v>6</v>
      </c>
      <c r="Q680" s="16"/>
      <c r="R680" s="11"/>
      <c r="S680" s="16"/>
    </row>
    <row r="681" spans="1:19" x14ac:dyDescent="0.2">
      <c r="A681" s="17" t="s">
        <v>544</v>
      </c>
      <c r="B681" s="13">
        <v>7</v>
      </c>
      <c r="C681" s="86">
        <v>57.8</v>
      </c>
      <c r="D681" s="17"/>
      <c r="E681" s="17"/>
      <c r="F681" s="17"/>
      <c r="G681" s="17"/>
      <c r="H681" s="17"/>
      <c r="I681" s="17"/>
      <c r="J681" s="73"/>
      <c r="K681" s="17"/>
      <c r="L681" s="17"/>
      <c r="M681" s="73"/>
      <c r="N681" s="73"/>
      <c r="O681" s="19"/>
      <c r="P681" s="15">
        <v>76</v>
      </c>
      <c r="Q681" s="16"/>
      <c r="R681" s="11"/>
      <c r="S681" s="16"/>
    </row>
    <row r="682" spans="1:19" x14ac:dyDescent="0.2">
      <c r="A682" s="17" t="s">
        <v>729</v>
      </c>
      <c r="B682" s="13">
        <v>7</v>
      </c>
      <c r="C682" s="86"/>
      <c r="D682" s="17"/>
      <c r="E682" s="17"/>
      <c r="F682" s="17"/>
      <c r="G682" s="17"/>
      <c r="H682" s="17"/>
      <c r="I682" s="17"/>
      <c r="J682" s="73"/>
      <c r="K682" s="17"/>
      <c r="L682" s="17"/>
      <c r="M682" s="73"/>
      <c r="N682" s="73"/>
      <c r="O682" s="19"/>
      <c r="P682" s="15">
        <v>115</v>
      </c>
      <c r="Q682" s="16"/>
      <c r="R682" s="11"/>
      <c r="S682" s="16"/>
    </row>
    <row r="683" spans="1:19" x14ac:dyDescent="0.2">
      <c r="A683" s="30" t="s">
        <v>410</v>
      </c>
      <c r="B683" s="13">
        <v>7</v>
      </c>
      <c r="C683" s="86">
        <v>10.9</v>
      </c>
      <c r="D683" s="17"/>
      <c r="E683" s="17"/>
      <c r="F683" s="17"/>
      <c r="G683" s="17"/>
      <c r="H683" s="17"/>
      <c r="I683" s="17"/>
      <c r="J683" s="73"/>
      <c r="K683" s="17"/>
      <c r="L683" s="17"/>
      <c r="M683" s="73"/>
      <c r="N683" s="73"/>
      <c r="O683" s="19"/>
      <c r="P683" s="15">
        <v>32</v>
      </c>
      <c r="Q683" s="16"/>
      <c r="R683" s="11"/>
      <c r="S683" s="16"/>
    </row>
    <row r="684" spans="1:19" x14ac:dyDescent="0.2">
      <c r="A684" s="17" t="s">
        <v>545</v>
      </c>
      <c r="B684" s="13">
        <v>7</v>
      </c>
      <c r="C684" s="86">
        <v>75.599999999999994</v>
      </c>
      <c r="D684" s="17"/>
      <c r="E684" s="17"/>
      <c r="F684" s="17"/>
      <c r="G684" s="17"/>
      <c r="H684" s="17"/>
      <c r="I684" s="17"/>
      <c r="J684" s="73"/>
      <c r="K684" s="17"/>
      <c r="L684" s="17"/>
      <c r="M684" s="73"/>
      <c r="N684" s="73"/>
      <c r="O684" s="19"/>
      <c r="P684" s="15">
        <v>7</v>
      </c>
      <c r="Q684" s="16"/>
      <c r="R684" s="11"/>
      <c r="S684" s="16"/>
    </row>
    <row r="685" spans="1:19" x14ac:dyDescent="0.2">
      <c r="A685" s="53" t="s">
        <v>546</v>
      </c>
      <c r="B685" s="61">
        <v>7</v>
      </c>
      <c r="C685" s="82"/>
      <c r="D685" s="53"/>
      <c r="E685" s="53"/>
      <c r="F685" s="53"/>
      <c r="G685" s="53"/>
      <c r="H685" s="53"/>
      <c r="I685" s="53"/>
      <c r="J685" s="82"/>
      <c r="K685" s="53"/>
      <c r="L685" s="53"/>
      <c r="M685" s="82"/>
      <c r="N685" s="82"/>
      <c r="O685" s="54"/>
      <c r="P685" s="30">
        <v>81</v>
      </c>
      <c r="Q685" s="55"/>
      <c r="R685" s="56"/>
      <c r="S685" s="55"/>
    </row>
    <row r="686" spans="1:19" x14ac:dyDescent="0.2">
      <c r="A686" s="17" t="s">
        <v>547</v>
      </c>
      <c r="B686" s="13">
        <v>7</v>
      </c>
      <c r="C686" s="86">
        <v>146.6</v>
      </c>
      <c r="D686" s="17"/>
      <c r="E686" s="17"/>
      <c r="F686" s="17"/>
      <c r="G686" s="17"/>
      <c r="H686" s="17"/>
      <c r="I686" s="17"/>
      <c r="J686" s="73"/>
      <c r="K686" s="17"/>
      <c r="L686" s="17"/>
      <c r="M686" s="73"/>
      <c r="N686" s="73"/>
      <c r="O686" s="19"/>
      <c r="P686" s="15">
        <v>40</v>
      </c>
      <c r="Q686" s="16"/>
      <c r="R686" s="17"/>
      <c r="S686" s="16"/>
    </row>
    <row r="687" spans="1:19" x14ac:dyDescent="0.2">
      <c r="A687" s="17" t="s">
        <v>548</v>
      </c>
      <c r="B687" s="13">
        <v>7</v>
      </c>
      <c r="C687" s="86"/>
      <c r="D687" s="17"/>
      <c r="E687" s="17"/>
      <c r="F687" s="17"/>
      <c r="G687" s="17"/>
      <c r="H687" s="17"/>
      <c r="I687" s="17"/>
      <c r="J687" s="73"/>
      <c r="K687" s="17"/>
      <c r="L687" s="17"/>
      <c r="M687" s="73"/>
      <c r="N687" s="73"/>
      <c r="O687" s="19"/>
      <c r="P687" s="15">
        <v>30</v>
      </c>
      <c r="Q687" s="16"/>
      <c r="R687" s="11"/>
      <c r="S687" s="16"/>
    </row>
    <row r="688" spans="1:19" x14ac:dyDescent="0.2">
      <c r="A688" s="17" t="s">
        <v>549</v>
      </c>
      <c r="B688" s="13">
        <v>7</v>
      </c>
      <c r="C688" s="86"/>
      <c r="D688" s="17"/>
      <c r="E688" s="17"/>
      <c r="F688" s="17"/>
      <c r="G688" s="17"/>
      <c r="H688" s="17"/>
      <c r="I688" s="17"/>
      <c r="J688" s="73"/>
      <c r="K688" s="17"/>
      <c r="L688" s="17"/>
      <c r="M688" s="73"/>
      <c r="N688" s="73"/>
      <c r="O688" s="19"/>
      <c r="P688" s="15">
        <v>0</v>
      </c>
      <c r="Q688" s="16"/>
      <c r="R688" s="11"/>
      <c r="S688" s="16"/>
    </row>
    <row r="689" spans="1:19" x14ac:dyDescent="0.2">
      <c r="A689" s="17" t="s">
        <v>567</v>
      </c>
      <c r="B689" s="13">
        <v>8</v>
      </c>
      <c r="C689" s="86">
        <v>11170</v>
      </c>
      <c r="D689" s="17"/>
      <c r="E689" s="17"/>
      <c r="F689" s="17"/>
      <c r="G689" s="17"/>
      <c r="H689" s="17"/>
      <c r="I689" s="17"/>
      <c r="J689" s="73"/>
      <c r="K689" s="17"/>
      <c r="L689" s="17"/>
      <c r="M689" s="73"/>
      <c r="N689" s="73"/>
      <c r="O689" s="19"/>
      <c r="P689" s="15">
        <v>32</v>
      </c>
      <c r="Q689" s="16"/>
      <c r="R689" s="11"/>
      <c r="S689" s="16"/>
    </row>
    <row r="690" spans="1:19" x14ac:dyDescent="0.2">
      <c r="A690" s="17" t="s">
        <v>568</v>
      </c>
      <c r="B690" s="13">
        <v>8</v>
      </c>
      <c r="C690" s="86">
        <v>17644</v>
      </c>
      <c r="D690" s="17"/>
      <c r="E690" s="17"/>
      <c r="F690" s="17"/>
      <c r="G690" s="17"/>
      <c r="H690" s="17"/>
      <c r="I690" s="17"/>
      <c r="J690" s="73"/>
      <c r="K690" s="17"/>
      <c r="L690" s="17"/>
      <c r="M690" s="73"/>
      <c r="N690" s="73"/>
      <c r="O690" s="19"/>
      <c r="P690" s="15">
        <v>30</v>
      </c>
      <c r="Q690" s="16"/>
      <c r="R690" s="11"/>
      <c r="S690" s="16"/>
    </row>
    <row r="691" spans="1:19" x14ac:dyDescent="0.2">
      <c r="A691" s="17" t="s">
        <v>569</v>
      </c>
      <c r="B691" s="13">
        <v>8</v>
      </c>
      <c r="C691" s="86">
        <v>2100.6</v>
      </c>
      <c r="D691" s="17"/>
      <c r="E691" s="17"/>
      <c r="F691" s="17"/>
      <c r="G691" s="17"/>
      <c r="H691" s="17"/>
      <c r="I691" s="17"/>
      <c r="J691" s="73"/>
      <c r="K691" s="17"/>
      <c r="L691" s="17"/>
      <c r="M691" s="73"/>
      <c r="N691" s="73"/>
      <c r="O691" s="19"/>
      <c r="P691" s="15">
        <v>20</v>
      </c>
      <c r="Q691" s="16"/>
      <c r="R691" s="11"/>
      <c r="S691" s="16"/>
    </row>
    <row r="692" spans="1:19" x14ac:dyDescent="0.2">
      <c r="A692" s="17" t="s">
        <v>570</v>
      </c>
      <c r="B692" s="13">
        <v>8</v>
      </c>
      <c r="C692" s="86">
        <v>54810</v>
      </c>
      <c r="D692" s="17"/>
      <c r="E692" s="17"/>
      <c r="F692" s="17"/>
      <c r="G692" s="17"/>
      <c r="H692" s="17"/>
      <c r="I692" s="17"/>
      <c r="J692" s="73"/>
      <c r="K692" s="17"/>
      <c r="L692" s="17"/>
      <c r="M692" s="73"/>
      <c r="N692" s="73"/>
      <c r="O692" s="19"/>
      <c r="P692" s="15">
        <v>5</v>
      </c>
      <c r="Q692" s="16"/>
      <c r="R692" s="11"/>
      <c r="S692" s="16"/>
    </row>
    <row r="693" spans="1:19" x14ac:dyDescent="0.2">
      <c r="A693" s="17"/>
      <c r="B693" s="13"/>
      <c r="C693" s="86"/>
      <c r="D693" s="17"/>
      <c r="E693" s="17"/>
      <c r="F693" s="17"/>
      <c r="G693" s="17"/>
      <c r="H693" s="17"/>
      <c r="I693" s="17"/>
      <c r="J693" s="73"/>
      <c r="K693" s="17"/>
      <c r="L693" s="17"/>
      <c r="M693" s="73"/>
      <c r="N693" s="73"/>
      <c r="O693" s="19"/>
      <c r="P693" s="15"/>
      <c r="Q693" s="16"/>
      <c r="R693" s="11"/>
      <c r="S693" s="16"/>
    </row>
    <row r="694" spans="1:19" x14ac:dyDescent="0.2">
      <c r="A694" s="17" t="s">
        <v>628</v>
      </c>
      <c r="B694" s="13">
        <v>9</v>
      </c>
      <c r="C694" s="86">
        <v>255.6</v>
      </c>
      <c r="D694" s="17"/>
      <c r="E694" s="17"/>
      <c r="F694" s="17"/>
      <c r="G694" s="17"/>
      <c r="H694" s="17"/>
      <c r="I694" s="17"/>
      <c r="J694" s="73"/>
      <c r="K694" s="17"/>
      <c r="L694" s="17"/>
      <c r="M694" s="73"/>
      <c r="N694" s="73"/>
      <c r="O694" s="19"/>
      <c r="P694" s="15">
        <v>15</v>
      </c>
      <c r="Q694" s="16"/>
      <c r="R694" s="11"/>
      <c r="S694" s="16"/>
    </row>
    <row r="695" spans="1:19" x14ac:dyDescent="0.2">
      <c r="A695" s="17" t="s">
        <v>619</v>
      </c>
      <c r="B695" s="13">
        <v>9</v>
      </c>
      <c r="C695" s="86">
        <v>305.2</v>
      </c>
      <c r="D695" s="17"/>
      <c r="E695" s="17"/>
      <c r="F695" s="17"/>
      <c r="G695" s="17"/>
      <c r="H695" s="17"/>
      <c r="I695" s="17"/>
      <c r="J695" s="73"/>
      <c r="K695" s="17"/>
      <c r="L695" s="17"/>
      <c r="M695" s="73"/>
      <c r="N695" s="73"/>
      <c r="O695" s="19"/>
      <c r="P695" s="15">
        <v>37</v>
      </c>
      <c r="Q695" s="16"/>
      <c r="R695" s="11"/>
      <c r="S695" s="16"/>
    </row>
    <row r="696" spans="1:19" x14ac:dyDescent="0.2">
      <c r="A696" s="17" t="s">
        <v>434</v>
      </c>
      <c r="B696" s="13">
        <v>9</v>
      </c>
      <c r="C696" s="86">
        <v>468.1</v>
      </c>
      <c r="D696" s="17"/>
      <c r="E696" s="17"/>
      <c r="F696" s="17"/>
      <c r="G696" s="17"/>
      <c r="H696" s="17"/>
      <c r="I696" s="17"/>
      <c r="J696" s="73"/>
      <c r="K696" s="17"/>
      <c r="L696" s="17"/>
      <c r="M696" s="73"/>
      <c r="N696" s="73"/>
      <c r="O696" s="19"/>
      <c r="P696" s="15">
        <v>1</v>
      </c>
      <c r="Q696" s="16"/>
      <c r="R696" s="11"/>
      <c r="S696" s="16"/>
    </row>
    <row r="697" spans="1:19" x14ac:dyDescent="0.2">
      <c r="A697" s="17" t="s">
        <v>622</v>
      </c>
      <c r="B697" s="13">
        <v>10</v>
      </c>
      <c r="C697" s="86">
        <v>395.3</v>
      </c>
      <c r="D697" s="17"/>
      <c r="E697" s="17"/>
      <c r="F697" s="17"/>
      <c r="G697" s="17"/>
      <c r="H697" s="17"/>
      <c r="I697" s="17"/>
      <c r="J697" s="73"/>
      <c r="K697" s="17"/>
      <c r="L697" s="17"/>
      <c r="M697" s="73"/>
      <c r="N697" s="73"/>
      <c r="O697" s="19"/>
      <c r="P697" s="15">
        <v>12</v>
      </c>
      <c r="Q697" s="16"/>
      <c r="R697" s="11"/>
      <c r="S697" s="16"/>
    </row>
    <row r="698" spans="1:19" x14ac:dyDescent="0.2">
      <c r="A698" s="17" t="s">
        <v>621</v>
      </c>
      <c r="B698" s="13">
        <v>10</v>
      </c>
      <c r="C698" s="86">
        <v>360.3</v>
      </c>
      <c r="D698" s="17"/>
      <c r="E698" s="17"/>
      <c r="F698" s="17"/>
      <c r="G698" s="17"/>
      <c r="H698" s="17"/>
      <c r="I698" s="17"/>
      <c r="J698" s="73"/>
      <c r="K698" s="17"/>
      <c r="L698" s="17"/>
      <c r="M698" s="73"/>
      <c r="N698" s="73"/>
      <c r="O698" s="19"/>
      <c r="P698" s="15">
        <v>5</v>
      </c>
      <c r="Q698" s="16"/>
      <c r="R698" s="11"/>
      <c r="S698" s="16"/>
    </row>
    <row r="699" spans="1:19" x14ac:dyDescent="0.2">
      <c r="A699" s="17" t="s">
        <v>620</v>
      </c>
      <c r="B699" s="13">
        <v>10</v>
      </c>
      <c r="C699" s="86">
        <v>185.5</v>
      </c>
      <c r="D699" s="17"/>
      <c r="E699" s="17"/>
      <c r="F699" s="17"/>
      <c r="G699" s="17"/>
      <c r="H699" s="17"/>
      <c r="I699" s="17"/>
      <c r="J699" s="73"/>
      <c r="K699" s="17"/>
      <c r="L699" s="17"/>
      <c r="M699" s="73"/>
      <c r="N699" s="73"/>
      <c r="O699" s="19"/>
      <c r="P699" s="15">
        <v>8</v>
      </c>
      <c r="Q699" s="16"/>
      <c r="R699" s="11"/>
      <c r="S699" s="16"/>
    </row>
    <row r="700" spans="1:19" x14ac:dyDescent="0.2">
      <c r="A700" s="17" t="s">
        <v>623</v>
      </c>
      <c r="B700" s="13">
        <v>10</v>
      </c>
      <c r="C700" s="86">
        <v>652.20000000000005</v>
      </c>
      <c r="D700" s="17"/>
      <c r="E700" s="17"/>
      <c r="F700" s="17"/>
      <c r="G700" s="17"/>
      <c r="H700" s="17"/>
      <c r="I700" s="17"/>
      <c r="J700" s="73"/>
      <c r="K700" s="17"/>
      <c r="L700" s="17"/>
      <c r="M700" s="73"/>
      <c r="N700" s="73"/>
      <c r="O700" s="19"/>
      <c r="P700" s="15">
        <v>5</v>
      </c>
      <c r="Q700" s="16"/>
      <c r="R700" s="11"/>
      <c r="S700" s="16"/>
    </row>
    <row r="701" spans="1:19" x14ac:dyDescent="0.2">
      <c r="A701" s="17" t="s">
        <v>624</v>
      </c>
      <c r="B701" s="13">
        <v>10</v>
      </c>
      <c r="C701" s="86">
        <v>163.19999999999999</v>
      </c>
      <c r="D701" s="17"/>
      <c r="E701" s="17"/>
      <c r="F701" s="17"/>
      <c r="G701" s="17"/>
      <c r="H701" s="17"/>
      <c r="I701" s="17"/>
      <c r="J701" s="73"/>
      <c r="K701" s="17"/>
      <c r="L701" s="17"/>
      <c r="M701" s="73"/>
      <c r="N701" s="73"/>
      <c r="O701" s="19"/>
      <c r="P701" s="15">
        <v>6</v>
      </c>
      <c r="Q701" s="16"/>
      <c r="R701" s="11"/>
      <c r="S701" s="16"/>
    </row>
    <row r="702" spans="1:19" x14ac:dyDescent="0.2">
      <c r="A702" s="17" t="s">
        <v>625</v>
      </c>
      <c r="B702" s="13">
        <v>10</v>
      </c>
      <c r="C702" s="86">
        <v>208.1</v>
      </c>
      <c r="D702" s="17"/>
      <c r="E702" s="17"/>
      <c r="F702" s="17"/>
      <c r="G702" s="17"/>
      <c r="H702" s="17"/>
      <c r="I702" s="17"/>
      <c r="J702" s="73"/>
      <c r="K702" s="17"/>
      <c r="L702" s="17"/>
      <c r="M702" s="73"/>
      <c r="N702" s="73"/>
      <c r="O702" s="19"/>
      <c r="P702" s="15">
        <v>8</v>
      </c>
      <c r="Q702" s="16"/>
      <c r="R702" s="11"/>
      <c r="S702" s="16"/>
    </row>
    <row r="703" spans="1:19" x14ac:dyDescent="0.2">
      <c r="A703" s="17" t="s">
        <v>626</v>
      </c>
      <c r="B703" s="13">
        <v>10</v>
      </c>
      <c r="C703" s="86">
        <v>68.400000000000006</v>
      </c>
      <c r="D703" s="17"/>
      <c r="E703" s="17"/>
      <c r="F703" s="17"/>
      <c r="G703" s="17"/>
      <c r="H703" s="17"/>
      <c r="I703" s="17"/>
      <c r="J703" s="73"/>
      <c r="K703" s="17"/>
      <c r="L703" s="17"/>
      <c r="M703" s="73"/>
      <c r="N703" s="73"/>
      <c r="O703" s="19"/>
      <c r="P703" s="15">
        <v>9</v>
      </c>
      <c r="Q703" s="16"/>
      <c r="R703" s="11"/>
      <c r="S703" s="16"/>
    </row>
    <row r="704" spans="1:19" x14ac:dyDescent="0.2">
      <c r="A704" s="17"/>
      <c r="B704" s="13"/>
      <c r="C704" s="86"/>
      <c r="D704" s="17"/>
      <c r="E704" s="17"/>
      <c r="F704" s="17"/>
      <c r="G704" s="17"/>
      <c r="H704" s="17"/>
      <c r="I704" s="17"/>
      <c r="J704" s="73"/>
      <c r="K704" s="17"/>
      <c r="L704" s="17"/>
      <c r="M704" s="73"/>
      <c r="N704" s="73"/>
      <c r="O704" s="19"/>
      <c r="P704" s="15"/>
      <c r="Q704" s="16"/>
      <c r="R704" s="11"/>
      <c r="S704" s="16"/>
    </row>
    <row r="705" spans="1:19" x14ac:dyDescent="0.2">
      <c r="A705" s="17"/>
      <c r="B705" s="13"/>
      <c r="C705" s="86"/>
      <c r="D705" s="17"/>
      <c r="E705" s="17"/>
      <c r="F705" s="17"/>
      <c r="G705" s="17"/>
      <c r="H705" s="17"/>
      <c r="I705" s="17"/>
      <c r="J705" s="73"/>
      <c r="K705" s="17"/>
      <c r="L705" s="17"/>
      <c r="M705" s="73"/>
      <c r="N705" s="73"/>
      <c r="O705" s="19"/>
      <c r="P705" s="15"/>
      <c r="Q705" s="16"/>
      <c r="R705" s="11"/>
      <c r="S705" s="16"/>
    </row>
    <row r="706" spans="1:19" x14ac:dyDescent="0.2">
      <c r="A706" s="17"/>
      <c r="B706" s="13"/>
      <c r="C706" s="86"/>
      <c r="D706" s="17"/>
      <c r="E706" s="17"/>
      <c r="F706" s="17"/>
      <c r="G706" s="17"/>
      <c r="H706" s="17"/>
      <c r="I706" s="17"/>
      <c r="J706" s="73"/>
      <c r="K706" s="17"/>
      <c r="L706" s="17"/>
      <c r="M706" s="73"/>
      <c r="N706" s="73"/>
      <c r="O706" s="19"/>
      <c r="P706" s="15"/>
      <c r="Q706" s="16"/>
      <c r="R706" s="11"/>
      <c r="S706" s="16"/>
    </row>
    <row r="707" spans="1:19" x14ac:dyDescent="0.2">
      <c r="A707" s="17"/>
      <c r="B707" s="13"/>
      <c r="C707" s="86"/>
      <c r="D707" s="17"/>
      <c r="E707" s="17"/>
      <c r="F707" s="17"/>
      <c r="G707" s="17"/>
      <c r="H707" s="17"/>
      <c r="I707" s="17"/>
      <c r="J707" s="73"/>
      <c r="K707" s="17"/>
      <c r="L707" s="17"/>
      <c r="M707" s="73"/>
      <c r="N707" s="73"/>
      <c r="O707" s="19"/>
      <c r="P707" s="15"/>
      <c r="Q707" s="16"/>
      <c r="R707" s="11"/>
      <c r="S707" s="16"/>
    </row>
    <row r="708" spans="1:19" x14ac:dyDescent="0.2">
      <c r="A708" s="17"/>
      <c r="B708" s="13"/>
      <c r="C708" s="86"/>
      <c r="D708" s="17"/>
      <c r="E708" s="17"/>
      <c r="F708" s="17"/>
      <c r="G708" s="17"/>
      <c r="H708" s="17"/>
      <c r="I708" s="17"/>
      <c r="J708" s="73"/>
      <c r="K708" s="17"/>
      <c r="L708" s="17"/>
      <c r="M708" s="73"/>
      <c r="N708" s="73"/>
      <c r="O708" s="19"/>
      <c r="P708" s="15"/>
      <c r="Q708" s="16"/>
      <c r="R708" s="11"/>
      <c r="S708" s="16"/>
    </row>
    <row r="709" spans="1:19" x14ac:dyDescent="0.2">
      <c r="A709" s="17"/>
      <c r="B709" s="13"/>
      <c r="C709" s="86"/>
      <c r="D709" s="17"/>
      <c r="E709" s="17"/>
      <c r="F709" s="17"/>
      <c r="G709" s="17"/>
      <c r="H709" s="17"/>
      <c r="I709" s="17"/>
      <c r="J709" s="73"/>
      <c r="K709" s="17"/>
      <c r="L709" s="17"/>
      <c r="M709" s="73"/>
      <c r="N709" s="73"/>
      <c r="O709" s="19"/>
      <c r="P709" s="15"/>
      <c r="Q709" s="16"/>
      <c r="R709" s="11"/>
      <c r="S709" s="16"/>
    </row>
    <row r="710" spans="1:19" x14ac:dyDescent="0.2">
      <c r="A710" s="17"/>
      <c r="B710" s="13"/>
      <c r="C710" s="86"/>
      <c r="D710" s="17"/>
      <c r="E710" s="17"/>
      <c r="F710" s="17"/>
      <c r="G710" s="17"/>
      <c r="H710" s="17"/>
      <c r="I710" s="17"/>
      <c r="J710" s="73"/>
      <c r="K710" s="17"/>
      <c r="L710" s="17"/>
      <c r="M710" s="73"/>
      <c r="N710" s="73"/>
      <c r="O710" s="19"/>
      <c r="P710" s="15"/>
      <c r="Q710" s="16"/>
      <c r="R710" s="11"/>
      <c r="S710" s="16"/>
    </row>
    <row r="711" spans="1:19" x14ac:dyDescent="0.2">
      <c r="A711" s="17"/>
      <c r="B711" s="13"/>
      <c r="C711" s="86"/>
      <c r="D711" s="17"/>
      <c r="E711" s="17"/>
      <c r="F711" s="17"/>
      <c r="G711" s="17"/>
      <c r="H711" s="17"/>
      <c r="I711" s="17"/>
      <c r="J711" s="73"/>
      <c r="K711" s="17"/>
      <c r="L711" s="17"/>
      <c r="M711" s="73"/>
      <c r="N711" s="73"/>
      <c r="O711" s="19"/>
      <c r="P711" s="15"/>
      <c r="Q711" s="16"/>
      <c r="R711" s="11"/>
      <c r="S711" s="16"/>
    </row>
  </sheetData>
  <phoneticPr fontId="2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56"/>
  <sheetViews>
    <sheetView zoomScale="115" zoomScaleNormal="115" workbookViewId="0">
      <pane ySplit="2" topLeftCell="A3" activePane="bottomLeft" state="frozen"/>
      <selection pane="bottomLeft" activeCell="Q118" sqref="Q118"/>
    </sheetView>
  </sheetViews>
  <sheetFormatPr defaultRowHeight="13.2" x14ac:dyDescent="0.2"/>
  <cols>
    <col min="1" max="1" width="44.6640625" style="1" bestFit="1" customWidth="1"/>
    <col min="2" max="2" width="3.6640625" style="2" customWidth="1"/>
    <col min="3" max="3" width="5.21875" style="2" customWidth="1"/>
    <col min="4" max="4" width="8.44140625" style="35" customWidth="1"/>
    <col min="5" max="10" width="0" style="1" hidden="1" customWidth="1"/>
    <col min="11" max="11" width="8.77734375" customWidth="1"/>
    <col min="12" max="12" width="6.21875" style="36" customWidth="1"/>
    <col min="13" max="13" width="8.6640625" style="9" customWidth="1"/>
  </cols>
  <sheetData>
    <row r="1" spans="1:13" ht="20.100000000000001" customHeight="1" thickBot="1" x14ac:dyDescent="0.25">
      <c r="A1" s="1" t="s">
        <v>770</v>
      </c>
      <c r="D1" s="3"/>
      <c r="K1" s="8" t="s">
        <v>3</v>
      </c>
    </row>
    <row r="2" spans="1:13" ht="20.100000000000001" customHeight="1" x14ac:dyDescent="0.2">
      <c r="A2" s="64" t="s">
        <v>4</v>
      </c>
      <c r="B2" s="56" t="s">
        <v>5</v>
      </c>
      <c r="C2" s="56"/>
      <c r="D2" s="65" t="s">
        <v>6</v>
      </c>
      <c r="E2" s="51"/>
      <c r="F2" s="51"/>
      <c r="G2" s="51"/>
      <c r="H2" s="51"/>
      <c r="I2" s="51"/>
      <c r="J2" s="51"/>
      <c r="K2" s="66" t="s">
        <v>13</v>
      </c>
      <c r="L2" s="56" t="s">
        <v>15</v>
      </c>
      <c r="M2" s="55" t="s">
        <v>16</v>
      </c>
    </row>
    <row r="3" spans="1:13" ht="20.100000000000001" customHeight="1" x14ac:dyDescent="0.2">
      <c r="A3" s="53" t="s">
        <v>814</v>
      </c>
      <c r="B3" s="68">
        <v>8</v>
      </c>
      <c r="C3" s="51">
        <v>1</v>
      </c>
      <c r="D3" s="69">
        <v>41108</v>
      </c>
      <c r="E3" s="70"/>
      <c r="F3" s="53"/>
      <c r="G3" s="53"/>
      <c r="H3" s="71"/>
      <c r="I3" s="53"/>
      <c r="J3" s="53"/>
      <c r="K3" s="30">
        <v>4</v>
      </c>
      <c r="L3" s="56" t="s">
        <v>49</v>
      </c>
      <c r="M3" s="55">
        <f>SUM(D3*K3)</f>
        <v>164432</v>
      </c>
    </row>
    <row r="4" spans="1:13" ht="20.100000000000001" customHeight="1" x14ac:dyDescent="0.2">
      <c r="A4" s="53" t="s">
        <v>302</v>
      </c>
      <c r="B4" s="51">
        <v>40</v>
      </c>
      <c r="C4" s="51">
        <v>1</v>
      </c>
      <c r="D4" s="52">
        <v>52.6</v>
      </c>
      <c r="E4" s="53"/>
      <c r="F4" s="53"/>
      <c r="G4" s="53"/>
      <c r="H4" s="53"/>
      <c r="I4" s="53"/>
      <c r="J4" s="53"/>
      <c r="K4" s="30">
        <v>57</v>
      </c>
      <c r="L4" s="56" t="s">
        <v>49</v>
      </c>
      <c r="M4" s="55">
        <f t="shared" ref="M4:M67" si="0">SUM(D4*K4)</f>
        <v>2998.2000000000003</v>
      </c>
    </row>
    <row r="5" spans="1:13" ht="20.100000000000001" customHeight="1" x14ac:dyDescent="0.2">
      <c r="A5" s="53" t="s">
        <v>303</v>
      </c>
      <c r="B5" s="51">
        <v>40</v>
      </c>
      <c r="C5" s="51">
        <v>1</v>
      </c>
      <c r="D5" s="52">
        <v>303.75</v>
      </c>
      <c r="E5" s="53"/>
      <c r="F5" s="53"/>
      <c r="G5" s="53"/>
      <c r="H5" s="53"/>
      <c r="I5" s="53"/>
      <c r="J5" s="53"/>
      <c r="K5" s="30">
        <v>11</v>
      </c>
      <c r="L5" s="56" t="s">
        <v>445</v>
      </c>
      <c r="M5" s="55">
        <f t="shared" si="0"/>
        <v>3341.25</v>
      </c>
    </row>
    <row r="6" spans="1:13" ht="20.100000000000001" customHeight="1" x14ac:dyDescent="0.2">
      <c r="A6" s="53" t="s">
        <v>650</v>
      </c>
      <c r="B6" s="51">
        <v>40</v>
      </c>
      <c r="C6" s="51">
        <v>1</v>
      </c>
      <c r="D6" s="52">
        <v>341.2</v>
      </c>
      <c r="E6" s="53"/>
      <c r="F6" s="53"/>
      <c r="G6" s="53"/>
      <c r="H6" s="53"/>
      <c r="I6" s="53"/>
      <c r="J6" s="53"/>
      <c r="K6" s="30">
        <v>80</v>
      </c>
      <c r="L6" s="56" t="s">
        <v>49</v>
      </c>
      <c r="M6" s="55">
        <f t="shared" si="0"/>
        <v>27296</v>
      </c>
    </row>
    <row r="7" spans="1:13" ht="20.100000000000001" customHeight="1" x14ac:dyDescent="0.2">
      <c r="A7" s="53" t="s">
        <v>304</v>
      </c>
      <c r="B7" s="51">
        <v>40</v>
      </c>
      <c r="C7" s="51">
        <v>1</v>
      </c>
      <c r="D7" s="52">
        <v>163.69999999999999</v>
      </c>
      <c r="E7" s="53"/>
      <c r="F7" s="53"/>
      <c r="G7" s="53"/>
      <c r="H7" s="53"/>
      <c r="I7" s="53"/>
      <c r="J7" s="53"/>
      <c r="K7" s="30">
        <v>19</v>
      </c>
      <c r="L7" s="56" t="s">
        <v>49</v>
      </c>
      <c r="M7" s="55">
        <f t="shared" si="0"/>
        <v>3110.2999999999997</v>
      </c>
    </row>
    <row r="8" spans="1:13" ht="20.100000000000001" customHeight="1" x14ac:dyDescent="0.2">
      <c r="A8" s="53" t="s">
        <v>795</v>
      </c>
      <c r="B8" s="51">
        <v>40</v>
      </c>
      <c r="C8" s="51">
        <v>1</v>
      </c>
      <c r="D8" s="52">
        <v>274</v>
      </c>
      <c r="E8" s="53"/>
      <c r="F8" s="53"/>
      <c r="G8" s="53"/>
      <c r="H8" s="53"/>
      <c r="I8" s="53"/>
      <c r="J8" s="53"/>
      <c r="K8" s="30">
        <v>19</v>
      </c>
      <c r="L8" s="56" t="s">
        <v>445</v>
      </c>
      <c r="M8" s="55">
        <f t="shared" si="0"/>
        <v>5206</v>
      </c>
    </row>
    <row r="9" spans="1:13" ht="20.100000000000001" customHeight="1" x14ac:dyDescent="0.2">
      <c r="A9" s="53" t="s">
        <v>750</v>
      </c>
      <c r="B9" s="51">
        <v>40</v>
      </c>
      <c r="C9" s="51">
        <v>1</v>
      </c>
      <c r="D9" s="72">
        <v>1483</v>
      </c>
      <c r="E9" s="53"/>
      <c r="F9" s="53"/>
      <c r="G9" s="53"/>
      <c r="H9" s="53"/>
      <c r="I9" s="53"/>
      <c r="J9" s="53"/>
      <c r="K9" s="30">
        <v>3</v>
      </c>
      <c r="L9" s="56" t="s">
        <v>49</v>
      </c>
      <c r="M9" s="55">
        <f t="shared" si="0"/>
        <v>4449</v>
      </c>
    </row>
    <row r="10" spans="1:13" ht="20.100000000000001" customHeight="1" x14ac:dyDescent="0.2">
      <c r="A10" s="53" t="s">
        <v>305</v>
      </c>
      <c r="B10" s="51">
        <v>40</v>
      </c>
      <c r="C10" s="51">
        <v>1</v>
      </c>
      <c r="D10" s="52">
        <v>80</v>
      </c>
      <c r="E10" s="53"/>
      <c r="F10" s="53"/>
      <c r="G10" s="53"/>
      <c r="H10" s="53"/>
      <c r="I10" s="53"/>
      <c r="J10" s="53"/>
      <c r="K10" s="30">
        <v>42</v>
      </c>
      <c r="L10" s="56" t="s">
        <v>49</v>
      </c>
      <c r="M10" s="55">
        <f t="shared" si="0"/>
        <v>3360</v>
      </c>
    </row>
    <row r="11" spans="1:13" ht="20.100000000000001" customHeight="1" x14ac:dyDescent="0.2">
      <c r="A11" s="53" t="s">
        <v>306</v>
      </c>
      <c r="B11" s="51">
        <v>40</v>
      </c>
      <c r="C11" s="51">
        <v>1</v>
      </c>
      <c r="D11" s="52">
        <v>83.7</v>
      </c>
      <c r="E11" s="53"/>
      <c r="F11" s="53"/>
      <c r="G11" s="53"/>
      <c r="H11" s="53"/>
      <c r="I11" s="53"/>
      <c r="J11" s="53"/>
      <c r="K11" s="30">
        <v>7</v>
      </c>
      <c r="L11" s="56" t="s">
        <v>49</v>
      </c>
      <c r="M11" s="55">
        <f t="shared" si="0"/>
        <v>585.9</v>
      </c>
    </row>
    <row r="12" spans="1:13" ht="20.100000000000001" customHeight="1" x14ac:dyDescent="0.2">
      <c r="A12" s="53" t="s">
        <v>796</v>
      </c>
      <c r="B12" s="51">
        <v>40</v>
      </c>
      <c r="C12" s="51">
        <v>1</v>
      </c>
      <c r="D12" s="52">
        <v>1800.6</v>
      </c>
      <c r="E12" s="53"/>
      <c r="F12" s="53"/>
      <c r="G12" s="53"/>
      <c r="H12" s="53"/>
      <c r="I12" s="53"/>
      <c r="J12" s="53"/>
      <c r="K12" s="30">
        <v>2</v>
      </c>
      <c r="L12" s="56" t="s">
        <v>49</v>
      </c>
      <c r="M12" s="55">
        <f t="shared" si="0"/>
        <v>3601.2</v>
      </c>
    </row>
    <row r="13" spans="1:13" ht="20.100000000000001" customHeight="1" x14ac:dyDescent="0.2">
      <c r="A13" s="57" t="s">
        <v>797</v>
      </c>
      <c r="B13" s="51">
        <v>40</v>
      </c>
      <c r="C13" s="51">
        <v>1</v>
      </c>
      <c r="D13" s="58">
        <v>637</v>
      </c>
      <c r="E13" s="53"/>
      <c r="F13" s="53"/>
      <c r="G13" s="53"/>
      <c r="H13" s="53"/>
      <c r="I13" s="53"/>
      <c r="J13" s="53"/>
      <c r="K13" s="30">
        <v>11</v>
      </c>
      <c r="L13" s="56" t="s">
        <v>445</v>
      </c>
      <c r="M13" s="55">
        <f t="shared" si="0"/>
        <v>7007</v>
      </c>
    </row>
    <row r="14" spans="1:13" ht="20.100000000000001" customHeight="1" x14ac:dyDescent="0.2">
      <c r="A14" s="53" t="s">
        <v>309</v>
      </c>
      <c r="B14" s="51">
        <v>40</v>
      </c>
      <c r="C14" s="51">
        <v>1</v>
      </c>
      <c r="D14" s="52">
        <v>4032</v>
      </c>
      <c r="E14" s="53"/>
      <c r="F14" s="53"/>
      <c r="G14" s="53"/>
      <c r="H14" s="53"/>
      <c r="I14" s="53"/>
      <c r="J14" s="53"/>
      <c r="K14" s="67">
        <v>1</v>
      </c>
      <c r="L14" s="56" t="s">
        <v>49</v>
      </c>
      <c r="M14" s="55">
        <f t="shared" si="0"/>
        <v>4032</v>
      </c>
    </row>
    <row r="15" spans="1:13" ht="20.100000000000001" customHeight="1" x14ac:dyDescent="0.2">
      <c r="A15" s="57" t="s">
        <v>310</v>
      </c>
      <c r="B15" s="51">
        <v>40</v>
      </c>
      <c r="C15" s="51">
        <v>1</v>
      </c>
      <c r="D15" s="58">
        <v>109.5</v>
      </c>
      <c r="E15" s="53"/>
      <c r="F15" s="53"/>
      <c r="G15" s="53"/>
      <c r="H15" s="53"/>
      <c r="I15" s="53"/>
      <c r="J15" s="53"/>
      <c r="K15" s="30">
        <v>17</v>
      </c>
      <c r="L15" s="56" t="s">
        <v>49</v>
      </c>
      <c r="M15" s="55">
        <f t="shared" si="0"/>
        <v>1861.5</v>
      </c>
    </row>
    <row r="16" spans="1:13" ht="20.100000000000001" customHeight="1" x14ac:dyDescent="0.2">
      <c r="A16" s="57" t="s">
        <v>644</v>
      </c>
      <c r="B16" s="51">
        <v>40</v>
      </c>
      <c r="C16" s="51">
        <v>1</v>
      </c>
      <c r="D16" s="58">
        <v>136.80000000000001</v>
      </c>
      <c r="E16" s="53"/>
      <c r="F16" s="53"/>
      <c r="G16" s="53"/>
      <c r="H16" s="53"/>
      <c r="I16" s="53"/>
      <c r="J16" s="53"/>
      <c r="K16" s="30">
        <v>0</v>
      </c>
      <c r="L16" s="56" t="s">
        <v>49</v>
      </c>
      <c r="M16" s="55">
        <f t="shared" si="0"/>
        <v>0</v>
      </c>
    </row>
    <row r="17" spans="1:13" ht="20.100000000000001" customHeight="1" x14ac:dyDescent="0.2">
      <c r="A17" s="53" t="s">
        <v>878</v>
      </c>
      <c r="B17" s="51">
        <v>40</v>
      </c>
      <c r="C17" s="51">
        <v>1</v>
      </c>
      <c r="D17" s="52">
        <v>727</v>
      </c>
      <c r="E17" s="53"/>
      <c r="F17" s="53"/>
      <c r="G17" s="53"/>
      <c r="H17" s="53"/>
      <c r="I17" s="53"/>
      <c r="J17" s="53"/>
      <c r="K17" s="30">
        <v>0</v>
      </c>
      <c r="L17" s="56" t="s">
        <v>445</v>
      </c>
      <c r="M17" s="55">
        <f t="shared" si="0"/>
        <v>0</v>
      </c>
    </row>
    <row r="18" spans="1:13" ht="20.100000000000001" customHeight="1" x14ac:dyDescent="0.2">
      <c r="A18" s="53" t="s">
        <v>800</v>
      </c>
      <c r="B18" s="51">
        <v>40</v>
      </c>
      <c r="C18" s="51">
        <v>1</v>
      </c>
      <c r="D18" s="52">
        <v>9089</v>
      </c>
      <c r="E18" s="53"/>
      <c r="F18" s="53"/>
      <c r="G18" s="53"/>
      <c r="H18" s="53"/>
      <c r="I18" s="53"/>
      <c r="J18" s="53"/>
      <c r="K18" s="30">
        <v>1</v>
      </c>
      <c r="L18" s="56" t="s">
        <v>49</v>
      </c>
      <c r="M18" s="55">
        <f t="shared" si="0"/>
        <v>9089</v>
      </c>
    </row>
    <row r="19" spans="1:13" ht="20.100000000000001" customHeight="1" x14ac:dyDescent="0.2">
      <c r="A19" s="53" t="s">
        <v>312</v>
      </c>
      <c r="B19" s="51">
        <v>40</v>
      </c>
      <c r="C19" s="51">
        <v>1</v>
      </c>
      <c r="D19" s="52">
        <v>29907</v>
      </c>
      <c r="E19" s="53"/>
      <c r="F19" s="53"/>
      <c r="G19" s="53"/>
      <c r="H19" s="53"/>
      <c r="I19" s="53"/>
      <c r="J19" s="53"/>
      <c r="K19" s="30">
        <v>1</v>
      </c>
      <c r="L19" s="56" t="s">
        <v>49</v>
      </c>
      <c r="M19" s="55">
        <f t="shared" si="0"/>
        <v>29907</v>
      </c>
    </row>
    <row r="20" spans="1:13" ht="20.100000000000001" customHeight="1" x14ac:dyDescent="0.2">
      <c r="A20" s="53" t="s">
        <v>313</v>
      </c>
      <c r="B20" s="51">
        <v>40</v>
      </c>
      <c r="C20" s="51">
        <v>1</v>
      </c>
      <c r="D20" s="52">
        <v>35931</v>
      </c>
      <c r="E20" s="53"/>
      <c r="F20" s="53"/>
      <c r="G20" s="53"/>
      <c r="H20" s="53"/>
      <c r="I20" s="53"/>
      <c r="J20" s="53"/>
      <c r="K20" s="30">
        <v>2</v>
      </c>
      <c r="L20" s="56" t="s">
        <v>49</v>
      </c>
      <c r="M20" s="55">
        <f t="shared" si="0"/>
        <v>71862</v>
      </c>
    </row>
    <row r="21" spans="1:13" ht="20.100000000000001" customHeight="1" x14ac:dyDescent="0.2">
      <c r="A21" s="53" t="s">
        <v>314</v>
      </c>
      <c r="B21" s="51">
        <v>40</v>
      </c>
      <c r="C21" s="51">
        <v>1</v>
      </c>
      <c r="D21" s="52">
        <v>52.6</v>
      </c>
      <c r="E21" s="53"/>
      <c r="F21" s="53"/>
      <c r="G21" s="53"/>
      <c r="H21" s="53"/>
      <c r="I21" s="53"/>
      <c r="J21" s="53"/>
      <c r="K21" s="30">
        <v>14</v>
      </c>
      <c r="L21" s="56" t="s">
        <v>49</v>
      </c>
      <c r="M21" s="55">
        <f t="shared" si="0"/>
        <v>736.4</v>
      </c>
    </row>
    <row r="22" spans="1:13" ht="20.100000000000001" customHeight="1" x14ac:dyDescent="0.2">
      <c r="A22" s="57" t="s">
        <v>651</v>
      </c>
      <c r="B22" s="51">
        <v>40</v>
      </c>
      <c r="C22" s="51">
        <v>1</v>
      </c>
      <c r="D22" s="58">
        <v>51.8</v>
      </c>
      <c r="E22" s="53"/>
      <c r="F22" s="53"/>
      <c r="G22" s="53"/>
      <c r="H22" s="53"/>
      <c r="I22" s="53"/>
      <c r="J22" s="53"/>
      <c r="K22" s="30">
        <v>84</v>
      </c>
      <c r="L22" s="56" t="s">
        <v>49</v>
      </c>
      <c r="M22" s="55">
        <f t="shared" si="0"/>
        <v>4351.2</v>
      </c>
    </row>
    <row r="23" spans="1:13" ht="20.100000000000001" customHeight="1" x14ac:dyDescent="0.2">
      <c r="A23" s="53" t="s">
        <v>316</v>
      </c>
      <c r="B23" s="56">
        <v>40</v>
      </c>
      <c r="C23" s="51">
        <v>1</v>
      </c>
      <c r="D23" s="52"/>
      <c r="E23" s="53">
        <v>552</v>
      </c>
      <c r="F23" s="53">
        <v>100</v>
      </c>
      <c r="G23" s="53">
        <v>552</v>
      </c>
      <c r="H23" s="53">
        <v>100</v>
      </c>
      <c r="I23" s="53"/>
      <c r="J23" s="53"/>
      <c r="K23" s="30">
        <v>0</v>
      </c>
      <c r="L23" s="56" t="s">
        <v>49</v>
      </c>
      <c r="M23" s="55">
        <f t="shared" si="0"/>
        <v>0</v>
      </c>
    </row>
    <row r="24" spans="1:13" ht="20.100000000000001" customHeight="1" x14ac:dyDescent="0.2">
      <c r="A24" s="53" t="s">
        <v>317</v>
      </c>
      <c r="B24" s="56">
        <v>40</v>
      </c>
      <c r="C24" s="51">
        <v>1</v>
      </c>
      <c r="D24" s="52">
        <v>19.2</v>
      </c>
      <c r="E24" s="53">
        <v>1745</v>
      </c>
      <c r="F24" s="53">
        <v>80</v>
      </c>
      <c r="G24" s="53">
        <v>1745</v>
      </c>
      <c r="H24" s="53">
        <v>80</v>
      </c>
      <c r="I24" s="53"/>
      <c r="J24" s="53"/>
      <c r="K24" s="30">
        <v>0</v>
      </c>
      <c r="L24" s="56" t="s">
        <v>49</v>
      </c>
      <c r="M24" s="55">
        <f t="shared" si="0"/>
        <v>0</v>
      </c>
    </row>
    <row r="25" spans="1:13" ht="20.100000000000001" customHeight="1" x14ac:dyDescent="0.2">
      <c r="A25" s="57" t="s">
        <v>447</v>
      </c>
      <c r="B25" s="51">
        <v>40</v>
      </c>
      <c r="C25" s="51">
        <v>1</v>
      </c>
      <c r="D25" s="58">
        <v>187</v>
      </c>
      <c r="E25" s="53"/>
      <c r="F25" s="53"/>
      <c r="G25" s="53"/>
      <c r="H25" s="53"/>
      <c r="I25" s="53"/>
      <c r="J25" s="53"/>
      <c r="K25" s="30">
        <v>9</v>
      </c>
      <c r="L25" s="56" t="s">
        <v>49</v>
      </c>
      <c r="M25" s="55">
        <f t="shared" si="0"/>
        <v>1683</v>
      </c>
    </row>
    <row r="26" spans="1:13" ht="20.100000000000001" customHeight="1" x14ac:dyDescent="0.2">
      <c r="A26" s="53" t="s">
        <v>318</v>
      </c>
      <c r="B26" s="56">
        <v>40</v>
      </c>
      <c r="C26" s="51">
        <v>1</v>
      </c>
      <c r="D26" s="52">
        <v>52.1</v>
      </c>
      <c r="E26" s="53">
        <v>552</v>
      </c>
      <c r="F26" s="53">
        <v>10</v>
      </c>
      <c r="G26" s="53">
        <v>552</v>
      </c>
      <c r="H26" s="53">
        <v>10</v>
      </c>
      <c r="I26" s="53"/>
      <c r="J26" s="53"/>
      <c r="K26" s="30">
        <v>0</v>
      </c>
      <c r="L26" s="56" t="s">
        <v>49</v>
      </c>
      <c r="M26" s="55">
        <f t="shared" si="0"/>
        <v>0</v>
      </c>
    </row>
    <row r="27" spans="1:13" ht="20.100000000000001" customHeight="1" x14ac:dyDescent="0.2">
      <c r="A27" s="57" t="s">
        <v>319</v>
      </c>
      <c r="B27" s="51">
        <v>40</v>
      </c>
      <c r="C27" s="51">
        <v>1</v>
      </c>
      <c r="D27" s="58">
        <v>272.60000000000002</v>
      </c>
      <c r="E27" s="53"/>
      <c r="F27" s="53"/>
      <c r="G27" s="53"/>
      <c r="H27" s="53"/>
      <c r="I27" s="53"/>
      <c r="J27" s="53"/>
      <c r="K27" s="30">
        <v>11</v>
      </c>
      <c r="L27" s="56" t="s">
        <v>445</v>
      </c>
      <c r="M27" s="55">
        <f t="shared" si="0"/>
        <v>2998.6000000000004</v>
      </c>
    </row>
    <row r="28" spans="1:13" ht="20.100000000000001" customHeight="1" x14ac:dyDescent="0.2">
      <c r="A28" s="53" t="s">
        <v>320</v>
      </c>
      <c r="B28" s="51">
        <v>40</v>
      </c>
      <c r="C28" s="51">
        <v>1</v>
      </c>
      <c r="D28" s="52">
        <v>247.2</v>
      </c>
      <c r="E28" s="53"/>
      <c r="F28" s="53"/>
      <c r="G28" s="53"/>
      <c r="H28" s="53"/>
      <c r="I28" s="53"/>
      <c r="J28" s="53"/>
      <c r="K28" s="30">
        <v>14</v>
      </c>
      <c r="L28" s="56" t="s">
        <v>49</v>
      </c>
      <c r="M28" s="55">
        <f t="shared" si="0"/>
        <v>3460.7999999999997</v>
      </c>
    </row>
    <row r="29" spans="1:13" ht="20.100000000000001" customHeight="1" x14ac:dyDescent="0.2">
      <c r="A29" s="57" t="s">
        <v>321</v>
      </c>
      <c r="B29" s="51">
        <v>40</v>
      </c>
      <c r="C29" s="51">
        <v>1</v>
      </c>
      <c r="D29" s="58">
        <v>55</v>
      </c>
      <c r="E29" s="53"/>
      <c r="F29" s="53"/>
      <c r="G29" s="53"/>
      <c r="H29" s="53"/>
      <c r="I29" s="53"/>
      <c r="J29" s="53"/>
      <c r="K29" s="30">
        <v>10</v>
      </c>
      <c r="L29" s="56" t="s">
        <v>49</v>
      </c>
      <c r="M29" s="55">
        <f t="shared" si="0"/>
        <v>550</v>
      </c>
    </row>
    <row r="30" spans="1:13" ht="20.100000000000001" customHeight="1" x14ac:dyDescent="0.2">
      <c r="A30" s="57" t="s">
        <v>801</v>
      </c>
      <c r="B30" s="51">
        <v>40</v>
      </c>
      <c r="C30" s="51">
        <v>1</v>
      </c>
      <c r="D30" s="58">
        <v>109</v>
      </c>
      <c r="E30" s="53"/>
      <c r="F30" s="53"/>
      <c r="G30" s="53"/>
      <c r="H30" s="53"/>
      <c r="I30" s="53"/>
      <c r="J30" s="53"/>
      <c r="K30" s="30">
        <v>19</v>
      </c>
      <c r="L30" s="56"/>
      <c r="M30" s="55">
        <f t="shared" si="0"/>
        <v>2071</v>
      </c>
    </row>
    <row r="31" spans="1:13" ht="20.100000000000001" customHeight="1" x14ac:dyDescent="0.2">
      <c r="A31" s="57" t="s">
        <v>322</v>
      </c>
      <c r="B31" s="51">
        <v>40</v>
      </c>
      <c r="C31" s="51">
        <v>1</v>
      </c>
      <c r="D31" s="58">
        <v>123.8</v>
      </c>
      <c r="E31" s="53"/>
      <c r="F31" s="53"/>
      <c r="G31" s="53"/>
      <c r="H31" s="53"/>
      <c r="I31" s="53"/>
      <c r="J31" s="53"/>
      <c r="K31" s="30">
        <v>1</v>
      </c>
      <c r="L31" s="56" t="s">
        <v>49</v>
      </c>
      <c r="M31" s="55">
        <f t="shared" si="0"/>
        <v>123.8</v>
      </c>
    </row>
    <row r="32" spans="1:13" ht="20.100000000000001" customHeight="1" x14ac:dyDescent="0.2">
      <c r="A32" s="53" t="s">
        <v>323</v>
      </c>
      <c r="B32" s="56">
        <v>40</v>
      </c>
      <c r="C32" s="51">
        <v>1</v>
      </c>
      <c r="D32" s="52">
        <v>107.1</v>
      </c>
      <c r="E32" s="53"/>
      <c r="F32" s="53"/>
      <c r="G32" s="53"/>
      <c r="H32" s="53"/>
      <c r="I32" s="53"/>
      <c r="J32" s="53"/>
      <c r="K32" s="30">
        <v>4</v>
      </c>
      <c r="L32" s="56" t="s">
        <v>49</v>
      </c>
      <c r="M32" s="55">
        <f t="shared" si="0"/>
        <v>428.4</v>
      </c>
    </row>
    <row r="33" spans="1:13" ht="20.100000000000001" customHeight="1" x14ac:dyDescent="0.2">
      <c r="A33" s="53" t="s">
        <v>652</v>
      </c>
      <c r="B33" s="56">
        <v>40</v>
      </c>
      <c r="C33" s="51">
        <v>1</v>
      </c>
      <c r="D33" s="52">
        <v>538.29999999999995</v>
      </c>
      <c r="E33" s="53"/>
      <c r="F33" s="53"/>
      <c r="G33" s="53"/>
      <c r="H33" s="53"/>
      <c r="I33" s="53"/>
      <c r="J33" s="53"/>
      <c r="K33" s="30">
        <v>39</v>
      </c>
      <c r="L33" s="56" t="s">
        <v>49</v>
      </c>
      <c r="M33" s="55">
        <f t="shared" si="0"/>
        <v>20993.699999999997</v>
      </c>
    </row>
    <row r="34" spans="1:13" ht="20.100000000000001" customHeight="1" x14ac:dyDescent="0.2">
      <c r="A34" s="53" t="s">
        <v>367</v>
      </c>
      <c r="B34" s="51">
        <v>40</v>
      </c>
      <c r="C34" s="51">
        <v>1</v>
      </c>
      <c r="D34" s="52">
        <v>90</v>
      </c>
      <c r="E34" s="53"/>
      <c r="F34" s="53"/>
      <c r="G34" s="53"/>
      <c r="H34" s="53"/>
      <c r="I34" s="53"/>
      <c r="J34" s="53"/>
      <c r="K34" s="30">
        <v>155</v>
      </c>
      <c r="L34" s="56" t="s">
        <v>49</v>
      </c>
      <c r="M34" s="55">
        <f t="shared" si="0"/>
        <v>13950</v>
      </c>
    </row>
    <row r="35" spans="1:13" ht="20.100000000000001" customHeight="1" x14ac:dyDescent="0.2">
      <c r="A35" s="53" t="s">
        <v>324</v>
      </c>
      <c r="B35" s="51">
        <v>40</v>
      </c>
      <c r="C35" s="51">
        <v>1</v>
      </c>
      <c r="D35" s="52">
        <v>188.8</v>
      </c>
      <c r="E35" s="53"/>
      <c r="F35" s="53"/>
      <c r="G35" s="53"/>
      <c r="H35" s="53"/>
      <c r="I35" s="53"/>
      <c r="J35" s="53"/>
      <c r="K35" s="30">
        <v>130</v>
      </c>
      <c r="L35" s="56" t="s">
        <v>49</v>
      </c>
      <c r="M35" s="55">
        <f t="shared" si="0"/>
        <v>24544</v>
      </c>
    </row>
    <row r="36" spans="1:13" ht="20.100000000000001" customHeight="1" x14ac:dyDescent="0.2">
      <c r="A36" s="53" t="s">
        <v>664</v>
      </c>
      <c r="B36" s="51">
        <v>40</v>
      </c>
      <c r="C36" s="51">
        <v>1</v>
      </c>
      <c r="D36" s="52">
        <v>469.8</v>
      </c>
      <c r="E36" s="53"/>
      <c r="F36" s="53"/>
      <c r="G36" s="53"/>
      <c r="H36" s="53"/>
      <c r="I36" s="53"/>
      <c r="J36" s="53"/>
      <c r="K36" s="30">
        <v>46</v>
      </c>
      <c r="L36" s="56" t="s">
        <v>49</v>
      </c>
      <c r="M36" s="55">
        <f t="shared" si="0"/>
        <v>21610.799999999999</v>
      </c>
    </row>
    <row r="37" spans="1:13" ht="20.100000000000001" customHeight="1" x14ac:dyDescent="0.2">
      <c r="A37" s="57" t="s">
        <v>325</v>
      </c>
      <c r="B37" s="60">
        <v>40</v>
      </c>
      <c r="C37" s="51">
        <v>1</v>
      </c>
      <c r="D37" s="58">
        <v>405.4</v>
      </c>
      <c r="E37" s="53"/>
      <c r="F37" s="53"/>
      <c r="G37" s="53"/>
      <c r="H37" s="53"/>
      <c r="I37" s="53"/>
      <c r="J37" s="53"/>
      <c r="K37" s="30">
        <v>0</v>
      </c>
      <c r="L37" s="56" t="s">
        <v>49</v>
      </c>
      <c r="M37" s="55">
        <f t="shared" si="0"/>
        <v>0</v>
      </c>
    </row>
    <row r="38" spans="1:13" ht="20.100000000000001" customHeight="1" x14ac:dyDescent="0.2">
      <c r="A38" s="53" t="s">
        <v>326</v>
      </c>
      <c r="B38" s="51">
        <v>40</v>
      </c>
      <c r="C38" s="51">
        <v>1</v>
      </c>
      <c r="D38" s="52">
        <v>383.5</v>
      </c>
      <c r="E38" s="53"/>
      <c r="F38" s="53"/>
      <c r="G38" s="53"/>
      <c r="H38" s="53"/>
      <c r="I38" s="53"/>
      <c r="J38" s="53"/>
      <c r="K38" s="30">
        <v>74</v>
      </c>
      <c r="L38" s="56" t="s">
        <v>49</v>
      </c>
      <c r="M38" s="55">
        <f t="shared" si="0"/>
        <v>28379</v>
      </c>
    </row>
    <row r="39" spans="1:13" ht="20.100000000000001" customHeight="1" x14ac:dyDescent="0.2">
      <c r="A39" s="53" t="s">
        <v>327</v>
      </c>
      <c r="B39" s="51">
        <v>40</v>
      </c>
      <c r="C39" s="51">
        <v>1</v>
      </c>
      <c r="D39" s="52">
        <v>38961</v>
      </c>
      <c r="E39" s="53"/>
      <c r="F39" s="53"/>
      <c r="G39" s="53"/>
      <c r="H39" s="53"/>
      <c r="I39" s="53"/>
      <c r="J39" s="53"/>
      <c r="K39" s="30">
        <v>3</v>
      </c>
      <c r="L39" s="56" t="s">
        <v>49</v>
      </c>
      <c r="M39" s="55">
        <f t="shared" si="0"/>
        <v>116883</v>
      </c>
    </row>
    <row r="40" spans="1:13" ht="20.100000000000001" customHeight="1" x14ac:dyDescent="0.2">
      <c r="A40" s="53" t="s">
        <v>328</v>
      </c>
      <c r="B40" s="51">
        <v>40</v>
      </c>
      <c r="C40" s="51">
        <v>1</v>
      </c>
      <c r="D40" s="52">
        <v>49996</v>
      </c>
      <c r="E40" s="53"/>
      <c r="F40" s="53"/>
      <c r="G40" s="53"/>
      <c r="H40" s="53"/>
      <c r="I40" s="53"/>
      <c r="J40" s="53"/>
      <c r="K40" s="30">
        <v>1</v>
      </c>
      <c r="L40" s="56" t="s">
        <v>49</v>
      </c>
      <c r="M40" s="55">
        <f t="shared" si="0"/>
        <v>49996</v>
      </c>
    </row>
    <row r="41" spans="1:13" ht="20.100000000000001" customHeight="1" x14ac:dyDescent="0.2">
      <c r="A41" s="53" t="s">
        <v>330</v>
      </c>
      <c r="B41" s="51">
        <v>40</v>
      </c>
      <c r="C41" s="51">
        <v>1</v>
      </c>
      <c r="D41" s="52">
        <v>24411</v>
      </c>
      <c r="E41" s="53"/>
      <c r="F41" s="53"/>
      <c r="G41" s="53"/>
      <c r="H41" s="53"/>
      <c r="I41" s="53"/>
      <c r="J41" s="53"/>
      <c r="K41" s="30">
        <v>1</v>
      </c>
      <c r="L41" s="56" t="s">
        <v>49</v>
      </c>
      <c r="M41" s="55">
        <f t="shared" si="0"/>
        <v>24411</v>
      </c>
    </row>
    <row r="42" spans="1:13" ht="20.100000000000001" customHeight="1" x14ac:dyDescent="0.2">
      <c r="A42" s="53" t="s">
        <v>331</v>
      </c>
      <c r="B42" s="51">
        <v>40</v>
      </c>
      <c r="C42" s="51">
        <v>1</v>
      </c>
      <c r="D42" s="52">
        <v>32112</v>
      </c>
      <c r="E42" s="53"/>
      <c r="F42" s="53"/>
      <c r="G42" s="53"/>
      <c r="H42" s="53"/>
      <c r="I42" s="53"/>
      <c r="J42" s="53"/>
      <c r="K42" s="30">
        <v>1</v>
      </c>
      <c r="L42" s="56" t="s">
        <v>49</v>
      </c>
      <c r="M42" s="55">
        <f t="shared" si="0"/>
        <v>32112</v>
      </c>
    </row>
    <row r="43" spans="1:13" ht="20.100000000000001" customHeight="1" x14ac:dyDescent="0.2">
      <c r="A43" s="53" t="s">
        <v>332</v>
      </c>
      <c r="B43" s="51">
        <v>40</v>
      </c>
      <c r="C43" s="51">
        <v>1</v>
      </c>
      <c r="D43" s="52">
        <v>73.099999999999994</v>
      </c>
      <c r="E43" s="53"/>
      <c r="F43" s="53"/>
      <c r="G43" s="53"/>
      <c r="H43" s="53"/>
      <c r="I43" s="53"/>
      <c r="J43" s="53"/>
      <c r="K43" s="30">
        <v>9</v>
      </c>
      <c r="L43" s="56" t="s">
        <v>49</v>
      </c>
      <c r="M43" s="55">
        <f t="shared" si="0"/>
        <v>657.9</v>
      </c>
    </row>
    <row r="44" spans="1:13" ht="20.100000000000001" customHeight="1" x14ac:dyDescent="0.2">
      <c r="A44" s="57" t="s">
        <v>333</v>
      </c>
      <c r="B44" s="51">
        <v>40</v>
      </c>
      <c r="C44" s="51">
        <v>1</v>
      </c>
      <c r="D44" s="58">
        <v>81.06</v>
      </c>
      <c r="E44" s="53"/>
      <c r="F44" s="53"/>
      <c r="G44" s="53"/>
      <c r="H44" s="53"/>
      <c r="I44" s="53"/>
      <c r="J44" s="53"/>
      <c r="K44" s="30">
        <v>35</v>
      </c>
      <c r="L44" s="56" t="s">
        <v>49</v>
      </c>
      <c r="M44" s="55">
        <f t="shared" si="0"/>
        <v>2837.1</v>
      </c>
    </row>
    <row r="45" spans="1:13" ht="20.100000000000001" customHeight="1" x14ac:dyDescent="0.2">
      <c r="A45" s="57" t="s">
        <v>653</v>
      </c>
      <c r="B45" s="51">
        <v>40</v>
      </c>
      <c r="C45" s="51">
        <v>1</v>
      </c>
      <c r="D45" s="58">
        <v>1063</v>
      </c>
      <c r="E45" s="53"/>
      <c r="F45" s="53"/>
      <c r="G45" s="53"/>
      <c r="H45" s="53"/>
      <c r="I45" s="53"/>
      <c r="J45" s="53"/>
      <c r="K45" s="30">
        <v>79</v>
      </c>
      <c r="L45" s="56" t="s">
        <v>49</v>
      </c>
      <c r="M45" s="55">
        <f t="shared" si="0"/>
        <v>83977</v>
      </c>
    </row>
    <row r="46" spans="1:13" ht="20.100000000000001" customHeight="1" x14ac:dyDescent="0.2">
      <c r="A46" s="57" t="s">
        <v>665</v>
      </c>
      <c r="B46" s="51">
        <v>40</v>
      </c>
      <c r="C46" s="51">
        <v>1</v>
      </c>
      <c r="D46" s="58">
        <v>194.6</v>
      </c>
      <c r="E46" s="53"/>
      <c r="F46" s="53"/>
      <c r="G46" s="53"/>
      <c r="H46" s="53"/>
      <c r="I46" s="53"/>
      <c r="J46" s="53"/>
      <c r="K46" s="30">
        <v>9</v>
      </c>
      <c r="L46" s="56" t="s">
        <v>49</v>
      </c>
      <c r="M46" s="55">
        <f t="shared" si="0"/>
        <v>1751.3999999999999</v>
      </c>
    </row>
    <row r="47" spans="1:13" ht="20.100000000000001" customHeight="1" x14ac:dyDescent="0.2">
      <c r="A47" s="53" t="s">
        <v>334</v>
      </c>
      <c r="B47" s="51">
        <v>40</v>
      </c>
      <c r="C47" s="51">
        <v>1</v>
      </c>
      <c r="D47" s="52">
        <v>107</v>
      </c>
      <c r="E47" s="53"/>
      <c r="F47" s="53"/>
      <c r="G47" s="53"/>
      <c r="H47" s="53"/>
      <c r="I47" s="53"/>
      <c r="J47" s="53"/>
      <c r="K47" s="30">
        <v>30</v>
      </c>
      <c r="L47" s="56" t="s">
        <v>445</v>
      </c>
      <c r="M47" s="55">
        <f t="shared" si="0"/>
        <v>3210</v>
      </c>
    </row>
    <row r="48" spans="1:13" ht="20.100000000000001" customHeight="1" x14ac:dyDescent="0.2">
      <c r="A48" s="53" t="s">
        <v>335</v>
      </c>
      <c r="B48" s="51">
        <v>40</v>
      </c>
      <c r="C48" s="51">
        <v>1</v>
      </c>
      <c r="D48" s="52">
        <v>160.85</v>
      </c>
      <c r="E48" s="53"/>
      <c r="F48" s="53"/>
      <c r="G48" s="53"/>
      <c r="H48" s="53"/>
      <c r="I48" s="53"/>
      <c r="J48" s="53"/>
      <c r="K48" s="30">
        <v>87</v>
      </c>
      <c r="L48" s="56" t="s">
        <v>445</v>
      </c>
      <c r="M48" s="55">
        <f t="shared" si="0"/>
        <v>13993.949999999999</v>
      </c>
    </row>
    <row r="49" spans="1:13" ht="20.100000000000001" customHeight="1" x14ac:dyDescent="0.2">
      <c r="A49" s="53" t="s">
        <v>654</v>
      </c>
      <c r="B49" s="51">
        <v>40</v>
      </c>
      <c r="C49" s="51">
        <v>1</v>
      </c>
      <c r="D49" s="52">
        <v>420.5</v>
      </c>
      <c r="E49" s="53"/>
      <c r="F49" s="53"/>
      <c r="G49" s="53"/>
      <c r="H49" s="53"/>
      <c r="I49" s="53"/>
      <c r="J49" s="53"/>
      <c r="K49" s="30">
        <v>20</v>
      </c>
      <c r="L49" s="56" t="s">
        <v>49</v>
      </c>
      <c r="M49" s="55">
        <f t="shared" si="0"/>
        <v>8410</v>
      </c>
    </row>
    <row r="50" spans="1:13" ht="20.100000000000001" customHeight="1" x14ac:dyDescent="0.2">
      <c r="A50" s="53" t="s">
        <v>336</v>
      </c>
      <c r="B50" s="51">
        <v>40</v>
      </c>
      <c r="C50" s="51">
        <v>1</v>
      </c>
      <c r="D50" s="52">
        <v>7999.6</v>
      </c>
      <c r="E50" s="53"/>
      <c r="F50" s="53"/>
      <c r="G50" s="53"/>
      <c r="H50" s="53"/>
      <c r="I50" s="53"/>
      <c r="J50" s="53"/>
      <c r="K50" s="30">
        <v>2</v>
      </c>
      <c r="L50" s="56" t="s">
        <v>49</v>
      </c>
      <c r="M50" s="55">
        <f t="shared" si="0"/>
        <v>15999.2</v>
      </c>
    </row>
    <row r="51" spans="1:13" ht="20.100000000000001" customHeight="1" x14ac:dyDescent="0.2">
      <c r="A51" s="53" t="s">
        <v>804</v>
      </c>
      <c r="B51" s="51">
        <v>40</v>
      </c>
      <c r="C51" s="51">
        <v>1</v>
      </c>
      <c r="D51" s="52">
        <v>838.8</v>
      </c>
      <c r="E51" s="53"/>
      <c r="F51" s="53"/>
      <c r="G51" s="53"/>
      <c r="H51" s="53"/>
      <c r="I51" s="53"/>
      <c r="J51" s="53"/>
      <c r="K51" s="30">
        <v>48</v>
      </c>
      <c r="L51" s="56" t="s">
        <v>49</v>
      </c>
      <c r="M51" s="55">
        <f t="shared" si="0"/>
        <v>40262.399999999994</v>
      </c>
    </row>
    <row r="52" spans="1:13" ht="20.100000000000001" customHeight="1" x14ac:dyDescent="0.2">
      <c r="A52" s="53" t="s">
        <v>655</v>
      </c>
      <c r="B52" s="51">
        <v>7</v>
      </c>
      <c r="C52" s="51">
        <v>1</v>
      </c>
      <c r="D52" s="52">
        <v>20623</v>
      </c>
      <c r="E52" s="53"/>
      <c r="F52" s="53"/>
      <c r="G52" s="53"/>
      <c r="H52" s="53"/>
      <c r="I52" s="53"/>
      <c r="J52" s="53"/>
      <c r="K52" s="30">
        <v>2</v>
      </c>
      <c r="L52" s="56" t="s">
        <v>49</v>
      </c>
      <c r="M52" s="55">
        <f t="shared" si="0"/>
        <v>41246</v>
      </c>
    </row>
    <row r="53" spans="1:13" ht="20.100000000000001" customHeight="1" x14ac:dyDescent="0.2">
      <c r="A53" s="53" t="s">
        <v>439</v>
      </c>
      <c r="B53" s="51">
        <v>40</v>
      </c>
      <c r="C53" s="51">
        <v>1</v>
      </c>
      <c r="D53" s="52">
        <v>305.10000000000002</v>
      </c>
      <c r="E53" s="53"/>
      <c r="F53" s="53"/>
      <c r="G53" s="53"/>
      <c r="H53" s="53"/>
      <c r="I53" s="53"/>
      <c r="J53" s="53"/>
      <c r="K53" s="30">
        <v>13</v>
      </c>
      <c r="L53" s="56" t="s">
        <v>49</v>
      </c>
      <c r="M53" s="55">
        <f t="shared" si="0"/>
        <v>3966.3</v>
      </c>
    </row>
    <row r="54" spans="1:13" ht="20.100000000000001" customHeight="1" x14ac:dyDescent="0.2">
      <c r="A54" s="57" t="s">
        <v>337</v>
      </c>
      <c r="B54" s="51">
        <v>40</v>
      </c>
      <c r="C54" s="51">
        <v>1</v>
      </c>
      <c r="D54" s="58">
        <v>130</v>
      </c>
      <c r="E54" s="53"/>
      <c r="F54" s="53"/>
      <c r="G54" s="53"/>
      <c r="H54" s="53"/>
      <c r="I54" s="53"/>
      <c r="J54" s="53"/>
      <c r="K54" s="30">
        <v>40</v>
      </c>
      <c r="L54" s="56" t="s">
        <v>49</v>
      </c>
      <c r="M54" s="55">
        <f t="shared" si="0"/>
        <v>5200</v>
      </c>
    </row>
    <row r="55" spans="1:13" ht="20.100000000000001" customHeight="1" x14ac:dyDescent="0.2">
      <c r="A55" s="53" t="s">
        <v>338</v>
      </c>
      <c r="B55" s="51">
        <v>40</v>
      </c>
      <c r="C55" s="51">
        <v>1</v>
      </c>
      <c r="D55" s="52">
        <v>57.5</v>
      </c>
      <c r="E55" s="53"/>
      <c r="F55" s="53"/>
      <c r="G55" s="53"/>
      <c r="H55" s="53"/>
      <c r="I55" s="53"/>
      <c r="J55" s="53"/>
      <c r="K55" s="30">
        <v>72</v>
      </c>
      <c r="L55" s="56" t="s">
        <v>49</v>
      </c>
      <c r="M55" s="55">
        <f t="shared" si="0"/>
        <v>4140</v>
      </c>
    </row>
    <row r="56" spans="1:13" ht="20.100000000000001" customHeight="1" x14ac:dyDescent="0.2">
      <c r="A56" s="53" t="s">
        <v>339</v>
      </c>
      <c r="B56" s="56">
        <v>40</v>
      </c>
      <c r="C56" s="51">
        <v>1</v>
      </c>
      <c r="D56" s="52">
        <v>228</v>
      </c>
      <c r="E56" s="53">
        <v>3806</v>
      </c>
      <c r="F56" s="53">
        <v>20</v>
      </c>
      <c r="G56" s="53">
        <v>3806</v>
      </c>
      <c r="H56" s="53">
        <v>20</v>
      </c>
      <c r="I56" s="53"/>
      <c r="J56" s="53"/>
      <c r="K56" s="30">
        <v>69</v>
      </c>
      <c r="L56" s="56" t="s">
        <v>445</v>
      </c>
      <c r="M56" s="55">
        <f t="shared" si="0"/>
        <v>15732</v>
      </c>
    </row>
    <row r="57" spans="1:13" ht="20.100000000000001" customHeight="1" x14ac:dyDescent="0.2">
      <c r="A57" s="53" t="s">
        <v>543</v>
      </c>
      <c r="B57" s="56">
        <v>7</v>
      </c>
      <c r="C57" s="51">
        <v>1</v>
      </c>
      <c r="D57" s="72">
        <v>88</v>
      </c>
      <c r="E57" s="53"/>
      <c r="F57" s="53"/>
      <c r="G57" s="53"/>
      <c r="H57" s="53"/>
      <c r="I57" s="53"/>
      <c r="J57" s="53"/>
      <c r="K57" s="30">
        <v>6</v>
      </c>
      <c r="L57" s="56" t="s">
        <v>49</v>
      </c>
      <c r="M57" s="55">
        <f t="shared" si="0"/>
        <v>528</v>
      </c>
    </row>
    <row r="58" spans="1:13" ht="20.100000000000001" customHeight="1" x14ac:dyDescent="0.2">
      <c r="A58" s="53" t="s">
        <v>340</v>
      </c>
      <c r="B58" s="51">
        <v>40</v>
      </c>
      <c r="C58" s="51">
        <v>1</v>
      </c>
      <c r="D58" s="52">
        <v>171.1</v>
      </c>
      <c r="E58" s="53"/>
      <c r="F58" s="53"/>
      <c r="G58" s="53"/>
      <c r="H58" s="53"/>
      <c r="I58" s="53"/>
      <c r="J58" s="53"/>
      <c r="K58" s="30">
        <v>10</v>
      </c>
      <c r="L58" s="56" t="s">
        <v>49</v>
      </c>
      <c r="M58" s="55">
        <f t="shared" si="0"/>
        <v>1711</v>
      </c>
    </row>
    <row r="59" spans="1:13" ht="20.100000000000001" customHeight="1" x14ac:dyDescent="0.2">
      <c r="A59" s="53" t="s">
        <v>656</v>
      </c>
      <c r="B59" s="51">
        <v>40</v>
      </c>
      <c r="C59" s="51">
        <v>1</v>
      </c>
      <c r="D59" s="72">
        <v>48</v>
      </c>
      <c r="E59" s="53"/>
      <c r="F59" s="53"/>
      <c r="G59" s="53"/>
      <c r="H59" s="53"/>
      <c r="I59" s="53"/>
      <c r="J59" s="53"/>
      <c r="K59" s="30">
        <v>14</v>
      </c>
      <c r="L59" s="56" t="s">
        <v>49</v>
      </c>
      <c r="M59" s="55">
        <f t="shared" si="0"/>
        <v>672</v>
      </c>
    </row>
    <row r="60" spans="1:13" ht="20.100000000000001" customHeight="1" x14ac:dyDescent="0.2">
      <c r="A60" s="53" t="s">
        <v>342</v>
      </c>
      <c r="B60" s="56">
        <v>40</v>
      </c>
      <c r="C60" s="51">
        <v>1</v>
      </c>
      <c r="D60" s="52">
        <v>83.7</v>
      </c>
      <c r="E60" s="53"/>
      <c r="F60" s="53"/>
      <c r="G60" s="53"/>
      <c r="H60" s="53"/>
      <c r="I60" s="53"/>
      <c r="J60" s="53"/>
      <c r="K60" s="30">
        <v>8</v>
      </c>
      <c r="L60" s="56" t="s">
        <v>49</v>
      </c>
      <c r="M60" s="55">
        <f t="shared" si="0"/>
        <v>669.6</v>
      </c>
    </row>
    <row r="61" spans="1:13" ht="20.100000000000001" customHeight="1" x14ac:dyDescent="0.2">
      <c r="A61" s="53" t="s">
        <v>343</v>
      </c>
      <c r="B61" s="51">
        <v>40</v>
      </c>
      <c r="C61" s="51">
        <v>1</v>
      </c>
      <c r="D61" s="52">
        <v>3898.5</v>
      </c>
      <c r="E61" s="53"/>
      <c r="F61" s="53"/>
      <c r="G61" s="53"/>
      <c r="H61" s="53"/>
      <c r="I61" s="53"/>
      <c r="J61" s="53"/>
      <c r="K61" s="30">
        <v>20</v>
      </c>
      <c r="L61" s="56" t="s">
        <v>49</v>
      </c>
      <c r="M61" s="55">
        <f t="shared" si="0"/>
        <v>77970</v>
      </c>
    </row>
    <row r="62" spans="1:13" ht="20.100000000000001" customHeight="1" x14ac:dyDescent="0.2">
      <c r="A62" s="53" t="s">
        <v>667</v>
      </c>
      <c r="B62" s="51">
        <v>40</v>
      </c>
      <c r="C62" s="51">
        <v>1</v>
      </c>
      <c r="D62" s="52">
        <v>493.55</v>
      </c>
      <c r="E62" s="53"/>
      <c r="F62" s="53"/>
      <c r="G62" s="53"/>
      <c r="H62" s="53"/>
      <c r="I62" s="53"/>
      <c r="J62" s="53"/>
      <c r="K62" s="30">
        <v>20</v>
      </c>
      <c r="L62" s="56" t="s">
        <v>445</v>
      </c>
      <c r="M62" s="55">
        <f t="shared" si="0"/>
        <v>9871</v>
      </c>
    </row>
    <row r="63" spans="1:13" ht="20.100000000000001" customHeight="1" x14ac:dyDescent="0.2">
      <c r="A63" s="53" t="s">
        <v>658</v>
      </c>
      <c r="B63" s="51">
        <v>40</v>
      </c>
      <c r="C63" s="51">
        <v>1</v>
      </c>
      <c r="D63" s="52">
        <v>2014.8</v>
      </c>
      <c r="E63" s="53"/>
      <c r="F63" s="53"/>
      <c r="G63" s="53"/>
      <c r="H63" s="53"/>
      <c r="I63" s="53"/>
      <c r="J63" s="53"/>
      <c r="K63" s="30">
        <v>4</v>
      </c>
      <c r="L63" s="56" t="s">
        <v>49</v>
      </c>
      <c r="M63" s="55">
        <f t="shared" si="0"/>
        <v>8059.2</v>
      </c>
    </row>
    <row r="64" spans="1:13" ht="20.100000000000001" customHeight="1" x14ac:dyDescent="0.2">
      <c r="A64" s="53" t="s">
        <v>659</v>
      </c>
      <c r="B64" s="51">
        <v>40</v>
      </c>
      <c r="C64" s="51">
        <v>1</v>
      </c>
      <c r="D64" s="52">
        <v>1309.5999999999999</v>
      </c>
      <c r="E64" s="53"/>
      <c r="F64" s="53"/>
      <c r="G64" s="53"/>
      <c r="H64" s="53"/>
      <c r="I64" s="53"/>
      <c r="J64" s="53"/>
      <c r="K64" s="30">
        <v>14</v>
      </c>
      <c r="L64" s="56" t="s">
        <v>49</v>
      </c>
      <c r="M64" s="55">
        <f t="shared" si="0"/>
        <v>18334.399999999998</v>
      </c>
    </row>
    <row r="65" spans="1:13" ht="20.100000000000001" customHeight="1" x14ac:dyDescent="0.2">
      <c r="A65" s="53" t="s">
        <v>808</v>
      </c>
      <c r="B65" s="51">
        <v>40</v>
      </c>
      <c r="C65" s="51">
        <v>1</v>
      </c>
      <c r="D65" s="52">
        <v>671</v>
      </c>
      <c r="E65" s="53"/>
      <c r="F65" s="53"/>
      <c r="G65" s="53"/>
      <c r="H65" s="53"/>
      <c r="I65" s="53"/>
      <c r="J65" s="53"/>
      <c r="K65" s="30">
        <v>36</v>
      </c>
      <c r="L65" s="56"/>
      <c r="M65" s="55">
        <f t="shared" si="0"/>
        <v>24156</v>
      </c>
    </row>
    <row r="66" spans="1:13" ht="20.100000000000001" customHeight="1" x14ac:dyDescent="0.2">
      <c r="A66" s="53" t="s">
        <v>344</v>
      </c>
      <c r="B66" s="51">
        <v>40</v>
      </c>
      <c r="C66" s="51">
        <v>1</v>
      </c>
      <c r="D66" s="52">
        <v>50.78</v>
      </c>
      <c r="E66" s="53"/>
      <c r="F66" s="53"/>
      <c r="G66" s="53"/>
      <c r="H66" s="53"/>
      <c r="I66" s="53"/>
      <c r="J66" s="53"/>
      <c r="K66" s="30">
        <v>87</v>
      </c>
      <c r="L66" s="56" t="s">
        <v>49</v>
      </c>
      <c r="M66" s="55">
        <f t="shared" si="0"/>
        <v>4417.8599999999997</v>
      </c>
    </row>
    <row r="67" spans="1:13" ht="20.100000000000001" customHeight="1" x14ac:dyDescent="0.2">
      <c r="A67" s="57" t="s">
        <v>346</v>
      </c>
      <c r="B67" s="51">
        <v>40</v>
      </c>
      <c r="C67" s="51">
        <v>1</v>
      </c>
      <c r="D67" s="58">
        <v>52.56</v>
      </c>
      <c r="E67" s="53"/>
      <c r="F67" s="53"/>
      <c r="G67" s="53"/>
      <c r="H67" s="53"/>
      <c r="I67" s="53"/>
      <c r="J67" s="53"/>
      <c r="K67" s="30">
        <v>53</v>
      </c>
      <c r="L67" s="56" t="s">
        <v>49</v>
      </c>
      <c r="M67" s="55">
        <f t="shared" si="0"/>
        <v>2785.6800000000003</v>
      </c>
    </row>
    <row r="68" spans="1:13" ht="20.100000000000001" customHeight="1" x14ac:dyDescent="0.2">
      <c r="A68" s="57" t="s">
        <v>347</v>
      </c>
      <c r="B68" s="60">
        <v>40</v>
      </c>
      <c r="C68" s="51">
        <v>1</v>
      </c>
      <c r="D68" s="58">
        <v>83.2</v>
      </c>
      <c r="E68" s="53"/>
      <c r="F68" s="53"/>
      <c r="G68" s="53"/>
      <c r="H68" s="53"/>
      <c r="I68" s="53"/>
      <c r="J68" s="53"/>
      <c r="K68" s="30">
        <v>22</v>
      </c>
      <c r="L68" s="56" t="s">
        <v>49</v>
      </c>
      <c r="M68" s="55">
        <f t="shared" ref="M68:M131" si="1">SUM(D68*K68)</f>
        <v>1830.4</v>
      </c>
    </row>
    <row r="69" spans="1:13" ht="20.100000000000001" customHeight="1" x14ac:dyDescent="0.2">
      <c r="A69" s="53" t="s">
        <v>348</v>
      </c>
      <c r="B69" s="56">
        <v>40</v>
      </c>
      <c r="C69" s="51">
        <v>1</v>
      </c>
      <c r="D69" s="52">
        <v>115.3</v>
      </c>
      <c r="E69" s="53">
        <v>581</v>
      </c>
      <c r="F69" s="53">
        <v>10</v>
      </c>
      <c r="G69" s="53">
        <v>581</v>
      </c>
      <c r="H69" s="53">
        <v>10</v>
      </c>
      <c r="I69" s="53"/>
      <c r="J69" s="53"/>
      <c r="K69" s="30">
        <v>14</v>
      </c>
      <c r="L69" s="56" t="s">
        <v>49</v>
      </c>
      <c r="M69" s="55">
        <f t="shared" si="1"/>
        <v>1614.2</v>
      </c>
    </row>
    <row r="70" spans="1:13" ht="20.100000000000001" customHeight="1" x14ac:dyDescent="0.2">
      <c r="A70" s="57" t="s">
        <v>349</v>
      </c>
      <c r="B70" s="51">
        <v>40</v>
      </c>
      <c r="C70" s="51">
        <v>1</v>
      </c>
      <c r="D70" s="58">
        <v>62</v>
      </c>
      <c r="E70" s="53"/>
      <c r="F70" s="53"/>
      <c r="G70" s="53"/>
      <c r="H70" s="53"/>
      <c r="I70" s="53"/>
      <c r="J70" s="53"/>
      <c r="K70" s="30">
        <v>14</v>
      </c>
      <c r="L70" s="56" t="s">
        <v>49</v>
      </c>
      <c r="M70" s="55">
        <f t="shared" si="1"/>
        <v>868</v>
      </c>
    </row>
    <row r="71" spans="1:13" ht="20.100000000000001" customHeight="1" x14ac:dyDescent="0.2">
      <c r="A71" s="57" t="s">
        <v>768</v>
      </c>
      <c r="B71" s="51">
        <v>40</v>
      </c>
      <c r="C71" s="51">
        <v>1</v>
      </c>
      <c r="D71" s="58">
        <v>552</v>
      </c>
      <c r="E71" s="53"/>
      <c r="F71" s="53"/>
      <c r="G71" s="53"/>
      <c r="H71" s="53"/>
      <c r="I71" s="53"/>
      <c r="J71" s="53"/>
      <c r="K71" s="30">
        <v>10</v>
      </c>
      <c r="L71" s="56" t="s">
        <v>49</v>
      </c>
      <c r="M71" s="55">
        <f t="shared" si="1"/>
        <v>5520</v>
      </c>
    </row>
    <row r="72" spans="1:13" ht="20.100000000000001" customHeight="1" x14ac:dyDescent="0.2">
      <c r="A72" s="53" t="s">
        <v>352</v>
      </c>
      <c r="B72" s="51">
        <v>40</v>
      </c>
      <c r="C72" s="51">
        <v>1</v>
      </c>
      <c r="D72" s="52">
        <v>133.6</v>
      </c>
      <c r="E72" s="53"/>
      <c r="F72" s="53"/>
      <c r="G72" s="53"/>
      <c r="H72" s="53"/>
      <c r="I72" s="53"/>
      <c r="J72" s="53"/>
      <c r="K72" s="30">
        <v>27</v>
      </c>
      <c r="L72" s="56" t="s">
        <v>49</v>
      </c>
      <c r="M72" s="55">
        <f t="shared" si="1"/>
        <v>3607.2</v>
      </c>
    </row>
    <row r="73" spans="1:13" ht="20.100000000000001" customHeight="1" x14ac:dyDescent="0.2">
      <c r="A73" s="53" t="s">
        <v>351</v>
      </c>
      <c r="B73" s="51">
        <v>40</v>
      </c>
      <c r="C73" s="51">
        <v>1</v>
      </c>
      <c r="D73" s="52">
        <v>58.7</v>
      </c>
      <c r="E73" s="53"/>
      <c r="F73" s="53"/>
      <c r="G73" s="53"/>
      <c r="H73" s="53"/>
      <c r="I73" s="53"/>
      <c r="J73" s="53"/>
      <c r="K73" s="30">
        <v>40</v>
      </c>
      <c r="L73" s="56" t="s">
        <v>49</v>
      </c>
      <c r="M73" s="55">
        <f t="shared" si="1"/>
        <v>2348</v>
      </c>
    </row>
    <row r="74" spans="1:13" ht="20.100000000000001" customHeight="1" x14ac:dyDescent="0.2">
      <c r="A74" s="53" t="s">
        <v>353</v>
      </c>
      <c r="B74" s="51">
        <v>40</v>
      </c>
      <c r="C74" s="51">
        <v>1</v>
      </c>
      <c r="D74" s="52">
        <v>88.1</v>
      </c>
      <c r="E74" s="53"/>
      <c r="F74" s="53"/>
      <c r="G74" s="53"/>
      <c r="H74" s="53"/>
      <c r="I74" s="53"/>
      <c r="J74" s="53"/>
      <c r="K74" s="30">
        <v>79</v>
      </c>
      <c r="L74" s="56" t="s">
        <v>49</v>
      </c>
      <c r="M74" s="55">
        <f t="shared" si="1"/>
        <v>6959.9</v>
      </c>
    </row>
    <row r="75" spans="1:13" ht="20.100000000000001" customHeight="1" x14ac:dyDescent="0.2">
      <c r="A75" s="57" t="s">
        <v>354</v>
      </c>
      <c r="B75" s="51">
        <v>40</v>
      </c>
      <c r="C75" s="51">
        <v>1</v>
      </c>
      <c r="D75" s="58">
        <v>1261.5999999999999</v>
      </c>
      <c r="E75" s="53"/>
      <c r="F75" s="53"/>
      <c r="G75" s="53"/>
      <c r="H75" s="53"/>
      <c r="I75" s="53"/>
      <c r="J75" s="53"/>
      <c r="K75" s="30">
        <v>2</v>
      </c>
      <c r="L75" s="56" t="s">
        <v>49</v>
      </c>
      <c r="M75" s="55">
        <f t="shared" si="1"/>
        <v>2523.1999999999998</v>
      </c>
    </row>
    <row r="76" spans="1:13" ht="20.100000000000001" customHeight="1" x14ac:dyDescent="0.2">
      <c r="A76" s="53" t="s">
        <v>355</v>
      </c>
      <c r="B76" s="68">
        <v>40</v>
      </c>
      <c r="C76" s="51">
        <v>1</v>
      </c>
      <c r="D76" s="69">
        <v>48.14</v>
      </c>
      <c r="E76" s="70">
        <v>1464</v>
      </c>
      <c r="F76" s="53" t="s">
        <v>83</v>
      </c>
      <c r="G76" s="53" t="s">
        <v>95</v>
      </c>
      <c r="H76" s="71" t="s">
        <v>356</v>
      </c>
      <c r="I76" s="53">
        <v>50</v>
      </c>
      <c r="J76" s="53" t="s">
        <v>86</v>
      </c>
      <c r="K76" s="30">
        <v>78</v>
      </c>
      <c r="L76" s="56" t="s">
        <v>49</v>
      </c>
      <c r="M76" s="55">
        <f t="shared" si="1"/>
        <v>3754.92</v>
      </c>
    </row>
    <row r="77" spans="1:13" ht="20.100000000000001" customHeight="1" x14ac:dyDescent="0.2">
      <c r="A77" s="53" t="s">
        <v>813</v>
      </c>
      <c r="B77" s="68">
        <v>40</v>
      </c>
      <c r="C77" s="51">
        <v>1</v>
      </c>
      <c r="D77" s="69">
        <v>50.78</v>
      </c>
      <c r="E77" s="70"/>
      <c r="F77" s="53"/>
      <c r="G77" s="53"/>
      <c r="H77" s="71"/>
      <c r="I77" s="53"/>
      <c r="J77" s="53"/>
      <c r="K77" s="30">
        <v>46</v>
      </c>
      <c r="L77" s="56" t="s">
        <v>49</v>
      </c>
      <c r="M77" s="55">
        <f t="shared" si="1"/>
        <v>2335.88</v>
      </c>
    </row>
    <row r="78" spans="1:13" ht="20.100000000000001" customHeight="1" x14ac:dyDescent="0.2">
      <c r="A78" s="30" t="s">
        <v>433</v>
      </c>
      <c r="B78" s="51">
        <v>40</v>
      </c>
      <c r="C78" s="51">
        <v>1</v>
      </c>
      <c r="D78" s="58">
        <v>147</v>
      </c>
      <c r="E78" s="53"/>
      <c r="F78" s="53"/>
      <c r="G78" s="53"/>
      <c r="H78" s="53"/>
      <c r="I78" s="53"/>
      <c r="J78" s="53"/>
      <c r="K78" s="30">
        <v>9</v>
      </c>
      <c r="L78" s="56" t="s">
        <v>49</v>
      </c>
      <c r="M78" s="55">
        <f t="shared" si="1"/>
        <v>1323</v>
      </c>
    </row>
    <row r="79" spans="1:13" ht="20.100000000000001" customHeight="1" x14ac:dyDescent="0.2">
      <c r="A79" s="30" t="s">
        <v>751</v>
      </c>
      <c r="B79" s="51">
        <v>40</v>
      </c>
      <c r="C79" s="51">
        <v>1</v>
      </c>
      <c r="D79" s="58">
        <v>157.5</v>
      </c>
      <c r="E79" s="53"/>
      <c r="F79" s="53"/>
      <c r="G79" s="53"/>
      <c r="H79" s="53"/>
      <c r="I79" s="53"/>
      <c r="J79" s="53"/>
      <c r="K79" s="30">
        <v>10</v>
      </c>
      <c r="L79" s="56" t="s">
        <v>49</v>
      </c>
      <c r="M79" s="55">
        <f t="shared" si="1"/>
        <v>1575</v>
      </c>
    </row>
    <row r="80" spans="1:13" ht="20.100000000000001" customHeight="1" x14ac:dyDescent="0.2">
      <c r="A80" s="57" t="s">
        <v>663</v>
      </c>
      <c r="B80" s="51">
        <v>40</v>
      </c>
      <c r="C80" s="51">
        <v>1</v>
      </c>
      <c r="D80" s="58">
        <v>523.9</v>
      </c>
      <c r="E80" s="53"/>
      <c r="F80" s="53"/>
      <c r="G80" s="53"/>
      <c r="H80" s="53"/>
      <c r="I80" s="53"/>
      <c r="J80" s="53"/>
      <c r="K80" s="30">
        <v>27</v>
      </c>
      <c r="L80" s="56" t="s">
        <v>49</v>
      </c>
      <c r="M80" s="55">
        <f t="shared" si="1"/>
        <v>14145.3</v>
      </c>
    </row>
    <row r="81" spans="1:13" ht="20.100000000000001" customHeight="1" x14ac:dyDescent="0.2">
      <c r="A81" s="53" t="s">
        <v>357</v>
      </c>
      <c r="B81" s="51">
        <v>40</v>
      </c>
      <c r="C81" s="51">
        <v>1</v>
      </c>
      <c r="D81" s="52">
        <v>290.5</v>
      </c>
      <c r="E81" s="53"/>
      <c r="F81" s="53"/>
      <c r="G81" s="53"/>
      <c r="H81" s="53"/>
      <c r="I81" s="53"/>
      <c r="J81" s="53"/>
      <c r="K81" s="30">
        <v>156</v>
      </c>
      <c r="L81" s="56" t="s">
        <v>49</v>
      </c>
      <c r="M81" s="55">
        <f t="shared" si="1"/>
        <v>45318</v>
      </c>
    </row>
    <row r="82" spans="1:13" ht="20.100000000000001" customHeight="1" x14ac:dyDescent="0.2">
      <c r="A82" s="53" t="s">
        <v>358</v>
      </c>
      <c r="B82" s="51">
        <v>40</v>
      </c>
      <c r="C82" s="51">
        <v>1</v>
      </c>
      <c r="D82" s="52">
        <v>784</v>
      </c>
      <c r="E82" s="53"/>
      <c r="F82" s="53"/>
      <c r="G82" s="53"/>
      <c r="H82" s="53"/>
      <c r="I82" s="53"/>
      <c r="J82" s="53"/>
      <c r="K82" s="30">
        <v>100</v>
      </c>
      <c r="L82" s="56" t="s">
        <v>49</v>
      </c>
      <c r="M82" s="55">
        <f t="shared" si="1"/>
        <v>78400</v>
      </c>
    </row>
    <row r="83" spans="1:13" ht="20.100000000000001" customHeight="1" x14ac:dyDescent="0.2">
      <c r="A83" s="53" t="s">
        <v>749</v>
      </c>
      <c r="B83" s="51">
        <v>40</v>
      </c>
      <c r="C83" s="51">
        <v>1</v>
      </c>
      <c r="D83" s="72">
        <v>83</v>
      </c>
      <c r="E83" s="53"/>
      <c r="F83" s="53"/>
      <c r="G83" s="53"/>
      <c r="H83" s="53"/>
      <c r="I83" s="53"/>
      <c r="J83" s="53"/>
      <c r="K83" s="30">
        <v>54</v>
      </c>
      <c r="L83" s="56" t="s">
        <v>49</v>
      </c>
      <c r="M83" s="55">
        <f t="shared" si="1"/>
        <v>4482</v>
      </c>
    </row>
    <row r="84" spans="1:13" ht="20.100000000000001" customHeight="1" x14ac:dyDescent="0.2">
      <c r="A84" s="53" t="s">
        <v>359</v>
      </c>
      <c r="B84" s="56">
        <v>40</v>
      </c>
      <c r="C84" s="51">
        <v>1</v>
      </c>
      <c r="D84" s="52">
        <v>223.6</v>
      </c>
      <c r="E84" s="53">
        <v>2935</v>
      </c>
      <c r="F84" s="53">
        <v>20</v>
      </c>
      <c r="G84" s="53">
        <v>2935</v>
      </c>
      <c r="H84" s="53">
        <v>20</v>
      </c>
      <c r="I84" s="53"/>
      <c r="J84" s="53"/>
      <c r="K84" s="30">
        <v>64</v>
      </c>
      <c r="L84" s="56" t="s">
        <v>445</v>
      </c>
      <c r="M84" s="55">
        <f t="shared" si="1"/>
        <v>14310.4</v>
      </c>
    </row>
    <row r="85" spans="1:13" ht="20.100000000000001" customHeight="1" x14ac:dyDescent="0.2">
      <c r="A85" s="53" t="s">
        <v>360</v>
      </c>
      <c r="B85" s="56">
        <v>40</v>
      </c>
      <c r="C85" s="51">
        <v>1</v>
      </c>
      <c r="D85" s="52">
        <v>248.55</v>
      </c>
      <c r="E85" s="53">
        <v>3437</v>
      </c>
      <c r="F85" s="53">
        <v>20</v>
      </c>
      <c r="G85" s="53">
        <v>3437</v>
      </c>
      <c r="H85" s="53">
        <v>20</v>
      </c>
      <c r="I85" s="53"/>
      <c r="J85" s="53"/>
      <c r="K85" s="30">
        <v>88</v>
      </c>
      <c r="L85" s="56" t="s">
        <v>445</v>
      </c>
      <c r="M85" s="55">
        <f t="shared" si="1"/>
        <v>21872.400000000001</v>
      </c>
    </row>
    <row r="86" spans="1:13" ht="20.100000000000001" customHeight="1" x14ac:dyDescent="0.2">
      <c r="A86" s="53" t="s">
        <v>815</v>
      </c>
      <c r="B86" s="56">
        <v>40</v>
      </c>
      <c r="C86" s="51">
        <v>1</v>
      </c>
      <c r="D86" s="52">
        <v>62.7</v>
      </c>
      <c r="E86" s="53"/>
      <c r="F86" s="53"/>
      <c r="G86" s="53"/>
      <c r="H86" s="53"/>
      <c r="I86" s="53"/>
      <c r="J86" s="53"/>
      <c r="K86" s="30">
        <v>2</v>
      </c>
      <c r="L86" s="56" t="s">
        <v>49</v>
      </c>
      <c r="M86" s="55">
        <f t="shared" si="1"/>
        <v>125.4</v>
      </c>
    </row>
    <row r="87" spans="1:13" ht="20.100000000000001" customHeight="1" x14ac:dyDescent="0.2">
      <c r="A87" s="53" t="s">
        <v>361</v>
      </c>
      <c r="B87" s="51">
        <v>40</v>
      </c>
      <c r="C87" s="51">
        <v>1</v>
      </c>
      <c r="D87" s="52">
        <v>199</v>
      </c>
      <c r="E87" s="53"/>
      <c r="F87" s="53"/>
      <c r="G87" s="53"/>
      <c r="H87" s="53"/>
      <c r="I87" s="53"/>
      <c r="J87" s="53"/>
      <c r="K87" s="30">
        <v>0</v>
      </c>
      <c r="L87" s="56" t="s">
        <v>49</v>
      </c>
      <c r="M87" s="55">
        <f t="shared" si="1"/>
        <v>0</v>
      </c>
    </row>
    <row r="88" spans="1:13" ht="20.100000000000001" customHeight="1" x14ac:dyDescent="0.2">
      <c r="A88" s="53" t="s">
        <v>362</v>
      </c>
      <c r="B88" s="56">
        <v>40</v>
      </c>
      <c r="C88" s="51">
        <v>1</v>
      </c>
      <c r="D88" s="72">
        <v>89</v>
      </c>
      <c r="E88" s="53">
        <v>860</v>
      </c>
      <c r="F88" s="53">
        <v>10</v>
      </c>
      <c r="G88" s="53">
        <v>860</v>
      </c>
      <c r="H88" s="53">
        <v>10</v>
      </c>
      <c r="I88" s="53"/>
      <c r="J88" s="53"/>
      <c r="K88" s="30">
        <v>11</v>
      </c>
      <c r="L88" s="56" t="s">
        <v>49</v>
      </c>
      <c r="M88" s="55">
        <f t="shared" si="1"/>
        <v>979</v>
      </c>
    </row>
    <row r="89" spans="1:13" ht="20.100000000000001" customHeight="1" x14ac:dyDescent="0.2">
      <c r="A89" s="53" t="s">
        <v>715</v>
      </c>
      <c r="B89" s="56">
        <v>40</v>
      </c>
      <c r="C89" s="51">
        <v>1</v>
      </c>
      <c r="D89" s="52">
        <v>584.5</v>
      </c>
      <c r="E89" s="53"/>
      <c r="F89" s="53"/>
      <c r="G89" s="53"/>
      <c r="H89" s="53"/>
      <c r="I89" s="53"/>
      <c r="J89" s="53"/>
      <c r="K89" s="30">
        <v>0</v>
      </c>
      <c r="L89" s="56" t="s">
        <v>49</v>
      </c>
      <c r="M89" s="55">
        <f t="shared" si="1"/>
        <v>0</v>
      </c>
    </row>
    <row r="90" spans="1:13" ht="20.100000000000001" customHeight="1" x14ac:dyDescent="0.2">
      <c r="A90" s="53" t="s">
        <v>816</v>
      </c>
      <c r="B90" s="56">
        <v>40</v>
      </c>
      <c r="C90" s="51">
        <v>1</v>
      </c>
      <c r="D90" s="52">
        <v>3531</v>
      </c>
      <c r="E90" s="53"/>
      <c r="F90" s="53"/>
      <c r="G90" s="53"/>
      <c r="H90" s="53"/>
      <c r="I90" s="53"/>
      <c r="J90" s="53"/>
      <c r="K90" s="30">
        <v>6</v>
      </c>
      <c r="L90" s="56" t="s">
        <v>49</v>
      </c>
      <c r="M90" s="55">
        <f t="shared" si="1"/>
        <v>21186</v>
      </c>
    </row>
    <row r="91" spans="1:13" ht="20.100000000000001" customHeight="1" x14ac:dyDescent="0.2">
      <c r="A91" s="53" t="s">
        <v>374</v>
      </c>
      <c r="B91" s="56">
        <v>40</v>
      </c>
      <c r="C91" s="51">
        <v>1</v>
      </c>
      <c r="D91" s="72">
        <v>5639</v>
      </c>
      <c r="E91" s="53"/>
      <c r="F91" s="53"/>
      <c r="G91" s="53"/>
      <c r="H91" s="53"/>
      <c r="I91" s="53"/>
      <c r="J91" s="53"/>
      <c r="K91" s="30">
        <v>1</v>
      </c>
      <c r="L91" s="56" t="s">
        <v>445</v>
      </c>
      <c r="M91" s="55">
        <f t="shared" si="1"/>
        <v>5639</v>
      </c>
    </row>
    <row r="92" spans="1:13" ht="20.100000000000001" customHeight="1" x14ac:dyDescent="0.2">
      <c r="A92" s="53" t="s">
        <v>661</v>
      </c>
      <c r="B92" s="56">
        <v>40</v>
      </c>
      <c r="C92" s="51">
        <v>1</v>
      </c>
      <c r="D92" s="52">
        <v>612</v>
      </c>
      <c r="E92" s="53"/>
      <c r="F92" s="53"/>
      <c r="G92" s="53"/>
      <c r="H92" s="53"/>
      <c r="I92" s="53"/>
      <c r="J92" s="53"/>
      <c r="K92" s="30">
        <v>7</v>
      </c>
      <c r="L92" s="56" t="s">
        <v>49</v>
      </c>
      <c r="M92" s="55">
        <f t="shared" si="1"/>
        <v>4284</v>
      </c>
    </row>
    <row r="93" spans="1:13" ht="20.100000000000001" customHeight="1" x14ac:dyDescent="0.2">
      <c r="A93" s="53" t="s">
        <v>821</v>
      </c>
      <c r="B93" s="56">
        <v>40</v>
      </c>
      <c r="C93" s="51">
        <v>1</v>
      </c>
      <c r="D93" s="52">
        <v>943.8</v>
      </c>
      <c r="E93" s="53"/>
      <c r="F93" s="53"/>
      <c r="G93" s="53"/>
      <c r="H93" s="53"/>
      <c r="I93" s="53"/>
      <c r="J93" s="53"/>
      <c r="K93" s="30">
        <v>13</v>
      </c>
      <c r="L93" s="56" t="s">
        <v>445</v>
      </c>
      <c r="M93" s="55">
        <f t="shared" si="1"/>
        <v>12269.4</v>
      </c>
    </row>
    <row r="94" spans="1:13" ht="20.100000000000001" customHeight="1" x14ac:dyDescent="0.2">
      <c r="A94" s="53" t="s">
        <v>822</v>
      </c>
      <c r="B94" s="56">
        <v>40</v>
      </c>
      <c r="C94" s="51">
        <v>1</v>
      </c>
      <c r="D94" s="52">
        <v>261</v>
      </c>
      <c r="E94" s="53"/>
      <c r="F94" s="53"/>
      <c r="G94" s="53"/>
      <c r="H94" s="53"/>
      <c r="I94" s="53"/>
      <c r="J94" s="53"/>
      <c r="K94" s="30">
        <v>10</v>
      </c>
      <c r="L94" s="56" t="s">
        <v>49</v>
      </c>
      <c r="M94" s="55">
        <f t="shared" si="1"/>
        <v>2610</v>
      </c>
    </row>
    <row r="95" spans="1:13" ht="20.100000000000001" customHeight="1" x14ac:dyDescent="0.2">
      <c r="A95" s="53" t="s">
        <v>364</v>
      </c>
      <c r="B95" s="56">
        <v>40</v>
      </c>
      <c r="C95" s="51">
        <v>1</v>
      </c>
      <c r="D95" s="52">
        <v>189.8</v>
      </c>
      <c r="E95" s="53">
        <v>2634</v>
      </c>
      <c r="F95" s="53">
        <v>10</v>
      </c>
      <c r="G95" s="53">
        <v>2634</v>
      </c>
      <c r="H95" s="53">
        <v>10</v>
      </c>
      <c r="I95" s="53"/>
      <c r="J95" s="53"/>
      <c r="K95" s="30">
        <v>12</v>
      </c>
      <c r="L95" s="56" t="s">
        <v>49</v>
      </c>
      <c r="M95" s="55">
        <f t="shared" si="1"/>
        <v>2277.6000000000004</v>
      </c>
    </row>
    <row r="96" spans="1:13" ht="20.100000000000001" customHeight="1" x14ac:dyDescent="0.2">
      <c r="A96" s="53" t="s">
        <v>675</v>
      </c>
      <c r="B96" s="56">
        <v>40</v>
      </c>
      <c r="C96" s="51">
        <v>1</v>
      </c>
      <c r="D96" s="52">
        <v>1161.2</v>
      </c>
      <c r="E96" s="53"/>
      <c r="F96" s="53"/>
      <c r="G96" s="53"/>
      <c r="H96" s="53"/>
      <c r="I96" s="53"/>
      <c r="J96" s="53"/>
      <c r="K96" s="30">
        <v>28</v>
      </c>
      <c r="L96" s="56" t="s">
        <v>445</v>
      </c>
      <c r="M96" s="55">
        <f t="shared" si="1"/>
        <v>32513.600000000002</v>
      </c>
    </row>
    <row r="97" spans="1:13" ht="20.100000000000001" customHeight="1" x14ac:dyDescent="0.2">
      <c r="A97" s="53" t="s">
        <v>674</v>
      </c>
      <c r="B97" s="56">
        <v>40</v>
      </c>
      <c r="C97" s="51">
        <v>1</v>
      </c>
      <c r="D97" s="52">
        <v>1271.7</v>
      </c>
      <c r="E97" s="53"/>
      <c r="F97" s="53"/>
      <c r="G97" s="53"/>
      <c r="H97" s="53"/>
      <c r="I97" s="53"/>
      <c r="J97" s="53"/>
      <c r="K97" s="30">
        <v>39</v>
      </c>
      <c r="L97" s="56" t="s">
        <v>445</v>
      </c>
      <c r="M97" s="55">
        <f t="shared" si="1"/>
        <v>49596.3</v>
      </c>
    </row>
    <row r="98" spans="1:13" ht="20.100000000000001" customHeight="1" x14ac:dyDescent="0.2">
      <c r="A98" s="57" t="s">
        <v>366</v>
      </c>
      <c r="B98" s="51">
        <v>40</v>
      </c>
      <c r="C98" s="51">
        <v>1</v>
      </c>
      <c r="D98" s="58">
        <v>454.4</v>
      </c>
      <c r="E98" s="53"/>
      <c r="F98" s="53"/>
      <c r="G98" s="53"/>
      <c r="H98" s="53"/>
      <c r="I98" s="53"/>
      <c r="J98" s="53"/>
      <c r="K98" s="30">
        <v>16</v>
      </c>
      <c r="L98" s="56" t="s">
        <v>49</v>
      </c>
      <c r="M98" s="55">
        <f t="shared" si="1"/>
        <v>7270.4</v>
      </c>
    </row>
    <row r="99" spans="1:13" ht="20.100000000000001" customHeight="1" x14ac:dyDescent="0.2">
      <c r="A99" s="53" t="s">
        <v>669</v>
      </c>
      <c r="B99" s="51">
        <v>40</v>
      </c>
      <c r="C99" s="51">
        <v>1</v>
      </c>
      <c r="D99" s="52">
        <v>130</v>
      </c>
      <c r="E99" s="53"/>
      <c r="F99" s="53"/>
      <c r="G99" s="53"/>
      <c r="H99" s="53"/>
      <c r="I99" s="53"/>
      <c r="J99" s="53"/>
      <c r="K99" s="30">
        <v>420</v>
      </c>
      <c r="L99" s="56" t="s">
        <v>49</v>
      </c>
      <c r="M99" s="55">
        <f t="shared" si="1"/>
        <v>54600</v>
      </c>
    </row>
    <row r="100" spans="1:13" ht="20.100000000000001" customHeight="1" x14ac:dyDescent="0.2">
      <c r="A100" s="53" t="s">
        <v>670</v>
      </c>
      <c r="B100" s="51">
        <v>40</v>
      </c>
      <c r="C100" s="51">
        <v>1</v>
      </c>
      <c r="D100" s="52">
        <v>55.2</v>
      </c>
      <c r="E100" s="53"/>
      <c r="F100" s="53"/>
      <c r="G100" s="53"/>
      <c r="H100" s="53"/>
      <c r="I100" s="53"/>
      <c r="J100" s="53"/>
      <c r="K100" s="30">
        <v>125</v>
      </c>
      <c r="L100" s="56" t="s">
        <v>49</v>
      </c>
      <c r="M100" s="55">
        <f t="shared" si="1"/>
        <v>6900</v>
      </c>
    </row>
    <row r="101" spans="1:13" ht="20.100000000000001" customHeight="1" x14ac:dyDescent="0.2">
      <c r="A101" s="53" t="s">
        <v>368</v>
      </c>
      <c r="B101" s="51">
        <v>40</v>
      </c>
      <c r="C101" s="51">
        <v>1</v>
      </c>
      <c r="D101" s="52">
        <v>86.4</v>
      </c>
      <c r="E101" s="53"/>
      <c r="F101" s="53"/>
      <c r="G101" s="53"/>
      <c r="H101" s="53"/>
      <c r="I101" s="53"/>
      <c r="J101" s="53"/>
      <c r="K101" s="30">
        <v>0</v>
      </c>
      <c r="L101" s="56" t="s">
        <v>49</v>
      </c>
      <c r="M101" s="55">
        <f t="shared" si="1"/>
        <v>0</v>
      </c>
    </row>
    <row r="102" spans="1:13" ht="20.100000000000001" customHeight="1" x14ac:dyDescent="0.2">
      <c r="A102" s="53" t="s">
        <v>369</v>
      </c>
      <c r="B102" s="51">
        <v>40</v>
      </c>
      <c r="C102" s="51">
        <v>1</v>
      </c>
      <c r="D102" s="52">
        <v>210</v>
      </c>
      <c r="E102" s="53"/>
      <c r="F102" s="53"/>
      <c r="G102" s="53"/>
      <c r="H102" s="53"/>
      <c r="I102" s="53"/>
      <c r="J102" s="53"/>
      <c r="K102" s="30">
        <v>15</v>
      </c>
      <c r="L102" s="56" t="s">
        <v>49</v>
      </c>
      <c r="M102" s="55">
        <f t="shared" si="1"/>
        <v>3150</v>
      </c>
    </row>
    <row r="103" spans="1:13" ht="20.100000000000001" customHeight="1" x14ac:dyDescent="0.2">
      <c r="A103" s="53" t="s">
        <v>370</v>
      </c>
      <c r="B103" s="51">
        <v>40</v>
      </c>
      <c r="C103" s="51">
        <v>1</v>
      </c>
      <c r="D103" s="52">
        <v>210</v>
      </c>
      <c r="E103" s="53"/>
      <c r="F103" s="53"/>
      <c r="G103" s="53"/>
      <c r="H103" s="53"/>
      <c r="I103" s="53"/>
      <c r="J103" s="53"/>
      <c r="K103" s="30">
        <v>60</v>
      </c>
      <c r="L103" s="56" t="s">
        <v>445</v>
      </c>
      <c r="M103" s="55">
        <f t="shared" si="1"/>
        <v>12600</v>
      </c>
    </row>
    <row r="104" spans="1:13" ht="20.100000000000001" customHeight="1" x14ac:dyDescent="0.2">
      <c r="A104" s="53" t="s">
        <v>371</v>
      </c>
      <c r="B104" s="51">
        <v>40</v>
      </c>
      <c r="C104" s="51">
        <v>1</v>
      </c>
      <c r="D104" s="52">
        <v>295</v>
      </c>
      <c r="E104" s="53"/>
      <c r="F104" s="53"/>
      <c r="G104" s="53"/>
      <c r="H104" s="53"/>
      <c r="I104" s="53"/>
      <c r="J104" s="53"/>
      <c r="K104" s="30">
        <v>33</v>
      </c>
      <c r="L104" s="56" t="s">
        <v>445</v>
      </c>
      <c r="M104" s="55">
        <f t="shared" si="1"/>
        <v>9735</v>
      </c>
    </row>
    <row r="105" spans="1:13" ht="20.100000000000001" customHeight="1" x14ac:dyDescent="0.2">
      <c r="A105" s="53" t="s">
        <v>372</v>
      </c>
      <c r="B105" s="51">
        <v>40</v>
      </c>
      <c r="C105" s="51">
        <v>1</v>
      </c>
      <c r="D105" s="52">
        <v>381.6</v>
      </c>
      <c r="E105" s="53"/>
      <c r="F105" s="53"/>
      <c r="G105" s="53"/>
      <c r="H105" s="53"/>
      <c r="I105" s="53"/>
      <c r="J105" s="53"/>
      <c r="K105" s="30">
        <v>20</v>
      </c>
      <c r="L105" s="56" t="s">
        <v>49</v>
      </c>
      <c r="M105" s="55">
        <f t="shared" si="1"/>
        <v>7632</v>
      </c>
    </row>
    <row r="106" spans="1:13" ht="20.100000000000001" customHeight="1" x14ac:dyDescent="0.2">
      <c r="A106" s="53" t="s">
        <v>373</v>
      </c>
      <c r="B106" s="56">
        <v>40</v>
      </c>
      <c r="C106" s="51">
        <v>1</v>
      </c>
      <c r="D106" s="52">
        <v>55.2</v>
      </c>
      <c r="E106" s="53"/>
      <c r="F106" s="53"/>
      <c r="G106" s="53"/>
      <c r="H106" s="53"/>
      <c r="I106" s="53"/>
      <c r="J106" s="53"/>
      <c r="K106" s="30">
        <v>65</v>
      </c>
      <c r="L106" s="56" t="s">
        <v>49</v>
      </c>
      <c r="M106" s="55">
        <f t="shared" si="1"/>
        <v>3588</v>
      </c>
    </row>
    <row r="107" spans="1:13" ht="20.100000000000001" customHeight="1" x14ac:dyDescent="0.2">
      <c r="A107" s="53" t="s">
        <v>375</v>
      </c>
      <c r="B107" s="51">
        <v>50</v>
      </c>
      <c r="C107" s="51">
        <v>1</v>
      </c>
      <c r="D107" s="52">
        <v>1362</v>
      </c>
      <c r="E107" s="53"/>
      <c r="F107" s="53"/>
      <c r="G107" s="53"/>
      <c r="H107" s="53"/>
      <c r="I107" s="53"/>
      <c r="J107" s="53"/>
      <c r="K107" s="30">
        <v>0</v>
      </c>
      <c r="L107" s="56" t="s">
        <v>49</v>
      </c>
      <c r="M107" s="55">
        <f t="shared" si="1"/>
        <v>0</v>
      </c>
    </row>
    <row r="108" spans="1:13" ht="20.100000000000001" customHeight="1" x14ac:dyDescent="0.2">
      <c r="A108" s="53" t="s">
        <v>794</v>
      </c>
      <c r="B108" s="51">
        <v>50</v>
      </c>
      <c r="C108" s="51">
        <v>1</v>
      </c>
      <c r="D108" s="52">
        <v>72.2</v>
      </c>
      <c r="E108" s="53"/>
      <c r="F108" s="53"/>
      <c r="G108" s="53"/>
      <c r="H108" s="53"/>
      <c r="I108" s="53"/>
      <c r="J108" s="53"/>
      <c r="K108" s="30">
        <v>93</v>
      </c>
      <c r="L108" s="56" t="s">
        <v>49</v>
      </c>
      <c r="M108" s="55">
        <f t="shared" si="1"/>
        <v>6714.6</v>
      </c>
    </row>
    <row r="109" spans="1:13" ht="20.100000000000001" customHeight="1" x14ac:dyDescent="0.2">
      <c r="A109" s="53" t="s">
        <v>798</v>
      </c>
      <c r="B109" s="51">
        <v>50</v>
      </c>
      <c r="C109" s="51">
        <v>1</v>
      </c>
      <c r="D109" s="52">
        <v>43356</v>
      </c>
      <c r="E109" s="53"/>
      <c r="F109" s="53"/>
      <c r="G109" s="53"/>
      <c r="H109" s="53"/>
      <c r="I109" s="53"/>
      <c r="J109" s="53"/>
      <c r="K109" s="30">
        <v>0</v>
      </c>
      <c r="L109" s="56" t="s">
        <v>799</v>
      </c>
      <c r="M109" s="55">
        <f t="shared" si="1"/>
        <v>0</v>
      </c>
    </row>
    <row r="110" spans="1:13" ht="20.100000000000001" customHeight="1" x14ac:dyDescent="0.2">
      <c r="A110" s="53" t="s">
        <v>376</v>
      </c>
      <c r="B110" s="51">
        <v>50</v>
      </c>
      <c r="C110" s="51">
        <v>1</v>
      </c>
      <c r="D110" s="52">
        <v>28.5</v>
      </c>
      <c r="E110" s="53"/>
      <c r="F110" s="53"/>
      <c r="G110" s="53"/>
      <c r="H110" s="53"/>
      <c r="I110" s="53"/>
      <c r="J110" s="53"/>
      <c r="K110" s="30">
        <v>118</v>
      </c>
      <c r="L110" s="56" t="s">
        <v>45</v>
      </c>
      <c r="M110" s="55">
        <f t="shared" si="1"/>
        <v>3363</v>
      </c>
    </row>
    <row r="111" spans="1:13" ht="20.100000000000001" customHeight="1" x14ac:dyDescent="0.2">
      <c r="A111" s="57" t="s">
        <v>377</v>
      </c>
      <c r="B111" s="51">
        <v>50</v>
      </c>
      <c r="C111" s="51">
        <v>1</v>
      </c>
      <c r="D111" s="58">
        <v>499</v>
      </c>
      <c r="E111" s="53"/>
      <c r="F111" s="53"/>
      <c r="G111" s="53"/>
      <c r="H111" s="53"/>
      <c r="I111" s="53"/>
      <c r="J111" s="53"/>
      <c r="K111" s="30">
        <v>2</v>
      </c>
      <c r="L111" s="56" t="s">
        <v>49</v>
      </c>
      <c r="M111" s="55">
        <f t="shared" si="1"/>
        <v>998</v>
      </c>
    </row>
    <row r="112" spans="1:13" ht="20.100000000000001" customHeight="1" x14ac:dyDescent="0.2">
      <c r="A112" s="53" t="s">
        <v>378</v>
      </c>
      <c r="B112" s="51">
        <v>50</v>
      </c>
      <c r="C112" s="51">
        <v>1</v>
      </c>
      <c r="D112" s="52">
        <v>17.8</v>
      </c>
      <c r="E112" s="53"/>
      <c r="F112" s="53"/>
      <c r="G112" s="53"/>
      <c r="H112" s="53"/>
      <c r="I112" s="53"/>
      <c r="J112" s="53"/>
      <c r="K112" s="30">
        <v>50</v>
      </c>
      <c r="L112" s="56" t="s">
        <v>45</v>
      </c>
      <c r="M112" s="55">
        <f t="shared" si="1"/>
        <v>890</v>
      </c>
    </row>
    <row r="113" spans="1:13" ht="20.100000000000001" customHeight="1" x14ac:dyDescent="0.2">
      <c r="A113" s="53" t="s">
        <v>802</v>
      </c>
      <c r="B113" s="51">
        <v>50</v>
      </c>
      <c r="C113" s="51">
        <v>1</v>
      </c>
      <c r="D113" s="52">
        <v>50.78</v>
      </c>
      <c r="E113" s="53"/>
      <c r="F113" s="53"/>
      <c r="G113" s="53"/>
      <c r="H113" s="53"/>
      <c r="I113" s="53"/>
      <c r="J113" s="53"/>
      <c r="K113" s="30">
        <v>22</v>
      </c>
      <c r="L113" s="56" t="s">
        <v>49</v>
      </c>
      <c r="M113" s="55">
        <f t="shared" si="1"/>
        <v>1117.1600000000001</v>
      </c>
    </row>
    <row r="114" spans="1:13" ht="20.100000000000001" customHeight="1" x14ac:dyDescent="0.2">
      <c r="A114" s="53" t="s">
        <v>803</v>
      </c>
      <c r="B114" s="51">
        <v>50</v>
      </c>
      <c r="C114" s="51">
        <v>1</v>
      </c>
      <c r="D114" s="52">
        <v>1717</v>
      </c>
      <c r="E114" s="53"/>
      <c r="F114" s="53"/>
      <c r="G114" s="53"/>
      <c r="H114" s="53"/>
      <c r="I114" s="53"/>
      <c r="J114" s="53"/>
      <c r="K114" s="30">
        <v>2</v>
      </c>
      <c r="L114" s="56" t="s">
        <v>49</v>
      </c>
      <c r="M114" s="55">
        <f t="shared" si="1"/>
        <v>3434</v>
      </c>
    </row>
    <row r="115" spans="1:13" ht="20.100000000000001" customHeight="1" x14ac:dyDescent="0.2">
      <c r="A115" s="53" t="s">
        <v>805</v>
      </c>
      <c r="B115" s="51">
        <v>50</v>
      </c>
      <c r="C115" s="51">
        <v>1</v>
      </c>
      <c r="D115" s="52">
        <v>154.1</v>
      </c>
      <c r="E115" s="53"/>
      <c r="F115" s="53"/>
      <c r="G115" s="53"/>
      <c r="H115" s="53"/>
      <c r="I115" s="53"/>
      <c r="J115" s="53"/>
      <c r="K115" s="30">
        <v>10</v>
      </c>
      <c r="L115" s="56" t="s">
        <v>49</v>
      </c>
      <c r="M115" s="55">
        <f t="shared" si="1"/>
        <v>1541</v>
      </c>
    </row>
    <row r="116" spans="1:13" ht="20.100000000000001" customHeight="1" x14ac:dyDescent="0.2">
      <c r="A116" s="53" t="s">
        <v>806</v>
      </c>
      <c r="B116" s="56">
        <v>50</v>
      </c>
      <c r="C116" s="51">
        <v>1</v>
      </c>
      <c r="D116" s="72">
        <v>2437</v>
      </c>
      <c r="E116" s="53"/>
      <c r="F116" s="53"/>
      <c r="G116" s="53"/>
      <c r="H116" s="53"/>
      <c r="I116" s="53"/>
      <c r="J116" s="53"/>
      <c r="K116" s="30">
        <v>1</v>
      </c>
      <c r="L116" s="56" t="s">
        <v>49</v>
      </c>
      <c r="M116" s="55">
        <f t="shared" si="1"/>
        <v>2437</v>
      </c>
    </row>
    <row r="117" spans="1:13" ht="20.100000000000001" customHeight="1" x14ac:dyDescent="0.2">
      <c r="A117" s="53" t="s">
        <v>807</v>
      </c>
      <c r="B117" s="56">
        <v>50</v>
      </c>
      <c r="C117" s="51">
        <v>1</v>
      </c>
      <c r="D117" s="72">
        <v>1760</v>
      </c>
      <c r="E117" s="53"/>
      <c r="F117" s="53"/>
      <c r="G117" s="53"/>
      <c r="H117" s="53"/>
      <c r="I117" s="53"/>
      <c r="J117" s="53"/>
      <c r="K117" s="30">
        <v>1</v>
      </c>
      <c r="L117" s="56" t="s">
        <v>49</v>
      </c>
      <c r="M117" s="55">
        <f t="shared" si="1"/>
        <v>1760</v>
      </c>
    </row>
    <row r="118" spans="1:13" ht="20.100000000000001" customHeight="1" x14ac:dyDescent="0.2">
      <c r="A118" s="57" t="s">
        <v>379</v>
      </c>
      <c r="B118" s="51">
        <v>50</v>
      </c>
      <c r="C118" s="51">
        <v>1</v>
      </c>
      <c r="D118" s="58">
        <v>1177</v>
      </c>
      <c r="E118" s="53"/>
      <c r="F118" s="53"/>
      <c r="G118" s="53"/>
      <c r="H118" s="53"/>
      <c r="I118" s="53"/>
      <c r="J118" s="53"/>
      <c r="K118" s="30">
        <v>5</v>
      </c>
      <c r="L118" s="56" t="s">
        <v>49</v>
      </c>
      <c r="M118" s="55">
        <f t="shared" si="1"/>
        <v>5885</v>
      </c>
    </row>
    <row r="119" spans="1:13" ht="20.100000000000001" customHeight="1" x14ac:dyDescent="0.2">
      <c r="A119" s="57" t="s">
        <v>809</v>
      </c>
      <c r="B119" s="51">
        <v>50</v>
      </c>
      <c r="C119" s="51">
        <v>1</v>
      </c>
      <c r="D119" s="58">
        <v>2129</v>
      </c>
      <c r="E119" s="53"/>
      <c r="F119" s="53"/>
      <c r="G119" s="53"/>
      <c r="H119" s="53"/>
      <c r="I119" s="53"/>
      <c r="J119" s="53"/>
      <c r="K119" s="30">
        <v>2</v>
      </c>
      <c r="L119" s="56" t="s">
        <v>49</v>
      </c>
      <c r="M119" s="55">
        <f t="shared" si="1"/>
        <v>4258</v>
      </c>
    </row>
    <row r="120" spans="1:13" ht="20.100000000000001" customHeight="1" x14ac:dyDescent="0.2">
      <c r="A120" s="57" t="s">
        <v>810</v>
      </c>
      <c r="B120" s="51">
        <v>50</v>
      </c>
      <c r="C120" s="51">
        <v>1</v>
      </c>
      <c r="D120" s="58">
        <v>2229</v>
      </c>
      <c r="E120" s="53"/>
      <c r="F120" s="53"/>
      <c r="G120" s="53"/>
      <c r="H120" s="53"/>
      <c r="I120" s="53"/>
      <c r="J120" s="53"/>
      <c r="K120" s="30">
        <v>7</v>
      </c>
      <c r="L120" s="56" t="s">
        <v>49</v>
      </c>
      <c r="M120" s="55">
        <f t="shared" si="1"/>
        <v>15603</v>
      </c>
    </row>
    <row r="121" spans="1:13" ht="20.100000000000001" customHeight="1" x14ac:dyDescent="0.2">
      <c r="A121" s="57" t="s">
        <v>811</v>
      </c>
      <c r="B121" s="51">
        <v>50</v>
      </c>
      <c r="C121" s="51">
        <v>1</v>
      </c>
      <c r="D121" s="58">
        <v>2170</v>
      </c>
      <c r="E121" s="53"/>
      <c r="F121" s="53"/>
      <c r="G121" s="53"/>
      <c r="H121" s="53"/>
      <c r="I121" s="53"/>
      <c r="J121" s="53"/>
      <c r="K121" s="30">
        <v>1</v>
      </c>
      <c r="L121" s="56" t="s">
        <v>49</v>
      </c>
      <c r="M121" s="55">
        <f t="shared" si="1"/>
        <v>2170</v>
      </c>
    </row>
    <row r="122" spans="1:13" ht="20.100000000000001" customHeight="1" x14ac:dyDescent="0.2">
      <c r="A122" s="53" t="s">
        <v>812</v>
      </c>
      <c r="B122" s="51">
        <v>50</v>
      </c>
      <c r="C122" s="51">
        <v>1</v>
      </c>
      <c r="D122" s="52">
        <v>21900</v>
      </c>
      <c r="E122" s="53"/>
      <c r="F122" s="53"/>
      <c r="G122" s="53"/>
      <c r="H122" s="53"/>
      <c r="I122" s="53"/>
      <c r="J122" s="53"/>
      <c r="K122" s="30">
        <v>0</v>
      </c>
      <c r="L122" s="56" t="s">
        <v>49</v>
      </c>
      <c r="M122" s="55">
        <f t="shared" si="1"/>
        <v>0</v>
      </c>
    </row>
    <row r="123" spans="1:13" ht="20.100000000000001" customHeight="1" x14ac:dyDescent="0.2">
      <c r="A123" s="57" t="s">
        <v>382</v>
      </c>
      <c r="B123" s="51">
        <v>50</v>
      </c>
      <c r="C123" s="51">
        <v>1</v>
      </c>
      <c r="D123" s="58">
        <v>30580</v>
      </c>
      <c r="E123" s="53"/>
      <c r="F123" s="53"/>
      <c r="G123" s="53"/>
      <c r="H123" s="53"/>
      <c r="I123" s="53"/>
      <c r="J123" s="53"/>
      <c r="K123" s="30">
        <v>1</v>
      </c>
      <c r="L123" s="56" t="s">
        <v>49</v>
      </c>
      <c r="M123" s="55">
        <f t="shared" si="1"/>
        <v>30580</v>
      </c>
    </row>
    <row r="124" spans="1:13" ht="20.100000000000001" customHeight="1" x14ac:dyDescent="0.2">
      <c r="A124" s="53" t="s">
        <v>817</v>
      </c>
      <c r="B124" s="56">
        <v>50</v>
      </c>
      <c r="C124" s="51">
        <v>1</v>
      </c>
      <c r="D124" s="72">
        <v>975</v>
      </c>
      <c r="E124" s="53"/>
      <c r="F124" s="53"/>
      <c r="G124" s="53"/>
      <c r="H124" s="53"/>
      <c r="I124" s="53"/>
      <c r="J124" s="53"/>
      <c r="K124" s="30">
        <v>2</v>
      </c>
      <c r="L124" s="56" t="s">
        <v>49</v>
      </c>
      <c r="M124" s="55">
        <f t="shared" si="1"/>
        <v>1950</v>
      </c>
    </row>
    <row r="125" spans="1:13" ht="20.100000000000001" customHeight="1" x14ac:dyDescent="0.2">
      <c r="A125" s="53" t="s">
        <v>818</v>
      </c>
      <c r="B125" s="56">
        <v>50</v>
      </c>
      <c r="C125" s="51">
        <v>1</v>
      </c>
      <c r="D125" s="52">
        <v>20572</v>
      </c>
      <c r="E125" s="53"/>
      <c r="F125" s="53"/>
      <c r="G125" s="53"/>
      <c r="H125" s="53"/>
      <c r="I125" s="53"/>
      <c r="J125" s="53"/>
      <c r="K125" s="30">
        <v>1</v>
      </c>
      <c r="L125" s="56" t="s">
        <v>49</v>
      </c>
      <c r="M125" s="55">
        <f t="shared" si="1"/>
        <v>20572</v>
      </c>
    </row>
    <row r="126" spans="1:13" ht="20.100000000000001" customHeight="1" x14ac:dyDescent="0.2">
      <c r="A126" s="53" t="s">
        <v>819</v>
      </c>
      <c r="B126" s="56">
        <v>50</v>
      </c>
      <c r="C126" s="51">
        <v>1</v>
      </c>
      <c r="D126" s="52">
        <v>27073</v>
      </c>
      <c r="E126" s="53"/>
      <c r="F126" s="53"/>
      <c r="G126" s="53"/>
      <c r="H126" s="53"/>
      <c r="I126" s="53"/>
      <c r="J126" s="53"/>
      <c r="K126" s="30">
        <v>1</v>
      </c>
      <c r="L126" s="56" t="s">
        <v>49</v>
      </c>
      <c r="M126" s="55">
        <f t="shared" si="1"/>
        <v>27073</v>
      </c>
    </row>
    <row r="127" spans="1:13" ht="20.100000000000001" customHeight="1" x14ac:dyDescent="0.2">
      <c r="A127" s="53" t="s">
        <v>820</v>
      </c>
      <c r="B127" s="56">
        <v>50</v>
      </c>
      <c r="C127" s="51">
        <v>1</v>
      </c>
      <c r="D127" s="52">
        <v>32902</v>
      </c>
      <c r="E127" s="53"/>
      <c r="F127" s="53"/>
      <c r="G127" s="53"/>
      <c r="H127" s="53"/>
      <c r="I127" s="53"/>
      <c r="J127" s="53"/>
      <c r="K127" s="30">
        <v>3</v>
      </c>
      <c r="L127" s="56" t="s">
        <v>49</v>
      </c>
      <c r="M127" s="55">
        <f t="shared" si="1"/>
        <v>98706</v>
      </c>
    </row>
    <row r="128" spans="1:13" ht="20.100000000000001" customHeight="1" x14ac:dyDescent="0.2">
      <c r="A128" s="53" t="s">
        <v>666</v>
      </c>
      <c r="B128" s="56">
        <v>50</v>
      </c>
      <c r="C128" s="51">
        <v>1</v>
      </c>
      <c r="D128" s="52">
        <v>186</v>
      </c>
      <c r="E128" s="53"/>
      <c r="F128" s="53"/>
      <c r="G128" s="53"/>
      <c r="H128" s="53"/>
      <c r="I128" s="53"/>
      <c r="J128" s="53"/>
      <c r="K128" s="30">
        <v>8</v>
      </c>
      <c r="L128" s="56" t="s">
        <v>49</v>
      </c>
      <c r="M128" s="55">
        <f t="shared" si="1"/>
        <v>1488</v>
      </c>
    </row>
    <row r="129" spans="1:13" ht="20.100000000000001" customHeight="1" x14ac:dyDescent="0.2">
      <c r="A129" s="53" t="s">
        <v>387</v>
      </c>
      <c r="B129" s="51">
        <v>50</v>
      </c>
      <c r="C129" s="51">
        <v>1</v>
      </c>
      <c r="D129" s="52">
        <v>63.08</v>
      </c>
      <c r="E129" s="53"/>
      <c r="F129" s="53"/>
      <c r="G129" s="53"/>
      <c r="H129" s="53"/>
      <c r="I129" s="53"/>
      <c r="J129" s="53"/>
      <c r="K129" s="30">
        <v>114</v>
      </c>
      <c r="L129" s="56" t="s">
        <v>49</v>
      </c>
      <c r="M129" s="55">
        <f t="shared" si="1"/>
        <v>7191.12</v>
      </c>
    </row>
    <row r="130" spans="1:13" ht="20.100000000000001" customHeight="1" x14ac:dyDescent="0.2">
      <c r="A130" s="53" t="s">
        <v>432</v>
      </c>
      <c r="B130" s="60">
        <v>51</v>
      </c>
      <c r="C130" s="60">
        <v>1</v>
      </c>
      <c r="D130" s="58">
        <v>72.3</v>
      </c>
      <c r="E130" s="53"/>
      <c r="F130" s="53"/>
      <c r="G130" s="53"/>
      <c r="H130" s="53"/>
      <c r="I130" s="53"/>
      <c r="J130" s="53"/>
      <c r="K130" s="30">
        <v>145</v>
      </c>
      <c r="L130" s="56" t="s">
        <v>445</v>
      </c>
      <c r="M130" s="55">
        <f t="shared" si="1"/>
        <v>10483.5</v>
      </c>
    </row>
    <row r="131" spans="1:13" ht="20.100000000000001" customHeight="1" x14ac:dyDescent="0.2">
      <c r="A131" s="57" t="s">
        <v>388</v>
      </c>
      <c r="B131" s="60">
        <v>51</v>
      </c>
      <c r="C131" s="60">
        <v>1</v>
      </c>
      <c r="D131" s="58">
        <v>6877</v>
      </c>
      <c r="E131" s="53"/>
      <c r="F131" s="53"/>
      <c r="G131" s="53"/>
      <c r="H131" s="53"/>
      <c r="I131" s="53"/>
      <c r="J131" s="53"/>
      <c r="K131" s="30">
        <v>1</v>
      </c>
      <c r="L131" s="56" t="s">
        <v>49</v>
      </c>
      <c r="M131" s="55">
        <f t="shared" si="1"/>
        <v>6877</v>
      </c>
    </row>
    <row r="132" spans="1:13" ht="20.100000000000001" customHeight="1" x14ac:dyDescent="0.2">
      <c r="A132" s="57" t="s">
        <v>824</v>
      </c>
      <c r="B132" s="60">
        <v>51</v>
      </c>
      <c r="C132" s="60">
        <v>1</v>
      </c>
      <c r="D132" s="58">
        <v>710</v>
      </c>
      <c r="E132" s="53"/>
      <c r="F132" s="53"/>
      <c r="G132" s="53"/>
      <c r="H132" s="53"/>
      <c r="I132" s="53"/>
      <c r="J132" s="53"/>
      <c r="K132" s="30">
        <v>0</v>
      </c>
      <c r="L132" s="56" t="s">
        <v>49</v>
      </c>
      <c r="M132" s="55">
        <f t="shared" ref="M132:M148" si="2">SUM(D132*K132)</f>
        <v>0</v>
      </c>
    </row>
    <row r="133" spans="1:13" ht="20.100000000000001" customHeight="1" x14ac:dyDescent="0.2">
      <c r="A133" s="53" t="s">
        <v>391</v>
      </c>
      <c r="B133" s="56">
        <v>51</v>
      </c>
      <c r="C133" s="56">
        <v>1</v>
      </c>
      <c r="D133" s="52">
        <v>48.8</v>
      </c>
      <c r="E133" s="53">
        <v>1245</v>
      </c>
      <c r="F133" s="53">
        <v>24</v>
      </c>
      <c r="G133" s="53">
        <v>1245</v>
      </c>
      <c r="H133" s="53">
        <v>24</v>
      </c>
      <c r="I133" s="53"/>
      <c r="J133" s="53"/>
      <c r="K133" s="30">
        <v>0</v>
      </c>
      <c r="L133" s="56" t="s">
        <v>49</v>
      </c>
      <c r="M133" s="55">
        <f t="shared" si="2"/>
        <v>0</v>
      </c>
    </row>
    <row r="134" spans="1:13" ht="20.100000000000001" customHeight="1" x14ac:dyDescent="0.2">
      <c r="A134" s="57" t="s">
        <v>392</v>
      </c>
      <c r="B134" s="56">
        <v>51</v>
      </c>
      <c r="C134" s="56">
        <v>1</v>
      </c>
      <c r="D134" s="52">
        <v>91.2</v>
      </c>
      <c r="E134" s="53"/>
      <c r="F134" s="53"/>
      <c r="G134" s="53"/>
      <c r="H134" s="53"/>
      <c r="I134" s="53"/>
      <c r="J134" s="53"/>
      <c r="K134" s="30">
        <v>49</v>
      </c>
      <c r="L134" s="56" t="s">
        <v>445</v>
      </c>
      <c r="M134" s="55">
        <f t="shared" si="2"/>
        <v>4468.8</v>
      </c>
    </row>
    <row r="135" spans="1:13" ht="20.100000000000001" customHeight="1" x14ac:dyDescent="0.2">
      <c r="A135" s="57" t="s">
        <v>754</v>
      </c>
      <c r="B135" s="56">
        <v>51</v>
      </c>
      <c r="C135" s="56">
        <v>1</v>
      </c>
      <c r="D135" s="72">
        <v>2227</v>
      </c>
      <c r="E135" s="53"/>
      <c r="F135" s="53"/>
      <c r="G135" s="53"/>
      <c r="H135" s="53"/>
      <c r="I135" s="53"/>
      <c r="J135" s="53"/>
      <c r="K135" s="30">
        <v>1</v>
      </c>
      <c r="L135" s="56" t="s">
        <v>49</v>
      </c>
      <c r="M135" s="55">
        <f t="shared" si="2"/>
        <v>2227</v>
      </c>
    </row>
    <row r="136" spans="1:13" ht="20.100000000000001" customHeight="1" x14ac:dyDescent="0.2">
      <c r="A136" s="57" t="s">
        <v>531</v>
      </c>
      <c r="B136" s="56">
        <v>51</v>
      </c>
      <c r="C136" s="56">
        <v>1</v>
      </c>
      <c r="D136" s="52">
        <v>192</v>
      </c>
      <c r="E136" s="53"/>
      <c r="F136" s="53"/>
      <c r="G136" s="53"/>
      <c r="H136" s="53"/>
      <c r="I136" s="53"/>
      <c r="J136" s="53"/>
      <c r="K136" s="30">
        <v>120</v>
      </c>
      <c r="L136" s="56" t="s">
        <v>445</v>
      </c>
      <c r="M136" s="55">
        <f t="shared" si="2"/>
        <v>23040</v>
      </c>
    </row>
    <row r="137" spans="1:13" ht="20.100000000000001" customHeight="1" x14ac:dyDescent="0.2">
      <c r="A137" s="57" t="s">
        <v>532</v>
      </c>
      <c r="B137" s="56">
        <v>51</v>
      </c>
      <c r="C137" s="56">
        <v>1</v>
      </c>
      <c r="D137" s="52">
        <v>192</v>
      </c>
      <c r="E137" s="53"/>
      <c r="F137" s="53"/>
      <c r="G137" s="53"/>
      <c r="H137" s="53"/>
      <c r="I137" s="53"/>
      <c r="J137" s="53"/>
      <c r="K137" s="30">
        <v>68</v>
      </c>
      <c r="L137" s="56" t="s">
        <v>445</v>
      </c>
      <c r="M137" s="55">
        <f t="shared" si="2"/>
        <v>13056</v>
      </c>
    </row>
    <row r="138" spans="1:13" ht="20.100000000000001" customHeight="1" x14ac:dyDescent="0.2">
      <c r="A138" s="57" t="s">
        <v>823</v>
      </c>
      <c r="B138" s="56">
        <v>51</v>
      </c>
      <c r="C138" s="56">
        <v>1</v>
      </c>
      <c r="D138" s="52">
        <v>288</v>
      </c>
      <c r="E138" s="53"/>
      <c r="F138" s="53"/>
      <c r="G138" s="53"/>
      <c r="H138" s="53"/>
      <c r="I138" s="53"/>
      <c r="J138" s="53"/>
      <c r="K138" s="30">
        <v>9</v>
      </c>
      <c r="L138" s="56" t="s">
        <v>445</v>
      </c>
      <c r="M138" s="55">
        <f t="shared" si="2"/>
        <v>2592</v>
      </c>
    </row>
    <row r="139" spans="1:13" ht="20.100000000000001" customHeight="1" x14ac:dyDescent="0.2">
      <c r="A139" s="53" t="s">
        <v>393</v>
      </c>
      <c r="B139" s="51">
        <v>51</v>
      </c>
      <c r="C139" s="51">
        <v>1</v>
      </c>
      <c r="D139" s="52">
        <v>105</v>
      </c>
      <c r="E139" s="53"/>
      <c r="F139" s="53"/>
      <c r="G139" s="53"/>
      <c r="H139" s="53"/>
      <c r="I139" s="53"/>
      <c r="J139" s="53"/>
      <c r="K139" s="30">
        <v>76</v>
      </c>
      <c r="L139" s="56" t="s">
        <v>445</v>
      </c>
      <c r="M139" s="55">
        <f t="shared" si="2"/>
        <v>7980</v>
      </c>
    </row>
    <row r="140" spans="1:13" ht="20.100000000000001" customHeight="1" x14ac:dyDescent="0.2">
      <c r="A140" s="53" t="s">
        <v>394</v>
      </c>
      <c r="B140" s="56">
        <v>60</v>
      </c>
      <c r="C140" s="56">
        <v>1</v>
      </c>
      <c r="D140" s="52">
        <v>220</v>
      </c>
      <c r="E140" s="53">
        <v>194</v>
      </c>
      <c r="F140" s="53">
        <v>50</v>
      </c>
      <c r="G140" s="53">
        <v>194</v>
      </c>
      <c r="H140" s="53">
        <v>50</v>
      </c>
      <c r="I140" s="53"/>
      <c r="J140" s="53"/>
      <c r="K140" s="30">
        <v>29</v>
      </c>
      <c r="L140" s="56" t="s">
        <v>49</v>
      </c>
      <c r="M140" s="55">
        <f t="shared" si="2"/>
        <v>6380</v>
      </c>
    </row>
    <row r="141" spans="1:13" ht="20.100000000000001" customHeight="1" x14ac:dyDescent="0.2">
      <c r="A141" s="53" t="s">
        <v>677</v>
      </c>
      <c r="B141" s="56">
        <v>60</v>
      </c>
      <c r="C141" s="56">
        <v>1</v>
      </c>
      <c r="D141" s="52">
        <v>2598</v>
      </c>
      <c r="E141" s="53"/>
      <c r="F141" s="53"/>
      <c r="G141" s="53"/>
      <c r="H141" s="53"/>
      <c r="I141" s="53"/>
      <c r="J141" s="53"/>
      <c r="K141" s="30">
        <v>1</v>
      </c>
      <c r="L141" s="56" t="s">
        <v>49</v>
      </c>
      <c r="M141" s="55">
        <f t="shared" si="2"/>
        <v>2598</v>
      </c>
    </row>
    <row r="142" spans="1:13" ht="20.100000000000001" customHeight="1" x14ac:dyDescent="0.2">
      <c r="A142" s="53" t="s">
        <v>400</v>
      </c>
      <c r="B142" s="51">
        <v>60</v>
      </c>
      <c r="C142" s="51">
        <v>1</v>
      </c>
      <c r="D142" s="52">
        <v>2930</v>
      </c>
      <c r="E142" s="53"/>
      <c r="F142" s="53"/>
      <c r="G142" s="53"/>
      <c r="H142" s="53"/>
      <c r="I142" s="53"/>
      <c r="J142" s="53"/>
      <c r="K142" s="30">
        <v>2</v>
      </c>
      <c r="L142" s="56" t="s">
        <v>767</v>
      </c>
      <c r="M142" s="55">
        <f t="shared" si="2"/>
        <v>5860</v>
      </c>
    </row>
    <row r="143" spans="1:13" ht="20.100000000000001" customHeight="1" x14ac:dyDescent="0.2">
      <c r="A143" s="53" t="s">
        <v>399</v>
      </c>
      <c r="B143" s="51">
        <v>60</v>
      </c>
      <c r="C143" s="51">
        <v>1</v>
      </c>
      <c r="D143" s="52">
        <v>2930</v>
      </c>
      <c r="E143" s="53"/>
      <c r="F143" s="53"/>
      <c r="G143" s="53"/>
      <c r="H143" s="53"/>
      <c r="I143" s="53"/>
      <c r="J143" s="53"/>
      <c r="K143" s="30">
        <v>2</v>
      </c>
      <c r="L143" s="56" t="s">
        <v>767</v>
      </c>
      <c r="M143" s="55">
        <f t="shared" si="2"/>
        <v>5860</v>
      </c>
    </row>
    <row r="144" spans="1:13" ht="20.100000000000001" customHeight="1" x14ac:dyDescent="0.2">
      <c r="A144" s="57" t="s">
        <v>396</v>
      </c>
      <c r="B144" s="51">
        <v>60</v>
      </c>
      <c r="C144" s="51">
        <v>1</v>
      </c>
      <c r="D144" s="58">
        <v>394</v>
      </c>
      <c r="E144" s="53"/>
      <c r="F144" s="53"/>
      <c r="G144" s="53"/>
      <c r="H144" s="53"/>
      <c r="I144" s="53"/>
      <c r="J144" s="53"/>
      <c r="K144" s="30">
        <v>25</v>
      </c>
      <c r="L144" s="56" t="s">
        <v>49</v>
      </c>
      <c r="M144" s="55">
        <f t="shared" si="2"/>
        <v>9850</v>
      </c>
    </row>
    <row r="145" spans="1:13" ht="20.100000000000001" customHeight="1" x14ac:dyDescent="0.2">
      <c r="A145" s="30" t="s">
        <v>678</v>
      </c>
      <c r="B145" s="51">
        <v>60</v>
      </c>
      <c r="C145" s="51">
        <v>1</v>
      </c>
      <c r="D145" s="52">
        <v>112.3</v>
      </c>
      <c r="E145" s="53"/>
      <c r="F145" s="53"/>
      <c r="G145" s="53"/>
      <c r="H145" s="53"/>
      <c r="I145" s="53"/>
      <c r="J145" s="53"/>
      <c r="K145" s="30">
        <v>7</v>
      </c>
      <c r="L145" s="56" t="s">
        <v>49</v>
      </c>
      <c r="M145" s="55">
        <f t="shared" si="2"/>
        <v>786.1</v>
      </c>
    </row>
    <row r="146" spans="1:13" ht="20.100000000000001" customHeight="1" x14ac:dyDescent="0.2">
      <c r="A146" s="53" t="s">
        <v>395</v>
      </c>
      <c r="B146" s="51">
        <v>60</v>
      </c>
      <c r="C146" s="51">
        <v>1</v>
      </c>
      <c r="D146" s="52">
        <v>269</v>
      </c>
      <c r="E146" s="53"/>
      <c r="F146" s="53"/>
      <c r="G146" s="53"/>
      <c r="H146" s="53"/>
      <c r="I146" s="53"/>
      <c r="J146" s="53"/>
      <c r="K146" s="30">
        <v>0</v>
      </c>
      <c r="L146" s="56" t="s">
        <v>49</v>
      </c>
      <c r="M146" s="55">
        <f t="shared" si="2"/>
        <v>0</v>
      </c>
    </row>
    <row r="147" spans="1:13" ht="20.100000000000001" customHeight="1" x14ac:dyDescent="0.2">
      <c r="A147" s="53" t="s">
        <v>397</v>
      </c>
      <c r="B147" s="56">
        <v>60</v>
      </c>
      <c r="C147" s="56">
        <v>1</v>
      </c>
      <c r="D147" s="52">
        <v>290</v>
      </c>
      <c r="E147" s="53">
        <v>230</v>
      </c>
      <c r="F147" s="53">
        <v>50</v>
      </c>
      <c r="G147" s="53">
        <v>230</v>
      </c>
      <c r="H147" s="53">
        <v>50</v>
      </c>
      <c r="I147" s="53"/>
      <c r="J147" s="53"/>
      <c r="K147" s="30">
        <v>36</v>
      </c>
      <c r="L147" s="56" t="s">
        <v>49</v>
      </c>
      <c r="M147" s="55">
        <f t="shared" si="2"/>
        <v>10440</v>
      </c>
    </row>
    <row r="148" spans="1:13" ht="20.100000000000001" customHeight="1" x14ac:dyDescent="0.2">
      <c r="A148" s="53" t="s">
        <v>398</v>
      </c>
      <c r="B148" s="56">
        <v>60</v>
      </c>
      <c r="C148" s="56">
        <v>1</v>
      </c>
      <c r="D148" s="52">
        <v>111</v>
      </c>
      <c r="E148" s="53">
        <v>1530</v>
      </c>
      <c r="F148" s="53">
        <v>1000</v>
      </c>
      <c r="G148" s="53">
        <v>1530</v>
      </c>
      <c r="H148" s="53">
        <v>1000</v>
      </c>
      <c r="I148" s="53"/>
      <c r="J148" s="53"/>
      <c r="K148" s="30">
        <v>7</v>
      </c>
      <c r="L148" s="56" t="s">
        <v>49</v>
      </c>
      <c r="M148" s="55">
        <f t="shared" si="2"/>
        <v>777</v>
      </c>
    </row>
    <row r="149" spans="1:13" ht="20.100000000000001" customHeight="1" x14ac:dyDescent="0.2">
      <c r="A149" s="53"/>
      <c r="B149" s="51"/>
      <c r="C149" s="51"/>
      <c r="D149" s="52"/>
      <c r="E149" s="53"/>
      <c r="F149" s="53"/>
      <c r="G149" s="53"/>
      <c r="H149" s="53"/>
      <c r="I149" s="53"/>
      <c r="J149" s="53"/>
      <c r="K149" s="30"/>
      <c r="L149" s="56"/>
      <c r="M149" s="55">
        <f>SUM(M3:M148)</f>
        <v>1882728.8199999996</v>
      </c>
    </row>
    <row r="150" spans="1:13" ht="20.100000000000001" customHeight="1" x14ac:dyDescent="0.2">
      <c r="A150" s="17"/>
      <c r="B150" s="13"/>
      <c r="C150" s="13"/>
      <c r="D150" s="18"/>
      <c r="E150" s="17"/>
      <c r="F150" s="17"/>
      <c r="G150" s="17"/>
      <c r="H150" s="17"/>
      <c r="I150" s="17"/>
      <c r="J150" s="17"/>
      <c r="K150" s="15"/>
      <c r="L150" s="11"/>
      <c r="M150" s="16"/>
    </row>
    <row r="151" spans="1:13" ht="20.100000000000001" customHeight="1" x14ac:dyDescent="0.2">
      <c r="A151" s="17"/>
      <c r="B151" s="13"/>
      <c r="C151" s="13"/>
      <c r="D151" s="18"/>
      <c r="E151" s="17"/>
      <c r="F151" s="17"/>
      <c r="G151" s="17"/>
      <c r="H151" s="17"/>
      <c r="I151" s="17"/>
      <c r="J151" s="17"/>
      <c r="K151" s="15"/>
      <c r="L151" s="11"/>
      <c r="M151" s="16"/>
    </row>
    <row r="152" spans="1:13" ht="20.100000000000001" customHeight="1" x14ac:dyDescent="0.2">
      <c r="A152" s="17"/>
      <c r="B152" s="13"/>
      <c r="C152" s="13"/>
      <c r="D152" s="18"/>
      <c r="E152" s="17"/>
      <c r="F152" s="17"/>
      <c r="G152" s="17"/>
      <c r="H152" s="17"/>
      <c r="I152" s="17"/>
      <c r="J152" s="17"/>
      <c r="K152" s="15"/>
      <c r="L152" s="11"/>
      <c r="M152" s="16"/>
    </row>
    <row r="153" spans="1:13" ht="20.100000000000001" customHeight="1" x14ac:dyDescent="0.2">
      <c r="A153" s="17"/>
      <c r="B153" s="13"/>
      <c r="C153" s="13"/>
      <c r="D153" s="18"/>
      <c r="E153" s="17"/>
      <c r="F153" s="17"/>
      <c r="G153" s="17"/>
      <c r="H153" s="17"/>
      <c r="I153" s="17"/>
      <c r="J153" s="17"/>
      <c r="K153" s="15"/>
      <c r="L153" s="11"/>
      <c r="M153" s="16"/>
    </row>
    <row r="154" spans="1:13" ht="20.100000000000001" customHeight="1" x14ac:dyDescent="0.2">
      <c r="A154" s="17"/>
      <c r="B154" s="13"/>
      <c r="C154" s="13"/>
      <c r="D154" s="18"/>
      <c r="E154" s="17"/>
      <c r="F154" s="17"/>
      <c r="G154" s="17"/>
      <c r="H154" s="17"/>
      <c r="I154" s="17"/>
      <c r="J154" s="17"/>
      <c r="K154" s="15"/>
      <c r="L154" s="11"/>
      <c r="M154" s="16"/>
    </row>
    <row r="155" spans="1:13" ht="20.100000000000001" customHeight="1" x14ac:dyDescent="0.2">
      <c r="A155" s="17"/>
      <c r="B155" s="13"/>
      <c r="C155" s="13"/>
      <c r="D155" s="18"/>
      <c r="E155" s="17"/>
      <c r="F155" s="17"/>
      <c r="G155" s="17"/>
      <c r="H155" s="17"/>
      <c r="I155" s="17"/>
      <c r="J155" s="17"/>
      <c r="K155" s="15"/>
      <c r="L155" s="11"/>
      <c r="M155" s="16"/>
    </row>
    <row r="156" spans="1:13" ht="20.100000000000001" customHeight="1" x14ac:dyDescent="0.2">
      <c r="A156" s="17"/>
      <c r="B156" s="13"/>
      <c r="C156" s="13"/>
      <c r="D156" s="18"/>
      <c r="E156" s="17"/>
      <c r="F156" s="17"/>
      <c r="G156" s="17"/>
      <c r="H156" s="17"/>
      <c r="I156" s="17"/>
      <c r="J156" s="17"/>
      <c r="K156" s="15"/>
      <c r="L156" s="11"/>
      <c r="M156" s="16"/>
    </row>
  </sheetData>
  <sortState xmlns:xlrd2="http://schemas.microsoft.com/office/spreadsheetml/2017/richdata2" ref="A3:M155">
    <sortCondition ref="B3:B155"/>
  </sortState>
  <phoneticPr fontId="2"/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64"/>
  <sheetViews>
    <sheetView zoomScale="115" zoomScaleNormal="115" workbookViewId="0">
      <pane ySplit="2" topLeftCell="A124" activePane="bottomLeft" state="frozen"/>
      <selection pane="bottomLeft" activeCell="M166" sqref="M166"/>
    </sheetView>
  </sheetViews>
  <sheetFormatPr defaultRowHeight="13.2" x14ac:dyDescent="0.2"/>
  <cols>
    <col min="1" max="1" width="30" style="1" customWidth="1"/>
    <col min="2" max="2" width="3.6640625" style="2" customWidth="1"/>
    <col min="3" max="3" width="8.88671875" style="35" customWidth="1"/>
    <col min="4" max="5" width="6.77734375" style="1" customWidth="1"/>
    <col min="6" max="11" width="6" style="1" customWidth="1"/>
    <col min="12" max="14" width="8.88671875" style="1" customWidth="1"/>
    <col min="15" max="15" width="8.6640625" style="34" customWidth="1"/>
    <col min="16" max="16" width="8.77734375" customWidth="1"/>
    <col min="17" max="17" width="8.6640625" style="9" customWidth="1"/>
    <col min="18" max="18" width="6.21875" style="36" customWidth="1"/>
    <col min="19" max="19" width="10.33203125" style="9" customWidth="1"/>
  </cols>
  <sheetData>
    <row r="1" spans="1:21" ht="20.100000000000001" customHeight="1" thickBot="1" x14ac:dyDescent="0.25">
      <c r="A1" s="1" t="s">
        <v>770</v>
      </c>
      <c r="C1" s="3"/>
      <c r="J1" s="4" t="s">
        <v>0</v>
      </c>
      <c r="K1" s="5"/>
      <c r="M1" s="6" t="s">
        <v>1</v>
      </c>
      <c r="N1" s="7"/>
      <c r="O1" s="8" t="s">
        <v>2</v>
      </c>
      <c r="P1" s="8" t="s">
        <v>3</v>
      </c>
    </row>
    <row r="2" spans="1:21" ht="20.100000000000001" customHeight="1" x14ac:dyDescent="0.2">
      <c r="A2" s="10" t="s">
        <v>4</v>
      </c>
      <c r="B2" s="11" t="s">
        <v>5</v>
      </c>
      <c r="C2" s="12" t="s">
        <v>6</v>
      </c>
      <c r="D2" s="13"/>
      <c r="E2" s="13"/>
      <c r="F2" s="13"/>
      <c r="G2" s="13"/>
      <c r="H2" s="13"/>
      <c r="I2" s="13"/>
      <c r="J2" s="13" t="s">
        <v>7</v>
      </c>
      <c r="K2" s="13" t="s">
        <v>8</v>
      </c>
      <c r="L2" s="13" t="s">
        <v>9</v>
      </c>
      <c r="M2" s="91" t="s">
        <v>10</v>
      </c>
      <c r="N2" s="11" t="s">
        <v>11</v>
      </c>
      <c r="O2" s="14" t="s">
        <v>12</v>
      </c>
      <c r="P2" s="14" t="s">
        <v>13</v>
      </c>
      <c r="Q2" s="16" t="s">
        <v>14</v>
      </c>
      <c r="R2" s="11" t="s">
        <v>15</v>
      </c>
      <c r="S2" s="16" t="s">
        <v>16</v>
      </c>
    </row>
    <row r="3" spans="1:21" ht="20.100000000000001" customHeight="1" x14ac:dyDescent="0.2">
      <c r="A3" s="15" t="s">
        <v>403</v>
      </c>
      <c r="B3" s="13">
        <v>6</v>
      </c>
      <c r="C3" s="18">
        <v>26.46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9">
        <v>24</v>
      </c>
      <c r="P3" s="15">
        <v>100</v>
      </c>
      <c r="Q3" s="16">
        <f>SUM(O3:P3)</f>
        <v>124</v>
      </c>
      <c r="R3" s="11" t="s">
        <v>42</v>
      </c>
      <c r="S3" s="16">
        <f t="shared" ref="S3:S34" si="0">SUM(C:C*Q:Q)</f>
        <v>3281.04</v>
      </c>
    </row>
    <row r="4" spans="1:21" ht="20.100000000000001" customHeight="1" x14ac:dyDescent="0.2">
      <c r="A4" s="17" t="s">
        <v>834</v>
      </c>
      <c r="B4" s="13">
        <v>6</v>
      </c>
      <c r="C4" s="18">
        <v>10.95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9"/>
      <c r="O4" s="19">
        <v>49</v>
      </c>
      <c r="P4" s="15">
        <v>46</v>
      </c>
      <c r="Q4" s="16">
        <f t="shared" ref="Q4:Q7" si="1">SUM(O4:P4)</f>
        <v>95</v>
      </c>
      <c r="R4" s="11"/>
      <c r="S4" s="16">
        <f t="shared" si="0"/>
        <v>1040.25</v>
      </c>
      <c r="U4" t="s">
        <v>417</v>
      </c>
    </row>
    <row r="5" spans="1:21" ht="20.100000000000001" customHeight="1" x14ac:dyDescent="0.2">
      <c r="A5" s="15" t="s">
        <v>401</v>
      </c>
      <c r="B5" s="13">
        <v>6</v>
      </c>
      <c r="C5" s="18">
        <v>57.33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9">
        <v>27</v>
      </c>
      <c r="P5" s="15">
        <v>53</v>
      </c>
      <c r="Q5" s="16">
        <f t="shared" si="1"/>
        <v>80</v>
      </c>
      <c r="R5" s="11" t="s">
        <v>42</v>
      </c>
      <c r="S5" s="16">
        <f t="shared" si="0"/>
        <v>4586.3999999999996</v>
      </c>
    </row>
    <row r="6" spans="1:21" ht="20.100000000000001" customHeight="1" x14ac:dyDescent="0.2">
      <c r="A6" s="31" t="s">
        <v>523</v>
      </c>
      <c r="B6" s="13">
        <v>6</v>
      </c>
      <c r="C6" s="18">
        <v>59.77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9">
        <v>58</v>
      </c>
      <c r="P6" s="15">
        <v>111</v>
      </c>
      <c r="Q6" s="16">
        <f t="shared" si="1"/>
        <v>169</v>
      </c>
      <c r="R6" s="11" t="s">
        <v>42</v>
      </c>
      <c r="S6" s="16">
        <f t="shared" si="0"/>
        <v>10101.130000000001</v>
      </c>
    </row>
    <row r="7" spans="1:21" ht="20.100000000000001" customHeight="1" x14ac:dyDescent="0.2">
      <c r="A7" s="57" t="s">
        <v>705</v>
      </c>
      <c r="B7" s="60">
        <v>6</v>
      </c>
      <c r="C7" s="58">
        <v>27.2</v>
      </c>
      <c r="D7" s="53"/>
      <c r="E7" s="53"/>
      <c r="F7" s="53"/>
      <c r="G7" s="53"/>
      <c r="H7" s="53"/>
      <c r="I7" s="53"/>
      <c r="J7" s="53"/>
      <c r="K7" s="53"/>
      <c r="L7" s="53"/>
      <c r="M7" s="17"/>
      <c r="N7" s="54"/>
      <c r="O7" s="54">
        <v>46</v>
      </c>
      <c r="P7" s="15">
        <v>27</v>
      </c>
      <c r="Q7" s="16">
        <f t="shared" si="1"/>
        <v>73</v>
      </c>
      <c r="R7" s="56"/>
      <c r="S7" s="16">
        <f t="shared" si="0"/>
        <v>1985.6</v>
      </c>
    </row>
    <row r="8" spans="1:21" ht="20.100000000000001" customHeight="1" x14ac:dyDescent="0.2">
      <c r="A8" s="57" t="s">
        <v>506</v>
      </c>
      <c r="B8" s="21">
        <v>6</v>
      </c>
      <c r="C8" s="22">
        <v>103.5</v>
      </c>
      <c r="D8" s="17"/>
      <c r="E8" s="17"/>
      <c r="F8" s="17"/>
      <c r="G8" s="17"/>
      <c r="H8" s="17"/>
      <c r="I8" s="17"/>
      <c r="J8" s="17"/>
      <c r="K8" s="17"/>
      <c r="L8" s="17">
        <v>0.9</v>
      </c>
      <c r="M8" s="17">
        <v>256</v>
      </c>
      <c r="N8" s="19">
        <v>250</v>
      </c>
      <c r="O8" s="19">
        <v>100</v>
      </c>
      <c r="P8" s="15">
        <v>1.5</v>
      </c>
      <c r="Q8" s="16">
        <f t="shared" ref="Q8:Q12" si="2">SUM((J8-K8))+(M8-N8)*10/L8+O8+P8</f>
        <v>168.16666666666669</v>
      </c>
      <c r="R8" s="11"/>
      <c r="S8" s="16">
        <f t="shared" si="0"/>
        <v>17405.250000000004</v>
      </c>
    </row>
    <row r="9" spans="1:21" ht="20.100000000000001" customHeight="1" x14ac:dyDescent="0.2">
      <c r="A9" s="57" t="s">
        <v>709</v>
      </c>
      <c r="B9" s="21">
        <v>6</v>
      </c>
      <c r="C9" s="22">
        <v>8.73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9"/>
      <c r="O9" s="19">
        <v>0</v>
      </c>
      <c r="P9" s="15">
        <v>106</v>
      </c>
      <c r="Q9" s="16">
        <f>SUM(O9:P9)</f>
        <v>106</v>
      </c>
      <c r="R9" s="11"/>
      <c r="S9" s="16">
        <f t="shared" si="0"/>
        <v>925.38</v>
      </c>
    </row>
    <row r="10" spans="1:21" ht="20.100000000000001" customHeight="1" x14ac:dyDescent="0.2">
      <c r="A10" s="57" t="s">
        <v>837</v>
      </c>
      <c r="B10" s="21">
        <v>6</v>
      </c>
      <c r="C10" s="22">
        <v>85.83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9"/>
      <c r="O10" s="19">
        <v>0</v>
      </c>
      <c r="P10" s="15">
        <v>103</v>
      </c>
      <c r="Q10" s="16">
        <f t="shared" ref="Q10:Q72" si="3">SUM(O10:P10)</f>
        <v>103</v>
      </c>
      <c r="R10" s="11"/>
      <c r="S10" s="16">
        <f t="shared" si="0"/>
        <v>8840.49</v>
      </c>
    </row>
    <row r="11" spans="1:21" ht="20.100000000000001" customHeight="1" x14ac:dyDescent="0.2">
      <c r="A11" s="20" t="s">
        <v>507</v>
      </c>
      <c r="B11" s="21">
        <v>6</v>
      </c>
      <c r="C11" s="22">
        <v>40.700000000000003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/>
      <c r="O11" s="19">
        <v>0</v>
      </c>
      <c r="P11" s="15">
        <v>63</v>
      </c>
      <c r="Q11" s="16">
        <f t="shared" si="3"/>
        <v>63</v>
      </c>
      <c r="R11" s="11"/>
      <c r="S11" s="16">
        <f t="shared" si="0"/>
        <v>2564.1000000000004</v>
      </c>
    </row>
    <row r="12" spans="1:21" ht="20.100000000000001" customHeight="1" x14ac:dyDescent="0.2">
      <c r="A12" s="53" t="s">
        <v>510</v>
      </c>
      <c r="B12" s="13">
        <v>6</v>
      </c>
      <c r="C12" s="18">
        <v>17.89</v>
      </c>
      <c r="D12" s="17"/>
      <c r="E12" s="17"/>
      <c r="F12" s="17"/>
      <c r="G12" s="17"/>
      <c r="H12" s="17"/>
      <c r="I12" s="17"/>
      <c r="J12" s="17"/>
      <c r="K12" s="17"/>
      <c r="L12" s="17">
        <v>0.8</v>
      </c>
      <c r="M12" s="17">
        <v>258</v>
      </c>
      <c r="N12" s="19">
        <v>250</v>
      </c>
      <c r="O12" s="19">
        <v>70</v>
      </c>
      <c r="P12" s="15">
        <v>100</v>
      </c>
      <c r="Q12" s="16">
        <f t="shared" si="2"/>
        <v>270</v>
      </c>
      <c r="R12" s="11"/>
      <c r="S12" s="16">
        <f t="shared" si="0"/>
        <v>4830.3</v>
      </c>
    </row>
    <row r="13" spans="1:21" ht="20.100000000000001" customHeight="1" x14ac:dyDescent="0.2">
      <c r="A13" s="17" t="s">
        <v>838</v>
      </c>
      <c r="B13" s="13">
        <v>6</v>
      </c>
      <c r="C13" s="18">
        <v>80.88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9"/>
      <c r="O13" s="19">
        <v>0</v>
      </c>
      <c r="P13" s="15">
        <v>89</v>
      </c>
      <c r="Q13" s="16">
        <f t="shared" si="3"/>
        <v>89</v>
      </c>
      <c r="R13" s="11"/>
      <c r="S13" s="16">
        <f t="shared" si="0"/>
        <v>7198.32</v>
      </c>
    </row>
    <row r="14" spans="1:21" ht="20.100000000000001" customHeight="1" x14ac:dyDescent="0.2">
      <c r="A14" s="17" t="s">
        <v>825</v>
      </c>
      <c r="B14" s="13">
        <v>6</v>
      </c>
      <c r="C14" s="18">
        <v>11.38</v>
      </c>
      <c r="D14" s="17"/>
      <c r="E14" s="17"/>
      <c r="F14" s="17"/>
      <c r="G14" s="17"/>
      <c r="H14" s="17"/>
      <c r="I14" s="17"/>
      <c r="J14" s="17"/>
      <c r="K14" s="17"/>
      <c r="L14" s="53"/>
      <c r="M14" s="17"/>
      <c r="N14" s="19"/>
      <c r="O14" s="19">
        <v>100</v>
      </c>
      <c r="P14" s="15">
        <v>88</v>
      </c>
      <c r="Q14" s="16">
        <f t="shared" si="3"/>
        <v>188</v>
      </c>
      <c r="R14" s="11"/>
      <c r="S14" s="16">
        <f t="shared" si="0"/>
        <v>2139.44</v>
      </c>
    </row>
    <row r="15" spans="1:21" ht="20.100000000000001" customHeight="1" x14ac:dyDescent="0.2">
      <c r="A15" s="20" t="s">
        <v>110</v>
      </c>
      <c r="B15" s="21">
        <v>6</v>
      </c>
      <c r="C15" s="22">
        <v>15.77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9"/>
      <c r="O15" s="19">
        <v>130</v>
      </c>
      <c r="P15" s="15">
        <v>36</v>
      </c>
      <c r="Q15" s="16">
        <v>166</v>
      </c>
      <c r="R15" s="11"/>
      <c r="S15" s="16">
        <f t="shared" si="0"/>
        <v>2617.8199999999997</v>
      </c>
    </row>
    <row r="16" spans="1:21" ht="20.100000000000001" customHeight="1" x14ac:dyDescent="0.2">
      <c r="A16" s="53" t="s">
        <v>840</v>
      </c>
      <c r="B16" s="26">
        <v>6</v>
      </c>
      <c r="C16" s="27">
        <v>12.04</v>
      </c>
      <c r="D16" s="28"/>
      <c r="E16" s="17"/>
      <c r="F16" s="17"/>
      <c r="G16" s="29"/>
      <c r="H16" s="17"/>
      <c r="I16" s="17"/>
      <c r="J16" s="17"/>
      <c r="K16" s="17"/>
      <c r="L16" s="53"/>
      <c r="M16" s="17"/>
      <c r="N16" s="19"/>
      <c r="O16" s="19">
        <v>83</v>
      </c>
      <c r="P16" s="15">
        <v>93</v>
      </c>
      <c r="Q16" s="16">
        <f t="shared" si="3"/>
        <v>176</v>
      </c>
      <c r="R16" s="11"/>
      <c r="S16" s="16">
        <f t="shared" si="0"/>
        <v>2119.04</v>
      </c>
    </row>
    <row r="17" spans="1:19" ht="20.100000000000001" customHeight="1" x14ac:dyDescent="0.2">
      <c r="A17" s="15" t="s">
        <v>726</v>
      </c>
      <c r="B17" s="13">
        <v>6</v>
      </c>
      <c r="C17" s="18">
        <v>522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>
        <v>0</v>
      </c>
      <c r="P17" s="15">
        <v>74</v>
      </c>
      <c r="Q17" s="16">
        <f t="shared" si="3"/>
        <v>74</v>
      </c>
      <c r="R17" s="11"/>
      <c r="S17" s="16">
        <f t="shared" si="0"/>
        <v>38628</v>
      </c>
    </row>
    <row r="18" spans="1:19" ht="20.100000000000001" customHeight="1" x14ac:dyDescent="0.2">
      <c r="A18" s="15" t="s">
        <v>406</v>
      </c>
      <c r="B18" s="13">
        <v>6</v>
      </c>
      <c r="C18" s="18">
        <v>39.200000000000003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9">
        <v>115</v>
      </c>
      <c r="P18" s="15">
        <v>100</v>
      </c>
      <c r="Q18" s="16">
        <f t="shared" si="3"/>
        <v>215</v>
      </c>
      <c r="R18" s="11" t="s">
        <v>42</v>
      </c>
      <c r="S18" s="16">
        <f t="shared" si="0"/>
        <v>8428</v>
      </c>
    </row>
    <row r="19" spans="1:19" ht="20.100000000000001" customHeight="1" x14ac:dyDescent="0.2">
      <c r="A19" s="20" t="s">
        <v>842</v>
      </c>
      <c r="B19" s="21">
        <v>6</v>
      </c>
      <c r="C19" s="22">
        <v>143.55000000000001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9"/>
      <c r="O19" s="19">
        <v>27</v>
      </c>
      <c r="P19" s="15">
        <v>39</v>
      </c>
      <c r="Q19" s="16">
        <f t="shared" si="3"/>
        <v>66</v>
      </c>
      <c r="R19" s="11"/>
      <c r="S19" s="16">
        <f t="shared" si="0"/>
        <v>9474.3000000000011</v>
      </c>
    </row>
    <row r="20" spans="1:19" ht="20.100000000000001" customHeight="1" x14ac:dyDescent="0.2">
      <c r="A20" s="32" t="s">
        <v>407</v>
      </c>
      <c r="B20" s="13">
        <v>6</v>
      </c>
      <c r="C20" s="18">
        <v>14.61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9">
        <v>36</v>
      </c>
      <c r="P20" s="15">
        <v>62.5</v>
      </c>
      <c r="Q20" s="16">
        <f t="shared" si="3"/>
        <v>98.5</v>
      </c>
      <c r="R20" s="11" t="s">
        <v>42</v>
      </c>
      <c r="S20" s="16">
        <f t="shared" si="0"/>
        <v>1439.085</v>
      </c>
    </row>
    <row r="21" spans="1:19" ht="20.100000000000001" customHeight="1" x14ac:dyDescent="0.2">
      <c r="A21" s="32" t="s">
        <v>554</v>
      </c>
      <c r="B21" s="13">
        <v>6</v>
      </c>
      <c r="C21" s="18">
        <v>136.75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>
        <v>17</v>
      </c>
      <c r="P21" s="15">
        <v>102</v>
      </c>
      <c r="Q21" s="16">
        <f t="shared" si="3"/>
        <v>119</v>
      </c>
      <c r="R21" s="11"/>
      <c r="S21" s="16">
        <f t="shared" si="0"/>
        <v>16273.25</v>
      </c>
    </row>
    <row r="22" spans="1:19" ht="20.100000000000001" customHeight="1" x14ac:dyDescent="0.2">
      <c r="A22" s="32" t="s">
        <v>408</v>
      </c>
      <c r="B22" s="13">
        <v>6</v>
      </c>
      <c r="C22" s="18">
        <v>8.2899999999999991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9">
        <v>0</v>
      </c>
      <c r="P22" s="15">
        <v>57</v>
      </c>
      <c r="Q22" s="16">
        <f t="shared" si="3"/>
        <v>57</v>
      </c>
      <c r="R22" s="11" t="s">
        <v>42</v>
      </c>
      <c r="S22" s="16">
        <f t="shared" si="0"/>
        <v>472.53</v>
      </c>
    </row>
    <row r="23" spans="1:19" ht="20.100000000000001" customHeight="1" x14ac:dyDescent="0.2">
      <c r="A23" s="20" t="s">
        <v>843</v>
      </c>
      <c r="B23" s="21">
        <v>6</v>
      </c>
      <c r="C23" s="22">
        <v>80.569999999999993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9"/>
      <c r="O23" s="19">
        <v>130</v>
      </c>
      <c r="P23" s="15">
        <v>100</v>
      </c>
      <c r="Q23" s="16">
        <f t="shared" si="3"/>
        <v>230</v>
      </c>
      <c r="R23" s="11"/>
      <c r="S23" s="16">
        <f t="shared" si="0"/>
        <v>18531.099999999999</v>
      </c>
    </row>
    <row r="24" spans="1:19" ht="20.100000000000001" customHeight="1" x14ac:dyDescent="0.2">
      <c r="A24" s="32" t="s">
        <v>556</v>
      </c>
      <c r="B24" s="13">
        <v>6</v>
      </c>
      <c r="C24" s="18">
        <v>41.39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9">
        <v>16</v>
      </c>
      <c r="P24" s="15">
        <v>120</v>
      </c>
      <c r="Q24" s="16">
        <f t="shared" si="3"/>
        <v>136</v>
      </c>
      <c r="R24" s="11"/>
      <c r="S24" s="16">
        <f t="shared" si="0"/>
        <v>5629.04</v>
      </c>
    </row>
    <row r="25" spans="1:19" ht="20.100000000000001" customHeight="1" x14ac:dyDescent="0.2">
      <c r="A25" s="17" t="s">
        <v>720</v>
      </c>
      <c r="B25" s="13">
        <v>6</v>
      </c>
      <c r="C25" s="18">
        <v>10.83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>
        <v>0</v>
      </c>
      <c r="P25" s="15">
        <v>22</v>
      </c>
      <c r="Q25" s="16">
        <f t="shared" si="3"/>
        <v>22</v>
      </c>
      <c r="R25" s="11"/>
      <c r="S25" s="16">
        <f t="shared" si="0"/>
        <v>238.26</v>
      </c>
    </row>
    <row r="26" spans="1:19" ht="20.100000000000001" customHeight="1" x14ac:dyDescent="0.2">
      <c r="A26" s="32" t="s">
        <v>529</v>
      </c>
      <c r="B26" s="13">
        <v>6</v>
      </c>
      <c r="C26" s="18">
        <v>26.53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9">
        <v>0</v>
      </c>
      <c r="P26" s="15">
        <v>35</v>
      </c>
      <c r="Q26" s="16">
        <f t="shared" si="3"/>
        <v>35</v>
      </c>
      <c r="R26" s="11"/>
      <c r="S26" s="16">
        <f t="shared" si="0"/>
        <v>928.55000000000007</v>
      </c>
    </row>
    <row r="27" spans="1:19" ht="20.100000000000001" customHeight="1" x14ac:dyDescent="0.2">
      <c r="A27" s="32" t="s">
        <v>562</v>
      </c>
      <c r="B27" s="13">
        <v>6</v>
      </c>
      <c r="C27" s="18">
        <v>108.68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9">
        <v>41</v>
      </c>
      <c r="P27" s="15">
        <v>155</v>
      </c>
      <c r="Q27" s="16">
        <f t="shared" si="3"/>
        <v>196</v>
      </c>
      <c r="R27" s="11"/>
      <c r="S27" s="16">
        <f t="shared" si="0"/>
        <v>21301.280000000002</v>
      </c>
    </row>
    <row r="28" spans="1:19" ht="20.100000000000001" customHeight="1" x14ac:dyDescent="0.2">
      <c r="A28" s="32" t="s">
        <v>563</v>
      </c>
      <c r="B28" s="13">
        <v>6</v>
      </c>
      <c r="C28" s="18">
        <v>16.3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9">
        <v>0</v>
      </c>
      <c r="P28" s="15">
        <v>184</v>
      </c>
      <c r="Q28" s="16">
        <f t="shared" si="3"/>
        <v>184</v>
      </c>
      <c r="R28" s="11"/>
      <c r="S28" s="16">
        <f t="shared" si="0"/>
        <v>2999.2000000000003</v>
      </c>
    </row>
    <row r="29" spans="1:19" ht="20.100000000000001" customHeight="1" x14ac:dyDescent="0.2">
      <c r="A29" s="32" t="s">
        <v>721</v>
      </c>
      <c r="B29" s="13">
        <v>6</v>
      </c>
      <c r="C29" s="18">
        <v>182.79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9">
        <v>100</v>
      </c>
      <c r="P29" s="15">
        <v>33</v>
      </c>
      <c r="Q29" s="16">
        <f t="shared" si="3"/>
        <v>133</v>
      </c>
      <c r="R29" s="11"/>
      <c r="S29" s="16">
        <f t="shared" si="0"/>
        <v>24311.07</v>
      </c>
    </row>
    <row r="30" spans="1:19" ht="20.100000000000001" customHeight="1" x14ac:dyDescent="0.2">
      <c r="A30" s="17" t="s">
        <v>850</v>
      </c>
      <c r="B30" s="11">
        <v>6</v>
      </c>
      <c r="C30" s="18">
        <v>16.5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9"/>
      <c r="O30" s="19">
        <v>0</v>
      </c>
      <c r="P30" s="15">
        <v>184</v>
      </c>
      <c r="Q30" s="16">
        <f t="shared" si="3"/>
        <v>184</v>
      </c>
      <c r="R30" s="11"/>
      <c r="S30" s="16">
        <f t="shared" si="0"/>
        <v>3036</v>
      </c>
    </row>
    <row r="31" spans="1:19" ht="20.100000000000001" customHeight="1" x14ac:dyDescent="0.2">
      <c r="A31" s="30" t="s">
        <v>572</v>
      </c>
      <c r="B31" s="13">
        <v>6</v>
      </c>
      <c r="C31" s="18">
        <v>8.27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9">
        <v>100</v>
      </c>
      <c r="P31" s="15">
        <v>8</v>
      </c>
      <c r="Q31" s="16">
        <f t="shared" si="3"/>
        <v>108</v>
      </c>
      <c r="R31" s="11"/>
      <c r="S31" s="16">
        <f t="shared" si="0"/>
        <v>893.16</v>
      </c>
    </row>
    <row r="32" spans="1:19" ht="20.100000000000001" customHeight="1" x14ac:dyDescent="0.2">
      <c r="A32" s="20" t="s">
        <v>851</v>
      </c>
      <c r="B32" s="21">
        <v>6</v>
      </c>
      <c r="C32" s="22">
        <v>9.8000000000000007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9"/>
      <c r="O32" s="19">
        <v>54</v>
      </c>
      <c r="P32" s="15">
        <v>47</v>
      </c>
      <c r="Q32" s="16">
        <f t="shared" si="3"/>
        <v>101</v>
      </c>
      <c r="R32" s="11"/>
      <c r="S32" s="16">
        <f t="shared" si="0"/>
        <v>989.80000000000007</v>
      </c>
    </row>
    <row r="33" spans="1:19" ht="20.100000000000001" customHeight="1" x14ac:dyDescent="0.2">
      <c r="A33" s="30" t="s">
        <v>435</v>
      </c>
      <c r="B33" s="13">
        <v>6</v>
      </c>
      <c r="C33" s="18">
        <v>109.47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9">
        <v>15</v>
      </c>
      <c r="P33" s="15">
        <v>60</v>
      </c>
      <c r="Q33" s="16">
        <f t="shared" si="3"/>
        <v>75</v>
      </c>
      <c r="R33" s="11" t="s">
        <v>42</v>
      </c>
      <c r="S33" s="16">
        <f t="shared" si="0"/>
        <v>8210.25</v>
      </c>
    </row>
    <row r="34" spans="1:19" ht="20.100000000000001" customHeight="1" x14ac:dyDescent="0.2">
      <c r="A34" s="30" t="s">
        <v>831</v>
      </c>
      <c r="B34" s="13">
        <v>6</v>
      </c>
      <c r="C34" s="18">
        <v>8.4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9">
        <v>162</v>
      </c>
      <c r="P34" s="15">
        <v>73</v>
      </c>
      <c r="Q34" s="16">
        <f t="shared" si="3"/>
        <v>235</v>
      </c>
      <c r="R34" s="11"/>
      <c r="S34" s="16">
        <f t="shared" si="0"/>
        <v>1974</v>
      </c>
    </row>
    <row r="35" spans="1:19" ht="20.100000000000001" customHeight="1" x14ac:dyDescent="0.2">
      <c r="A35" s="30" t="s">
        <v>832</v>
      </c>
      <c r="B35" s="13">
        <v>6</v>
      </c>
      <c r="C35" s="18">
        <v>8.4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9">
        <v>196</v>
      </c>
      <c r="P35" s="15">
        <v>100</v>
      </c>
      <c r="Q35" s="16">
        <f t="shared" si="3"/>
        <v>296</v>
      </c>
      <c r="R35" s="11"/>
      <c r="S35" s="16">
        <f t="shared" ref="S35:S66" si="4">SUM(C:C*Q:Q)</f>
        <v>2486.4</v>
      </c>
    </row>
    <row r="36" spans="1:19" ht="20.100000000000001" customHeight="1" x14ac:dyDescent="0.2">
      <c r="A36" s="53" t="s">
        <v>757</v>
      </c>
      <c r="B36" s="13">
        <v>6</v>
      </c>
      <c r="C36" s="18">
        <v>126.33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9"/>
      <c r="O36" s="19">
        <v>120</v>
      </c>
      <c r="P36" s="15">
        <v>100</v>
      </c>
      <c r="Q36" s="16">
        <f t="shared" si="3"/>
        <v>220</v>
      </c>
      <c r="R36" s="11"/>
      <c r="S36" s="16">
        <f t="shared" si="4"/>
        <v>27792.6</v>
      </c>
    </row>
    <row r="37" spans="1:19" ht="20.100000000000001" customHeight="1" x14ac:dyDescent="0.2">
      <c r="A37" s="53" t="s">
        <v>758</v>
      </c>
      <c r="B37" s="13">
        <v>6</v>
      </c>
      <c r="C37" s="18">
        <v>47.72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9"/>
      <c r="O37" s="19">
        <v>60</v>
      </c>
      <c r="P37" s="15">
        <v>0</v>
      </c>
      <c r="Q37" s="16">
        <f t="shared" si="3"/>
        <v>60</v>
      </c>
      <c r="R37" s="11"/>
      <c r="S37" s="16">
        <f t="shared" si="4"/>
        <v>2863.2</v>
      </c>
    </row>
    <row r="38" spans="1:19" ht="20.100000000000001" customHeight="1" x14ac:dyDescent="0.2">
      <c r="A38" s="20" t="s">
        <v>759</v>
      </c>
      <c r="B38" s="21">
        <v>6</v>
      </c>
      <c r="C38" s="22">
        <v>308.93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9"/>
      <c r="O38" s="19">
        <v>30</v>
      </c>
      <c r="P38" s="15">
        <v>99</v>
      </c>
      <c r="Q38" s="16">
        <f t="shared" si="3"/>
        <v>129</v>
      </c>
      <c r="R38" s="11"/>
      <c r="S38" s="16">
        <f t="shared" si="4"/>
        <v>39851.97</v>
      </c>
    </row>
    <row r="39" spans="1:19" ht="20.100000000000001" customHeight="1" x14ac:dyDescent="0.2">
      <c r="A39" s="30" t="s">
        <v>457</v>
      </c>
      <c r="B39" s="13">
        <v>6</v>
      </c>
      <c r="C39" s="18">
        <v>189.27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9">
        <v>120</v>
      </c>
      <c r="P39" s="15">
        <v>100</v>
      </c>
      <c r="Q39" s="16">
        <f t="shared" si="3"/>
        <v>220</v>
      </c>
      <c r="R39" s="11"/>
      <c r="S39" s="16">
        <f t="shared" si="4"/>
        <v>41639.4</v>
      </c>
    </row>
    <row r="40" spans="1:19" ht="20.100000000000001" customHeight="1" x14ac:dyDescent="0.2">
      <c r="A40" s="30" t="s">
        <v>616</v>
      </c>
      <c r="B40" s="13">
        <v>6</v>
      </c>
      <c r="C40" s="18">
        <v>31.72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9">
        <v>0</v>
      </c>
      <c r="P40" s="15">
        <v>161</v>
      </c>
      <c r="Q40" s="16">
        <f t="shared" si="3"/>
        <v>161</v>
      </c>
      <c r="R40" s="11"/>
      <c r="S40" s="16">
        <f t="shared" si="4"/>
        <v>5106.92</v>
      </c>
    </row>
    <row r="41" spans="1:19" ht="20.100000000000001" customHeight="1" x14ac:dyDescent="0.2">
      <c r="A41" s="30" t="s">
        <v>833</v>
      </c>
      <c r="B41" s="13">
        <v>6</v>
      </c>
      <c r="C41" s="18">
        <v>45.75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9">
        <v>83</v>
      </c>
      <c r="P41" s="15">
        <v>309</v>
      </c>
      <c r="Q41" s="16">
        <f t="shared" si="3"/>
        <v>392</v>
      </c>
      <c r="R41" s="11"/>
      <c r="S41" s="16">
        <f t="shared" si="4"/>
        <v>17934</v>
      </c>
    </row>
    <row r="42" spans="1:19" ht="20.100000000000001" customHeight="1" x14ac:dyDescent="0.2">
      <c r="A42" s="53" t="s">
        <v>761</v>
      </c>
      <c r="B42" s="13">
        <v>6</v>
      </c>
      <c r="C42" s="18">
        <v>6.26</v>
      </c>
      <c r="D42" s="17"/>
      <c r="E42" s="17"/>
      <c r="F42" s="17"/>
      <c r="G42" s="17"/>
      <c r="H42" s="17"/>
      <c r="I42" s="17"/>
      <c r="J42" s="17"/>
      <c r="K42" s="17"/>
      <c r="L42" s="53">
        <v>1.2</v>
      </c>
      <c r="M42" s="17">
        <v>250</v>
      </c>
      <c r="N42" s="17">
        <v>250</v>
      </c>
      <c r="O42" s="19">
        <v>100</v>
      </c>
      <c r="P42" s="15">
        <v>300</v>
      </c>
      <c r="Q42" s="16">
        <f t="shared" si="3"/>
        <v>400</v>
      </c>
      <c r="R42" s="11"/>
      <c r="S42" s="16">
        <f t="shared" si="4"/>
        <v>2504</v>
      </c>
    </row>
    <row r="43" spans="1:19" ht="20.100000000000001" customHeight="1" x14ac:dyDescent="0.2">
      <c r="A43" s="30" t="s">
        <v>722</v>
      </c>
      <c r="B43" s="13">
        <v>6</v>
      </c>
      <c r="C43" s="18">
        <v>32.25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9">
        <v>0</v>
      </c>
      <c r="P43" s="15">
        <v>36</v>
      </c>
      <c r="Q43" s="16">
        <f t="shared" si="3"/>
        <v>36</v>
      </c>
      <c r="R43" s="11"/>
      <c r="S43" s="16">
        <f t="shared" si="4"/>
        <v>1161</v>
      </c>
    </row>
    <row r="44" spans="1:19" ht="20.100000000000001" customHeight="1" x14ac:dyDescent="0.2">
      <c r="A44" s="31" t="s">
        <v>411</v>
      </c>
      <c r="B44" s="13">
        <v>6</v>
      </c>
      <c r="C44" s="18">
        <v>8.73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9">
        <v>11</v>
      </c>
      <c r="P44" s="15">
        <v>0</v>
      </c>
      <c r="Q44" s="16">
        <f t="shared" si="3"/>
        <v>11</v>
      </c>
      <c r="R44" s="11" t="s">
        <v>42</v>
      </c>
      <c r="S44" s="16">
        <f t="shared" si="4"/>
        <v>96.03</v>
      </c>
    </row>
    <row r="45" spans="1:19" ht="20.100000000000001" customHeight="1" x14ac:dyDescent="0.2">
      <c r="A45" s="31" t="s">
        <v>526</v>
      </c>
      <c r="B45" s="13">
        <v>6</v>
      </c>
      <c r="C45" s="18">
        <v>10.32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9">
        <v>124</v>
      </c>
      <c r="P45" s="15">
        <v>100</v>
      </c>
      <c r="Q45" s="16">
        <f t="shared" si="3"/>
        <v>224</v>
      </c>
      <c r="R45" s="11"/>
      <c r="S45" s="16">
        <f t="shared" si="4"/>
        <v>2311.6800000000003</v>
      </c>
    </row>
    <row r="46" spans="1:19" ht="20.100000000000001" customHeight="1" x14ac:dyDescent="0.2">
      <c r="A46" s="31" t="s">
        <v>527</v>
      </c>
      <c r="B46" s="13">
        <v>6</v>
      </c>
      <c r="C46" s="18">
        <v>16.72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9">
        <v>134</v>
      </c>
      <c r="P46" s="15">
        <v>29</v>
      </c>
      <c r="Q46" s="16">
        <f t="shared" si="3"/>
        <v>163</v>
      </c>
      <c r="R46" s="11"/>
      <c r="S46" s="16">
        <f t="shared" si="4"/>
        <v>2725.3599999999997</v>
      </c>
    </row>
    <row r="47" spans="1:19" ht="20.100000000000001" customHeight="1" x14ac:dyDescent="0.2">
      <c r="A47" s="31" t="s">
        <v>448</v>
      </c>
      <c r="B47" s="13">
        <v>6</v>
      </c>
      <c r="C47" s="18">
        <v>7.4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>
        <v>79</v>
      </c>
      <c r="P47" s="15">
        <v>105</v>
      </c>
      <c r="Q47" s="16">
        <f t="shared" si="3"/>
        <v>184</v>
      </c>
      <c r="R47" s="11" t="s">
        <v>42</v>
      </c>
      <c r="S47" s="16">
        <f t="shared" si="4"/>
        <v>1361.6000000000001</v>
      </c>
    </row>
    <row r="48" spans="1:19" ht="20.100000000000001" customHeight="1" x14ac:dyDescent="0.2">
      <c r="A48" s="31" t="s">
        <v>723</v>
      </c>
      <c r="B48" s="13">
        <v>6</v>
      </c>
      <c r="C48" s="18">
        <v>6.87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>
        <v>0</v>
      </c>
      <c r="P48" s="15">
        <v>76</v>
      </c>
      <c r="Q48" s="16">
        <f t="shared" si="3"/>
        <v>76</v>
      </c>
      <c r="R48" s="11"/>
      <c r="S48" s="16">
        <f t="shared" si="4"/>
        <v>522.12</v>
      </c>
    </row>
    <row r="49" spans="1:19" ht="20.100000000000001" customHeight="1" x14ac:dyDescent="0.2">
      <c r="A49" s="31" t="s">
        <v>594</v>
      </c>
      <c r="B49" s="13">
        <v>6</v>
      </c>
      <c r="C49" s="18">
        <v>33.5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>
        <v>0</v>
      </c>
      <c r="P49" s="15">
        <v>93</v>
      </c>
      <c r="Q49" s="16">
        <f t="shared" si="3"/>
        <v>93</v>
      </c>
      <c r="R49" s="11"/>
      <c r="S49" s="16">
        <f t="shared" si="4"/>
        <v>3115.5</v>
      </c>
    </row>
    <row r="50" spans="1:19" ht="20.100000000000001" customHeight="1" x14ac:dyDescent="0.2">
      <c r="A50" s="31" t="s">
        <v>865</v>
      </c>
      <c r="B50" s="13">
        <v>6</v>
      </c>
      <c r="C50" s="18">
        <v>21.72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9">
        <v>0</v>
      </c>
      <c r="P50" s="15">
        <v>153</v>
      </c>
      <c r="Q50" s="16">
        <f t="shared" si="3"/>
        <v>153</v>
      </c>
      <c r="R50" s="11"/>
      <c r="S50" s="16">
        <f t="shared" si="4"/>
        <v>3323.16</v>
      </c>
    </row>
    <row r="51" spans="1:19" ht="20.100000000000001" customHeight="1" x14ac:dyDescent="0.2">
      <c r="A51" s="17" t="s">
        <v>213</v>
      </c>
      <c r="B51" s="13">
        <v>6</v>
      </c>
      <c r="C51" s="73">
        <v>6.54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9">
        <v>0</v>
      </c>
      <c r="P51" s="15">
        <v>107</v>
      </c>
      <c r="Q51" s="16">
        <f t="shared" si="3"/>
        <v>107</v>
      </c>
      <c r="R51" s="11"/>
      <c r="S51" s="16">
        <f t="shared" si="4"/>
        <v>699.78</v>
      </c>
    </row>
    <row r="52" spans="1:19" ht="20.100000000000001" customHeight="1" x14ac:dyDescent="0.2">
      <c r="A52" s="31" t="s">
        <v>525</v>
      </c>
      <c r="B52" s="13">
        <v>6</v>
      </c>
      <c r="C52" s="18">
        <v>77.599999999999994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9">
        <v>0</v>
      </c>
      <c r="P52" s="15">
        <v>31</v>
      </c>
      <c r="Q52" s="16">
        <f t="shared" si="3"/>
        <v>31</v>
      </c>
      <c r="R52" s="11" t="s">
        <v>42</v>
      </c>
      <c r="S52" s="16">
        <f t="shared" si="4"/>
        <v>2405.6</v>
      </c>
    </row>
    <row r="53" spans="1:19" ht="20.100000000000001" customHeight="1" x14ac:dyDescent="0.2">
      <c r="A53" s="20" t="s">
        <v>853</v>
      </c>
      <c r="B53" s="21">
        <v>6</v>
      </c>
      <c r="C53" s="22">
        <v>7.63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9"/>
      <c r="O53" s="19">
        <v>0</v>
      </c>
      <c r="P53" s="15">
        <v>194</v>
      </c>
      <c r="Q53" s="16">
        <f t="shared" si="3"/>
        <v>194</v>
      </c>
      <c r="R53" s="11"/>
      <c r="S53" s="16">
        <f t="shared" si="4"/>
        <v>1480.22</v>
      </c>
    </row>
    <row r="54" spans="1:19" ht="20.100000000000001" customHeight="1" x14ac:dyDescent="0.2">
      <c r="A54" s="30" t="s">
        <v>413</v>
      </c>
      <c r="B54" s="13">
        <v>6</v>
      </c>
      <c r="C54" s="18">
        <v>8.9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9">
        <v>58</v>
      </c>
      <c r="P54" s="15">
        <v>86</v>
      </c>
      <c r="Q54" s="16">
        <f t="shared" si="3"/>
        <v>144</v>
      </c>
      <c r="R54" s="11" t="s">
        <v>42</v>
      </c>
      <c r="S54" s="16">
        <f t="shared" si="4"/>
        <v>1281.6000000000001</v>
      </c>
    </row>
    <row r="55" spans="1:19" ht="20.100000000000001" customHeight="1" x14ac:dyDescent="0.2">
      <c r="A55" s="30" t="s">
        <v>415</v>
      </c>
      <c r="B55" s="13">
        <v>6</v>
      </c>
      <c r="C55" s="18">
        <v>9.8000000000000007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9">
        <v>267</v>
      </c>
      <c r="P55" s="15">
        <v>100</v>
      </c>
      <c r="Q55" s="16">
        <f t="shared" si="3"/>
        <v>367</v>
      </c>
      <c r="R55" s="11" t="s">
        <v>42</v>
      </c>
      <c r="S55" s="16">
        <f t="shared" si="4"/>
        <v>3596.6000000000004</v>
      </c>
    </row>
    <row r="56" spans="1:19" ht="20.100000000000001" customHeight="1" x14ac:dyDescent="0.2">
      <c r="A56" s="17" t="s">
        <v>854</v>
      </c>
      <c r="B56" s="13">
        <v>6</v>
      </c>
      <c r="C56" s="18">
        <v>29.26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9"/>
      <c r="O56" s="19">
        <v>104</v>
      </c>
      <c r="P56" s="15">
        <v>100</v>
      </c>
      <c r="Q56" s="16">
        <f t="shared" si="3"/>
        <v>204</v>
      </c>
      <c r="R56" s="11"/>
      <c r="S56" s="16">
        <f t="shared" si="4"/>
        <v>5969.04</v>
      </c>
    </row>
    <row r="57" spans="1:19" ht="20.100000000000001" customHeight="1" x14ac:dyDescent="0.2">
      <c r="A57" s="17" t="s">
        <v>855</v>
      </c>
      <c r="B57" s="13">
        <v>6</v>
      </c>
      <c r="C57" s="27">
        <v>352.89</v>
      </c>
      <c r="D57" s="28"/>
      <c r="E57" s="17"/>
      <c r="F57" s="17"/>
      <c r="G57" s="29"/>
      <c r="H57" s="17"/>
      <c r="I57" s="17"/>
      <c r="J57" s="17"/>
      <c r="K57" s="17"/>
      <c r="L57" s="17"/>
      <c r="M57" s="17"/>
      <c r="N57" s="19"/>
      <c r="O57" s="19">
        <v>24</v>
      </c>
      <c r="P57" s="15">
        <v>0</v>
      </c>
      <c r="Q57" s="16">
        <f t="shared" si="3"/>
        <v>24</v>
      </c>
      <c r="R57" s="11"/>
      <c r="S57" s="16">
        <f t="shared" si="4"/>
        <v>8469.36</v>
      </c>
    </row>
    <row r="58" spans="1:19" ht="20.100000000000001" customHeight="1" x14ac:dyDescent="0.2">
      <c r="A58" s="30" t="s">
        <v>606</v>
      </c>
      <c r="B58" s="13">
        <v>6</v>
      </c>
      <c r="C58" s="18">
        <v>13.89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9">
        <v>51</v>
      </c>
      <c r="P58" s="15">
        <v>118</v>
      </c>
      <c r="Q58" s="16">
        <f t="shared" si="3"/>
        <v>169</v>
      </c>
      <c r="R58" s="11"/>
      <c r="S58" s="16">
        <f t="shared" si="4"/>
        <v>2347.4100000000003</v>
      </c>
    </row>
    <row r="59" spans="1:19" ht="20.100000000000001" customHeight="1" x14ac:dyDescent="0.2">
      <c r="A59" s="20" t="s">
        <v>856</v>
      </c>
      <c r="B59" s="13">
        <v>6</v>
      </c>
      <c r="C59" s="22">
        <v>51.73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9"/>
      <c r="O59" s="19">
        <v>25</v>
      </c>
      <c r="P59" s="15">
        <v>30</v>
      </c>
      <c r="Q59" s="16">
        <f t="shared" si="3"/>
        <v>55</v>
      </c>
      <c r="R59" s="11"/>
      <c r="S59" s="16">
        <f t="shared" si="4"/>
        <v>2845.1499999999996</v>
      </c>
    </row>
    <row r="60" spans="1:19" ht="20.100000000000001" customHeight="1" x14ac:dyDescent="0.2">
      <c r="A60" s="30" t="s">
        <v>437</v>
      </c>
      <c r="B60" s="13">
        <v>6</v>
      </c>
      <c r="C60" s="18">
        <v>362.2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9">
        <v>0</v>
      </c>
      <c r="P60" s="15">
        <v>20</v>
      </c>
      <c r="Q60" s="16">
        <f t="shared" si="3"/>
        <v>20</v>
      </c>
      <c r="R60" s="11" t="s">
        <v>42</v>
      </c>
      <c r="S60" s="16">
        <f t="shared" si="4"/>
        <v>7244</v>
      </c>
    </row>
    <row r="61" spans="1:19" ht="20.100000000000001" customHeight="1" x14ac:dyDescent="0.2">
      <c r="A61" s="20" t="s">
        <v>243</v>
      </c>
      <c r="B61" s="13">
        <v>6</v>
      </c>
      <c r="C61" s="18">
        <v>38.44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9">
        <v>58</v>
      </c>
      <c r="P61" s="15">
        <v>141</v>
      </c>
      <c r="Q61" s="16">
        <f t="shared" si="3"/>
        <v>199</v>
      </c>
      <c r="R61" s="11"/>
      <c r="S61" s="16">
        <f t="shared" si="4"/>
        <v>7649.5599999999995</v>
      </c>
    </row>
    <row r="62" spans="1:19" ht="20.100000000000001" customHeight="1" x14ac:dyDescent="0.2">
      <c r="A62" s="57" t="s">
        <v>627</v>
      </c>
      <c r="B62" s="11">
        <v>7</v>
      </c>
      <c r="C62" s="11">
        <v>1319</v>
      </c>
      <c r="D62" s="22">
        <v>1319</v>
      </c>
      <c r="E62" s="17"/>
      <c r="F62" s="17"/>
      <c r="G62" s="17"/>
      <c r="H62" s="17"/>
      <c r="I62" s="17"/>
      <c r="J62" s="17"/>
      <c r="K62" s="19"/>
      <c r="L62" s="15"/>
      <c r="M62" s="16"/>
      <c r="N62" s="11"/>
      <c r="O62" s="16"/>
      <c r="P62" s="15">
        <v>1</v>
      </c>
      <c r="Q62" s="16">
        <f t="shared" si="3"/>
        <v>1</v>
      </c>
      <c r="R62" s="11"/>
      <c r="S62" s="16">
        <f t="shared" si="4"/>
        <v>1319</v>
      </c>
    </row>
    <row r="63" spans="1:19" ht="20.100000000000001" customHeight="1" x14ac:dyDescent="0.2">
      <c r="A63" s="15" t="s">
        <v>530</v>
      </c>
      <c r="B63" s="13">
        <v>7</v>
      </c>
      <c r="C63" s="18">
        <v>49.09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9"/>
      <c r="P63" s="15">
        <v>67</v>
      </c>
      <c r="Q63" s="16">
        <f t="shared" si="3"/>
        <v>67</v>
      </c>
      <c r="R63" s="11" t="s">
        <v>42</v>
      </c>
      <c r="S63" s="16">
        <f t="shared" si="4"/>
        <v>3289.03</v>
      </c>
    </row>
    <row r="64" spans="1:19" ht="20.100000000000001" customHeight="1" x14ac:dyDescent="0.2">
      <c r="A64" s="53" t="s">
        <v>503</v>
      </c>
      <c r="B64" s="56">
        <v>7</v>
      </c>
      <c r="C64" s="52">
        <v>159.6</v>
      </c>
      <c r="D64" s="53"/>
      <c r="E64" s="53"/>
      <c r="F64" s="53"/>
      <c r="G64" s="53"/>
      <c r="H64" s="53"/>
      <c r="I64" s="53"/>
      <c r="J64" s="53"/>
      <c r="K64" s="53"/>
      <c r="L64" s="53"/>
      <c r="M64" s="17"/>
      <c r="N64" s="54"/>
      <c r="O64" s="54"/>
      <c r="P64" s="15">
        <v>30</v>
      </c>
      <c r="Q64" s="16">
        <f t="shared" si="3"/>
        <v>30</v>
      </c>
      <c r="R64" s="56"/>
      <c r="S64" s="16">
        <f t="shared" si="4"/>
        <v>4788</v>
      </c>
    </row>
    <row r="65" spans="1:19" ht="20.100000000000001" customHeight="1" x14ac:dyDescent="0.2">
      <c r="A65" s="57" t="s">
        <v>509</v>
      </c>
      <c r="B65" s="60">
        <v>7</v>
      </c>
      <c r="C65" s="58">
        <v>881.64</v>
      </c>
      <c r="D65" s="53"/>
      <c r="E65" s="53"/>
      <c r="F65" s="53"/>
      <c r="G65" s="53"/>
      <c r="H65" s="53"/>
      <c r="I65" s="53"/>
      <c r="J65" s="53"/>
      <c r="K65" s="53"/>
      <c r="L65" s="53"/>
      <c r="M65" s="17"/>
      <c r="N65" s="54"/>
      <c r="O65" s="54"/>
      <c r="P65" s="15">
        <v>59</v>
      </c>
      <c r="Q65" s="16">
        <f t="shared" si="3"/>
        <v>59</v>
      </c>
      <c r="R65" s="56"/>
      <c r="S65" s="16">
        <f t="shared" si="4"/>
        <v>52016.76</v>
      </c>
    </row>
    <row r="66" spans="1:19" ht="20.100000000000001" customHeight="1" x14ac:dyDescent="0.2">
      <c r="A66" s="57" t="s">
        <v>866</v>
      </c>
      <c r="B66" s="60">
        <v>7</v>
      </c>
      <c r="C66" s="58">
        <v>50.03</v>
      </c>
      <c r="D66" s="53"/>
      <c r="E66" s="53"/>
      <c r="F66" s="53"/>
      <c r="G66" s="53"/>
      <c r="H66" s="53"/>
      <c r="I66" s="53"/>
      <c r="J66" s="53"/>
      <c r="K66" s="53"/>
      <c r="L66" s="53"/>
      <c r="M66" s="17"/>
      <c r="N66" s="54"/>
      <c r="O66" s="54"/>
      <c r="P66" s="15">
        <v>70</v>
      </c>
      <c r="Q66" s="16">
        <f t="shared" si="3"/>
        <v>70</v>
      </c>
      <c r="R66" s="56" t="s">
        <v>867</v>
      </c>
      <c r="S66" s="16">
        <f t="shared" si="4"/>
        <v>3502.1</v>
      </c>
    </row>
    <row r="67" spans="1:19" ht="20.100000000000001" customHeight="1" x14ac:dyDescent="0.2">
      <c r="A67" s="15" t="s">
        <v>402</v>
      </c>
      <c r="B67" s="13">
        <v>7</v>
      </c>
      <c r="C67" s="18">
        <v>20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9"/>
      <c r="P67" s="15">
        <v>71</v>
      </c>
      <c r="Q67" s="16">
        <f t="shared" si="3"/>
        <v>71</v>
      </c>
      <c r="R67" s="11" t="s">
        <v>42</v>
      </c>
      <c r="S67" s="16">
        <f t="shared" ref="S67:S98" si="5">SUM(C:C*Q:Q)</f>
        <v>1420</v>
      </c>
    </row>
    <row r="68" spans="1:19" ht="20.100000000000001" customHeight="1" x14ac:dyDescent="0.2">
      <c r="A68" s="17" t="s">
        <v>519</v>
      </c>
      <c r="B68" s="13">
        <v>7</v>
      </c>
      <c r="C68" s="18">
        <v>69.069999999999993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9"/>
      <c r="P68" s="15">
        <v>50</v>
      </c>
      <c r="Q68" s="16">
        <f t="shared" si="3"/>
        <v>50</v>
      </c>
      <c r="R68" s="11"/>
      <c r="S68" s="16">
        <f t="shared" si="5"/>
        <v>3453.4999999999995</v>
      </c>
    </row>
    <row r="69" spans="1:19" ht="20.100000000000001" customHeight="1" x14ac:dyDescent="0.2">
      <c r="A69" s="15" t="s">
        <v>755</v>
      </c>
      <c r="B69" s="13">
        <v>7</v>
      </c>
      <c r="C69" s="18">
        <v>62.98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9"/>
      <c r="P69" s="15">
        <v>102</v>
      </c>
      <c r="Q69" s="16">
        <f t="shared" si="3"/>
        <v>102</v>
      </c>
      <c r="R69" s="11" t="s">
        <v>42</v>
      </c>
      <c r="S69" s="16">
        <f t="shared" si="5"/>
        <v>6423.96</v>
      </c>
    </row>
    <row r="70" spans="1:19" ht="20.100000000000001" customHeight="1" x14ac:dyDescent="0.2">
      <c r="A70" s="17" t="s">
        <v>845</v>
      </c>
      <c r="B70" s="13">
        <v>7</v>
      </c>
      <c r="C70" s="18">
        <v>703.65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9"/>
      <c r="O70" s="19"/>
      <c r="P70" s="15">
        <v>63</v>
      </c>
      <c r="Q70" s="16">
        <f t="shared" si="3"/>
        <v>63</v>
      </c>
      <c r="R70" s="11"/>
      <c r="S70" s="16">
        <f t="shared" si="5"/>
        <v>44329.95</v>
      </c>
    </row>
    <row r="71" spans="1:19" ht="20.100000000000001" customHeight="1" x14ac:dyDescent="0.2">
      <c r="A71" s="30" t="s">
        <v>409</v>
      </c>
      <c r="B71" s="13">
        <v>7</v>
      </c>
      <c r="C71" s="18">
        <v>8.4700000000000006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9"/>
      <c r="P71" s="15">
        <v>189.5</v>
      </c>
      <c r="Q71" s="16">
        <f t="shared" si="3"/>
        <v>189.5</v>
      </c>
      <c r="R71" s="11" t="s">
        <v>42</v>
      </c>
      <c r="S71" s="16">
        <f t="shared" si="5"/>
        <v>1605.0650000000001</v>
      </c>
    </row>
    <row r="72" spans="1:19" ht="20.100000000000001" customHeight="1" x14ac:dyDescent="0.2">
      <c r="A72" s="30" t="s">
        <v>861</v>
      </c>
      <c r="B72" s="13">
        <v>7</v>
      </c>
      <c r="C72" s="18">
        <v>10.77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9"/>
      <c r="P72" s="15">
        <v>32</v>
      </c>
      <c r="Q72" s="16">
        <f t="shared" si="3"/>
        <v>32</v>
      </c>
      <c r="R72" s="11"/>
      <c r="S72" s="16">
        <f t="shared" si="5"/>
        <v>344.64</v>
      </c>
    </row>
    <row r="73" spans="1:19" ht="20.100000000000001" customHeight="1" x14ac:dyDescent="0.2">
      <c r="A73" s="31" t="s">
        <v>724</v>
      </c>
      <c r="B73" s="13">
        <v>7</v>
      </c>
      <c r="C73" s="18">
        <v>142.88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9"/>
      <c r="P73" s="15">
        <v>50</v>
      </c>
      <c r="Q73" s="16">
        <f t="shared" ref="Q73:Q81" si="6">SUM(O73:P73)</f>
        <v>50</v>
      </c>
      <c r="R73" s="11"/>
      <c r="S73" s="16">
        <f t="shared" si="5"/>
        <v>7144</v>
      </c>
    </row>
    <row r="74" spans="1:19" ht="20.100000000000001" customHeight="1" x14ac:dyDescent="0.2">
      <c r="A74" s="53" t="s">
        <v>547</v>
      </c>
      <c r="B74" s="13">
        <v>7</v>
      </c>
      <c r="C74" s="18">
        <v>146.6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9"/>
      <c r="P74" s="15">
        <v>40</v>
      </c>
      <c r="Q74" s="16">
        <f t="shared" si="6"/>
        <v>40</v>
      </c>
      <c r="R74" s="17"/>
      <c r="S74" s="16">
        <f t="shared" si="5"/>
        <v>5864</v>
      </c>
    </row>
    <row r="75" spans="1:19" ht="20.100000000000001" customHeight="1" x14ac:dyDescent="0.2">
      <c r="A75" s="30" t="s">
        <v>725</v>
      </c>
      <c r="B75" s="13">
        <v>7</v>
      </c>
      <c r="C75" s="18">
        <v>182.1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9"/>
      <c r="P75" s="15">
        <v>1</v>
      </c>
      <c r="Q75" s="16">
        <f t="shared" si="6"/>
        <v>1</v>
      </c>
      <c r="R75" s="11"/>
      <c r="S75" s="16">
        <f t="shared" si="5"/>
        <v>182.1</v>
      </c>
    </row>
    <row r="76" spans="1:19" ht="20.100000000000001" customHeight="1" x14ac:dyDescent="0.2">
      <c r="A76" s="53" t="s">
        <v>548</v>
      </c>
      <c r="B76" s="51">
        <v>7</v>
      </c>
      <c r="C76" s="52">
        <v>76.3</v>
      </c>
      <c r="D76" s="53"/>
      <c r="E76" s="53"/>
      <c r="F76" s="53"/>
      <c r="G76" s="53"/>
      <c r="H76" s="53"/>
      <c r="I76" s="53"/>
      <c r="J76" s="53"/>
      <c r="K76" s="17"/>
      <c r="L76" s="17"/>
      <c r="M76" s="17"/>
      <c r="N76" s="17"/>
      <c r="O76" s="19"/>
      <c r="P76" s="15">
        <v>30</v>
      </c>
      <c r="Q76" s="16">
        <f t="shared" si="6"/>
        <v>30</v>
      </c>
      <c r="R76" s="11"/>
      <c r="S76" s="16">
        <f t="shared" si="5"/>
        <v>2289</v>
      </c>
    </row>
    <row r="77" spans="1:19" ht="20.100000000000001" customHeight="1" x14ac:dyDescent="0.2">
      <c r="A77" s="53" t="s">
        <v>862</v>
      </c>
      <c r="B77" s="51">
        <v>7</v>
      </c>
      <c r="C77" s="52">
        <v>111.8</v>
      </c>
      <c r="D77" s="53"/>
      <c r="E77" s="53"/>
      <c r="F77" s="53"/>
      <c r="G77" s="53"/>
      <c r="H77" s="53"/>
      <c r="I77" s="53"/>
      <c r="J77" s="53"/>
      <c r="K77" s="17"/>
      <c r="L77" s="17"/>
      <c r="M77" s="17"/>
      <c r="N77" s="17"/>
      <c r="O77" s="19"/>
      <c r="P77" s="15">
        <v>28</v>
      </c>
      <c r="Q77" s="16">
        <f t="shared" si="6"/>
        <v>28</v>
      </c>
      <c r="R77" s="11"/>
      <c r="S77" s="16">
        <f t="shared" si="5"/>
        <v>3130.4</v>
      </c>
    </row>
    <row r="78" spans="1:19" ht="20.100000000000001" customHeight="1" x14ac:dyDescent="0.2">
      <c r="A78" s="17" t="s">
        <v>857</v>
      </c>
      <c r="B78" s="11">
        <v>7</v>
      </c>
      <c r="C78" s="18">
        <v>70.959999999999994</v>
      </c>
      <c r="D78" s="17"/>
      <c r="E78" s="17"/>
      <c r="F78" s="17"/>
      <c r="G78" s="17"/>
      <c r="H78" s="17"/>
      <c r="I78" s="17"/>
      <c r="J78" s="17"/>
      <c r="K78" s="17"/>
      <c r="L78" s="17">
        <v>0</v>
      </c>
      <c r="M78" s="17"/>
      <c r="N78" s="19"/>
      <c r="O78" s="19"/>
      <c r="P78" s="15">
        <v>60</v>
      </c>
      <c r="Q78" s="16">
        <f t="shared" si="6"/>
        <v>60</v>
      </c>
      <c r="R78" s="11"/>
      <c r="S78" s="16">
        <f t="shared" si="5"/>
        <v>4257.5999999999995</v>
      </c>
    </row>
    <row r="79" spans="1:19" ht="20.100000000000001" customHeight="1" x14ac:dyDescent="0.2">
      <c r="A79" s="30" t="s">
        <v>612</v>
      </c>
      <c r="B79" s="13">
        <v>7</v>
      </c>
      <c r="C79" s="18">
        <v>1969.26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9"/>
      <c r="P79" s="15">
        <v>47</v>
      </c>
      <c r="Q79" s="16">
        <f t="shared" si="6"/>
        <v>47</v>
      </c>
      <c r="R79" s="11"/>
      <c r="S79" s="16">
        <f t="shared" si="5"/>
        <v>92555.22</v>
      </c>
    </row>
    <row r="80" spans="1:19" ht="20.100000000000001" customHeight="1" x14ac:dyDescent="0.2">
      <c r="A80" s="20" t="s">
        <v>847</v>
      </c>
      <c r="B80" s="13">
        <v>8</v>
      </c>
      <c r="C80" s="22">
        <v>55850</v>
      </c>
      <c r="D80" s="17"/>
      <c r="E80" s="17"/>
      <c r="F80" s="17"/>
      <c r="G80" s="17"/>
      <c r="H80" s="17"/>
      <c r="I80" s="17"/>
      <c r="J80" s="17"/>
      <c r="K80" s="17"/>
      <c r="L80" s="17">
        <v>0</v>
      </c>
      <c r="M80" s="17"/>
      <c r="N80" s="19"/>
      <c r="O80" s="19"/>
      <c r="P80" s="15">
        <v>1</v>
      </c>
      <c r="Q80" s="16">
        <f t="shared" si="6"/>
        <v>1</v>
      </c>
      <c r="R80" s="11"/>
      <c r="S80" s="16">
        <f t="shared" si="5"/>
        <v>55850</v>
      </c>
    </row>
    <row r="81" spans="1:21" ht="20.100000000000001" customHeight="1" x14ac:dyDescent="0.2">
      <c r="A81" s="20" t="s">
        <v>848</v>
      </c>
      <c r="B81" s="13">
        <v>8</v>
      </c>
      <c r="C81" s="22">
        <v>88220</v>
      </c>
      <c r="D81" s="17"/>
      <c r="E81" s="17"/>
      <c r="F81" s="17"/>
      <c r="G81" s="17"/>
      <c r="H81" s="17"/>
      <c r="I81" s="17"/>
      <c r="J81" s="17"/>
      <c r="K81" s="17"/>
      <c r="L81" s="17">
        <v>0</v>
      </c>
      <c r="M81" s="17"/>
      <c r="N81" s="19"/>
      <c r="O81" s="19"/>
      <c r="P81" s="15">
        <v>1</v>
      </c>
      <c r="Q81" s="16">
        <f t="shared" si="6"/>
        <v>1</v>
      </c>
      <c r="R81" s="11"/>
      <c r="S81" s="16">
        <f t="shared" si="5"/>
        <v>88220</v>
      </c>
    </row>
    <row r="82" spans="1:21" ht="20.100000000000001" customHeight="1" x14ac:dyDescent="0.2">
      <c r="A82" s="17" t="s">
        <v>860</v>
      </c>
      <c r="B82" s="13">
        <v>8</v>
      </c>
      <c r="C82" s="18">
        <v>77149</v>
      </c>
      <c r="D82" s="17"/>
      <c r="E82" s="17"/>
      <c r="F82" s="17"/>
      <c r="G82" s="17"/>
      <c r="H82" s="17"/>
      <c r="I82" s="17"/>
      <c r="J82" s="17"/>
      <c r="K82" s="17"/>
      <c r="L82" s="17">
        <v>0</v>
      </c>
      <c r="M82" s="17"/>
      <c r="N82" s="19"/>
      <c r="O82" s="19"/>
      <c r="P82" s="15">
        <v>1</v>
      </c>
      <c r="Q82" s="16">
        <v>1</v>
      </c>
      <c r="R82" s="11"/>
      <c r="S82" s="16">
        <f t="shared" si="5"/>
        <v>77149</v>
      </c>
    </row>
    <row r="83" spans="1:21" ht="20.100000000000001" customHeight="1" x14ac:dyDescent="0.2">
      <c r="A83" s="41" t="s">
        <v>68</v>
      </c>
      <c r="B83" s="42">
        <v>21</v>
      </c>
      <c r="C83" s="22">
        <v>5.58</v>
      </c>
      <c r="D83" s="17"/>
      <c r="E83" s="17"/>
      <c r="F83" s="17"/>
      <c r="G83" s="17"/>
      <c r="H83" s="17"/>
      <c r="I83" s="17"/>
      <c r="J83" s="17"/>
      <c r="K83" s="17"/>
      <c r="L83" s="17">
        <v>7.9</v>
      </c>
      <c r="M83" s="17">
        <v>311</v>
      </c>
      <c r="N83" s="19">
        <v>250</v>
      </c>
      <c r="O83" s="19"/>
      <c r="P83" s="15"/>
      <c r="Q83" s="16">
        <f>SUM(M83-N83)*10/L83+O83+P83</f>
        <v>77.215189873417714</v>
      </c>
      <c r="R83" s="11"/>
      <c r="S83" s="16">
        <f t="shared" si="5"/>
        <v>430.86075949367086</v>
      </c>
    </row>
    <row r="84" spans="1:21" ht="20.100000000000001" customHeight="1" x14ac:dyDescent="0.2">
      <c r="A84" s="43" t="s">
        <v>835</v>
      </c>
      <c r="B84" s="44">
        <v>21</v>
      </c>
      <c r="C84" s="18">
        <v>13.28</v>
      </c>
      <c r="D84" s="17"/>
      <c r="E84" s="17"/>
      <c r="F84" s="17"/>
      <c r="G84" s="17"/>
      <c r="H84" s="17"/>
      <c r="I84" s="17"/>
      <c r="J84" s="17"/>
      <c r="K84" s="17"/>
      <c r="L84" s="53">
        <v>1.5</v>
      </c>
      <c r="M84" s="17">
        <v>253</v>
      </c>
      <c r="N84" s="19">
        <v>250</v>
      </c>
      <c r="O84" s="19">
        <v>100</v>
      </c>
      <c r="P84" s="15">
        <v>0</v>
      </c>
      <c r="Q84" s="55">
        <f t="shared" ref="Q84" si="7">SUM(M84-N84)*10/L84+O84+P84</f>
        <v>120</v>
      </c>
      <c r="R84" s="11"/>
      <c r="S84" s="16">
        <f t="shared" si="5"/>
        <v>1593.6</v>
      </c>
    </row>
    <row r="85" spans="1:21" ht="20.100000000000001" customHeight="1" x14ac:dyDescent="0.2">
      <c r="A85" s="41" t="s">
        <v>71</v>
      </c>
      <c r="B85" s="42">
        <v>21</v>
      </c>
      <c r="C85" s="22">
        <v>7.28</v>
      </c>
      <c r="D85" s="17"/>
      <c r="E85" s="17"/>
      <c r="F85" s="17"/>
      <c r="G85" s="17"/>
      <c r="H85" s="17"/>
      <c r="I85" s="17"/>
      <c r="J85" s="63"/>
      <c r="K85" s="17"/>
      <c r="L85" s="17">
        <v>2</v>
      </c>
      <c r="M85" s="17">
        <v>344</v>
      </c>
      <c r="N85" s="19">
        <v>250</v>
      </c>
      <c r="O85" s="19">
        <v>500</v>
      </c>
      <c r="P85" s="15">
        <v>0</v>
      </c>
      <c r="Q85" s="16">
        <f>SUM(M85-N85)*10/L85+O85+P85</f>
        <v>970</v>
      </c>
      <c r="R85" s="11"/>
      <c r="S85" s="16">
        <f t="shared" si="5"/>
        <v>7061.6</v>
      </c>
    </row>
    <row r="86" spans="1:21" ht="20.100000000000001" customHeight="1" x14ac:dyDescent="0.2">
      <c r="A86" s="41" t="s">
        <v>73</v>
      </c>
      <c r="B86" s="42">
        <v>21</v>
      </c>
      <c r="C86" s="22">
        <v>4.96</v>
      </c>
      <c r="D86" s="17"/>
      <c r="E86" s="17"/>
      <c r="F86" s="17"/>
      <c r="G86" s="17"/>
      <c r="H86" s="17"/>
      <c r="I86" s="17"/>
      <c r="J86" s="17"/>
      <c r="K86" s="17"/>
      <c r="L86" s="17">
        <v>1.2</v>
      </c>
      <c r="M86" s="17">
        <v>318</v>
      </c>
      <c r="N86" s="19">
        <v>250</v>
      </c>
      <c r="O86" s="19"/>
      <c r="P86" s="15">
        <v>324</v>
      </c>
      <c r="Q86" s="16">
        <f>SUM(M86-N86)*10/L86+O86+P86</f>
        <v>890.66666666666674</v>
      </c>
      <c r="R86" s="11"/>
      <c r="S86" s="16">
        <f t="shared" si="5"/>
        <v>4417.7066666666669</v>
      </c>
    </row>
    <row r="87" spans="1:21" ht="20.100000000000001" customHeight="1" x14ac:dyDescent="0.2">
      <c r="A87" s="43" t="s">
        <v>716</v>
      </c>
      <c r="B87" s="44">
        <v>21</v>
      </c>
      <c r="C87" s="52">
        <v>12.59</v>
      </c>
      <c r="D87" s="53"/>
      <c r="E87" s="53"/>
      <c r="F87" s="53"/>
      <c r="G87" s="53"/>
      <c r="H87" s="53"/>
      <c r="I87" s="53"/>
      <c r="J87" s="17"/>
      <c r="K87" s="53"/>
      <c r="L87" s="53">
        <v>1</v>
      </c>
      <c r="M87" s="17"/>
      <c r="N87" s="17">
        <v>250</v>
      </c>
      <c r="O87" s="19"/>
      <c r="P87" s="15">
        <v>270</v>
      </c>
      <c r="Q87" s="16">
        <f t="shared" ref="Q87" si="8">SUM(O87:P87)</f>
        <v>270</v>
      </c>
      <c r="R87" s="56"/>
      <c r="S87" s="16">
        <f t="shared" si="5"/>
        <v>3399.3</v>
      </c>
    </row>
    <row r="88" spans="1:21" ht="20.100000000000001" customHeight="1" x14ac:dyDescent="0.2">
      <c r="A88" s="41" t="s">
        <v>81</v>
      </c>
      <c r="B88" s="42">
        <v>21</v>
      </c>
      <c r="C88" s="22">
        <v>7.9</v>
      </c>
      <c r="D88" s="17"/>
      <c r="E88" s="17"/>
      <c r="F88" s="17"/>
      <c r="G88" s="17"/>
      <c r="H88" s="17"/>
      <c r="I88" s="17"/>
      <c r="J88" s="17"/>
      <c r="K88" s="17"/>
      <c r="L88" s="17">
        <v>1.5</v>
      </c>
      <c r="M88" s="17">
        <v>324</v>
      </c>
      <c r="N88" s="19">
        <v>250</v>
      </c>
      <c r="O88" s="19"/>
      <c r="P88" s="15">
        <v>50</v>
      </c>
      <c r="Q88" s="16">
        <f t="shared" ref="Q88:Q100" si="9">SUM((J88-K88))+(M88-N88)*10/L88+O88+P88</f>
        <v>543.33333333333326</v>
      </c>
      <c r="R88" s="11"/>
      <c r="S88" s="16">
        <f t="shared" si="5"/>
        <v>4292.333333333333</v>
      </c>
      <c r="U88" t="s">
        <v>417</v>
      </c>
    </row>
    <row r="89" spans="1:21" ht="20.100000000000001" customHeight="1" x14ac:dyDescent="0.2">
      <c r="A89" s="43" t="s">
        <v>82</v>
      </c>
      <c r="B89" s="95">
        <v>21</v>
      </c>
      <c r="C89" s="27">
        <v>8.99</v>
      </c>
      <c r="D89" s="28">
        <v>6100</v>
      </c>
      <c r="E89" s="17" t="s">
        <v>83</v>
      </c>
      <c r="F89" s="17" t="s">
        <v>84</v>
      </c>
      <c r="G89" s="29" t="s">
        <v>85</v>
      </c>
      <c r="H89" s="17">
        <v>1000</v>
      </c>
      <c r="I89" s="17" t="s">
        <v>86</v>
      </c>
      <c r="J89" s="53"/>
      <c r="K89" s="17"/>
      <c r="L89" s="17">
        <v>1.1000000000000001</v>
      </c>
      <c r="M89" s="17">
        <v>376</v>
      </c>
      <c r="N89" s="19">
        <v>250</v>
      </c>
      <c r="O89" s="19"/>
      <c r="P89" s="15"/>
      <c r="Q89" s="16">
        <f t="shared" si="9"/>
        <v>1145.4545454545453</v>
      </c>
      <c r="R89" s="11"/>
      <c r="S89" s="16">
        <f t="shared" si="5"/>
        <v>10297.636363636362</v>
      </c>
    </row>
    <row r="90" spans="1:21" ht="20.100000000000001" customHeight="1" x14ac:dyDescent="0.2">
      <c r="A90" s="43" t="s">
        <v>89</v>
      </c>
      <c r="B90" s="48">
        <v>21</v>
      </c>
      <c r="C90" s="18">
        <v>14.7</v>
      </c>
      <c r="D90" s="17"/>
      <c r="E90" s="17"/>
      <c r="F90" s="17"/>
      <c r="G90" s="17"/>
      <c r="H90" s="17"/>
      <c r="I90" s="17"/>
      <c r="J90" s="17"/>
      <c r="K90" s="17"/>
      <c r="L90" s="17">
        <v>1.2</v>
      </c>
      <c r="M90" s="17">
        <v>308</v>
      </c>
      <c r="N90" s="19">
        <v>250</v>
      </c>
      <c r="O90" s="19"/>
      <c r="P90" s="15">
        <v>0</v>
      </c>
      <c r="Q90" s="16">
        <f t="shared" si="9"/>
        <v>483.33333333333337</v>
      </c>
      <c r="R90" s="11"/>
      <c r="S90" s="16">
        <f t="shared" si="5"/>
        <v>7105</v>
      </c>
    </row>
    <row r="91" spans="1:21" ht="20.100000000000001" customHeight="1" x14ac:dyDescent="0.2">
      <c r="A91" s="41" t="s">
        <v>90</v>
      </c>
      <c r="B91" s="42">
        <v>21</v>
      </c>
      <c r="C91" s="22">
        <v>5.36</v>
      </c>
      <c r="D91" s="17"/>
      <c r="E91" s="17"/>
      <c r="F91" s="17"/>
      <c r="G91" s="17"/>
      <c r="H91" s="17"/>
      <c r="I91" s="17"/>
      <c r="J91" s="17"/>
      <c r="K91" s="17"/>
      <c r="L91" s="17">
        <v>1.7</v>
      </c>
      <c r="M91" s="17"/>
      <c r="N91" s="19"/>
      <c r="O91" s="19"/>
      <c r="P91" s="15">
        <v>229</v>
      </c>
      <c r="Q91" s="16">
        <f t="shared" si="9"/>
        <v>229</v>
      </c>
      <c r="R91" s="11"/>
      <c r="S91" s="16">
        <f t="shared" si="5"/>
        <v>1227.44</v>
      </c>
    </row>
    <row r="92" spans="1:21" ht="20.100000000000001" customHeight="1" x14ac:dyDescent="0.2">
      <c r="A92" s="43" t="s">
        <v>98</v>
      </c>
      <c r="B92" s="44">
        <v>21</v>
      </c>
      <c r="C92" s="18">
        <v>9.09</v>
      </c>
      <c r="D92" s="17"/>
      <c r="E92" s="17"/>
      <c r="F92" s="17"/>
      <c r="G92" s="17"/>
      <c r="H92" s="17"/>
      <c r="I92" s="17"/>
      <c r="J92" s="17"/>
      <c r="K92" s="17"/>
      <c r="L92" s="17">
        <v>2.8</v>
      </c>
      <c r="M92" s="17">
        <v>388</v>
      </c>
      <c r="N92" s="19">
        <v>250</v>
      </c>
      <c r="O92" s="19">
        <v>500</v>
      </c>
      <c r="P92" s="15"/>
      <c r="Q92" s="16">
        <f t="shared" si="9"/>
        <v>992.85714285714289</v>
      </c>
      <c r="R92" s="11"/>
      <c r="S92" s="16">
        <f t="shared" si="5"/>
        <v>9025.0714285714294</v>
      </c>
    </row>
    <row r="93" spans="1:21" ht="20.100000000000001" customHeight="1" x14ac:dyDescent="0.2">
      <c r="A93" s="43" t="s">
        <v>106</v>
      </c>
      <c r="B93" s="48">
        <v>21</v>
      </c>
      <c r="C93" s="18">
        <v>97.24</v>
      </c>
      <c r="D93" s="17">
        <v>14640</v>
      </c>
      <c r="E93" s="17">
        <v>100</v>
      </c>
      <c r="F93" s="17">
        <v>14640</v>
      </c>
      <c r="G93" s="17">
        <v>100</v>
      </c>
      <c r="H93" s="17"/>
      <c r="I93" s="17"/>
      <c r="J93" s="17"/>
      <c r="K93" s="17"/>
      <c r="L93" s="17">
        <v>2.1</v>
      </c>
      <c r="M93" s="17">
        <v>376</v>
      </c>
      <c r="N93" s="19">
        <v>250</v>
      </c>
      <c r="O93" s="19"/>
      <c r="P93" s="15"/>
      <c r="Q93" s="55">
        <f>SUM(M93-N93)*10/L93+O93+P93</f>
        <v>600</v>
      </c>
      <c r="R93" s="11"/>
      <c r="S93" s="16">
        <f t="shared" si="5"/>
        <v>58344</v>
      </c>
    </row>
    <row r="94" spans="1:21" ht="20.100000000000001" customHeight="1" x14ac:dyDescent="0.2">
      <c r="A94" s="43" t="s">
        <v>513</v>
      </c>
      <c r="B94" s="48">
        <v>21</v>
      </c>
      <c r="C94" s="18">
        <v>12.1</v>
      </c>
      <c r="D94" s="17"/>
      <c r="E94" s="17"/>
      <c r="F94" s="17"/>
      <c r="G94" s="17"/>
      <c r="H94" s="17"/>
      <c r="I94" s="17"/>
      <c r="J94" s="53"/>
      <c r="K94" s="17"/>
      <c r="L94" s="17">
        <v>0.9</v>
      </c>
      <c r="M94" s="92">
        <v>372</v>
      </c>
      <c r="N94" s="19">
        <v>250</v>
      </c>
      <c r="O94" s="19">
        <v>1000</v>
      </c>
      <c r="P94" s="15"/>
      <c r="Q94" s="16">
        <f t="shared" si="9"/>
        <v>2355.5555555555557</v>
      </c>
      <c r="R94" s="11"/>
      <c r="S94" s="16">
        <f t="shared" si="5"/>
        <v>28502.222222222223</v>
      </c>
    </row>
    <row r="95" spans="1:21" ht="20.100000000000001" customHeight="1" x14ac:dyDescent="0.2">
      <c r="A95" s="43" t="s">
        <v>514</v>
      </c>
      <c r="B95" s="48">
        <v>21</v>
      </c>
      <c r="C95" s="18">
        <v>15.59</v>
      </c>
      <c r="D95" s="17"/>
      <c r="E95" s="17"/>
      <c r="F95" s="17"/>
      <c r="G95" s="17"/>
      <c r="H95" s="17"/>
      <c r="I95" s="17"/>
      <c r="J95" s="17"/>
      <c r="K95" s="17"/>
      <c r="L95" s="17">
        <v>1.4</v>
      </c>
      <c r="M95" s="92">
        <v>264</v>
      </c>
      <c r="N95" s="19">
        <v>250</v>
      </c>
      <c r="O95" s="19"/>
      <c r="P95" s="15"/>
      <c r="Q95" s="16">
        <f t="shared" si="9"/>
        <v>100</v>
      </c>
      <c r="R95" s="11"/>
      <c r="S95" s="16">
        <f t="shared" si="5"/>
        <v>1559</v>
      </c>
    </row>
    <row r="96" spans="1:21" ht="20.100000000000001" customHeight="1" x14ac:dyDescent="0.2">
      <c r="A96" s="43" t="s">
        <v>109</v>
      </c>
      <c r="B96" s="44">
        <v>21</v>
      </c>
      <c r="C96" s="18">
        <v>5.08</v>
      </c>
      <c r="D96" s="17"/>
      <c r="E96" s="17"/>
      <c r="F96" s="17"/>
      <c r="G96" s="17"/>
      <c r="H96" s="17"/>
      <c r="I96" s="17"/>
      <c r="J96" s="17"/>
      <c r="K96" s="17"/>
      <c r="L96" s="17">
        <v>2.5</v>
      </c>
      <c r="M96" s="92">
        <v>327</v>
      </c>
      <c r="N96" s="19">
        <v>250</v>
      </c>
      <c r="O96" s="19">
        <v>1000</v>
      </c>
      <c r="P96" s="15"/>
      <c r="Q96" s="16">
        <f t="shared" si="9"/>
        <v>1308</v>
      </c>
      <c r="R96" s="11"/>
      <c r="S96" s="16">
        <f t="shared" si="5"/>
        <v>6644.64</v>
      </c>
    </row>
    <row r="97" spans="1:19" ht="20.100000000000001" customHeight="1" x14ac:dyDescent="0.2">
      <c r="A97" s="41" t="s">
        <v>113</v>
      </c>
      <c r="B97" s="42">
        <v>21</v>
      </c>
      <c r="C97" s="22">
        <v>7.99</v>
      </c>
      <c r="D97" s="17"/>
      <c r="E97" s="17"/>
      <c r="F97" s="17"/>
      <c r="G97" s="17"/>
      <c r="H97" s="17"/>
      <c r="I97" s="17"/>
      <c r="J97" s="53"/>
      <c r="K97" s="17"/>
      <c r="L97" s="17">
        <v>4</v>
      </c>
      <c r="M97" s="92">
        <v>315</v>
      </c>
      <c r="N97" s="19">
        <v>250</v>
      </c>
      <c r="O97" s="19">
        <v>500</v>
      </c>
      <c r="P97" s="15">
        <v>696</v>
      </c>
      <c r="Q97" s="16">
        <f t="shared" si="9"/>
        <v>1358.5</v>
      </c>
      <c r="R97" s="11"/>
      <c r="S97" s="16">
        <f t="shared" si="5"/>
        <v>10854.415000000001</v>
      </c>
    </row>
    <row r="98" spans="1:19" ht="20.100000000000001" customHeight="1" x14ac:dyDescent="0.2">
      <c r="A98" s="41" t="s">
        <v>115</v>
      </c>
      <c r="B98" s="42">
        <v>21</v>
      </c>
      <c r="C98" s="22">
        <v>7.99</v>
      </c>
      <c r="D98" s="17"/>
      <c r="E98" s="17"/>
      <c r="F98" s="17"/>
      <c r="G98" s="17"/>
      <c r="H98" s="17"/>
      <c r="I98" s="17"/>
      <c r="J98" s="17"/>
      <c r="K98" s="17"/>
      <c r="L98" s="17">
        <v>3</v>
      </c>
      <c r="M98" s="92">
        <v>485</v>
      </c>
      <c r="N98" s="19"/>
      <c r="O98" s="19"/>
      <c r="P98" s="15"/>
      <c r="Q98" s="16">
        <f t="shared" si="9"/>
        <v>1616.6666666666667</v>
      </c>
      <c r="R98" s="11"/>
      <c r="S98" s="16">
        <f t="shared" si="5"/>
        <v>12917.166666666668</v>
      </c>
    </row>
    <row r="99" spans="1:19" ht="20.100000000000001" customHeight="1" x14ac:dyDescent="0.2">
      <c r="A99" s="43" t="s">
        <v>497</v>
      </c>
      <c r="B99" s="48">
        <v>21</v>
      </c>
      <c r="C99" s="18">
        <v>5.36</v>
      </c>
      <c r="D99" s="17"/>
      <c r="E99" s="17"/>
      <c r="F99" s="17"/>
      <c r="G99" s="17"/>
      <c r="H99" s="17"/>
      <c r="I99" s="17"/>
      <c r="J99" s="17"/>
      <c r="K99" s="17"/>
      <c r="L99" s="17">
        <v>1.8</v>
      </c>
      <c r="M99" s="17">
        <v>362</v>
      </c>
      <c r="N99" s="19">
        <v>250</v>
      </c>
      <c r="O99" s="19"/>
      <c r="P99" s="15"/>
      <c r="Q99" s="16">
        <f t="shared" si="9"/>
        <v>622.22222222222217</v>
      </c>
      <c r="R99" s="11"/>
      <c r="S99" s="16">
        <f t="shared" ref="S99:S114" si="10">SUM(C:C*Q:Q)</f>
        <v>3335.1111111111109</v>
      </c>
    </row>
    <row r="100" spans="1:19" ht="20.100000000000001" customHeight="1" x14ac:dyDescent="0.2">
      <c r="A100" s="43" t="s">
        <v>141</v>
      </c>
      <c r="B100" s="48">
        <v>21</v>
      </c>
      <c r="C100" s="18">
        <v>7.27</v>
      </c>
      <c r="D100" s="17">
        <v>973</v>
      </c>
      <c r="E100" s="17">
        <v>100</v>
      </c>
      <c r="F100" s="17">
        <v>973</v>
      </c>
      <c r="G100" s="17">
        <v>100</v>
      </c>
      <c r="H100" s="17"/>
      <c r="I100" s="17"/>
      <c r="J100" s="17"/>
      <c r="K100" s="17"/>
      <c r="L100" s="17">
        <v>1.9</v>
      </c>
      <c r="M100" s="17"/>
      <c r="N100" s="19"/>
      <c r="O100" s="19"/>
      <c r="P100" s="15">
        <v>40</v>
      </c>
      <c r="Q100" s="16">
        <f t="shared" si="9"/>
        <v>40</v>
      </c>
      <c r="R100" s="11"/>
      <c r="S100" s="16">
        <f t="shared" si="10"/>
        <v>290.79999999999995</v>
      </c>
    </row>
    <row r="101" spans="1:19" ht="20.100000000000001" customHeight="1" x14ac:dyDescent="0.2">
      <c r="A101" s="43" t="s">
        <v>858</v>
      </c>
      <c r="B101" s="44">
        <v>21</v>
      </c>
      <c r="C101" s="18">
        <v>247.53</v>
      </c>
      <c r="D101" s="17"/>
      <c r="E101" s="17"/>
      <c r="F101" s="17"/>
      <c r="G101" s="17"/>
      <c r="H101" s="17"/>
      <c r="I101" s="17"/>
      <c r="J101" s="17"/>
      <c r="K101" s="17"/>
      <c r="L101" s="53">
        <v>1.9</v>
      </c>
      <c r="M101" s="17">
        <v>266</v>
      </c>
      <c r="N101" s="19"/>
      <c r="O101" s="19"/>
      <c r="P101" s="15">
        <v>30</v>
      </c>
      <c r="Q101" s="16">
        <f t="shared" ref="Q101" si="11">SUM(O101:P101)</f>
        <v>30</v>
      </c>
      <c r="R101" s="11"/>
      <c r="S101" s="16">
        <f t="shared" si="10"/>
        <v>7425.9</v>
      </c>
    </row>
    <row r="102" spans="1:19" ht="20.100000000000001" customHeight="1" x14ac:dyDescent="0.2">
      <c r="A102" s="43" t="s">
        <v>142</v>
      </c>
      <c r="B102" s="44">
        <v>21</v>
      </c>
      <c r="C102" s="18">
        <v>10.63</v>
      </c>
      <c r="D102" s="17"/>
      <c r="E102" s="17"/>
      <c r="F102" s="17"/>
      <c r="G102" s="17"/>
      <c r="H102" s="17"/>
      <c r="I102" s="17"/>
      <c r="J102" s="17"/>
      <c r="K102" s="17"/>
      <c r="L102" s="17">
        <v>1.9</v>
      </c>
      <c r="M102" s="17">
        <v>442</v>
      </c>
      <c r="N102" s="19">
        <v>250</v>
      </c>
      <c r="O102" s="19"/>
      <c r="P102" s="15">
        <v>2000</v>
      </c>
      <c r="Q102" s="16">
        <f t="shared" ref="Q102:Q114" si="12">SUM((J102-K102))+(M102-N102)*10/L102+O102+P102</f>
        <v>3010.5263157894738</v>
      </c>
      <c r="R102" s="11"/>
      <c r="S102" s="16">
        <f t="shared" si="10"/>
        <v>32001.894736842107</v>
      </c>
    </row>
    <row r="103" spans="1:19" ht="20.100000000000001" customHeight="1" x14ac:dyDescent="0.2">
      <c r="A103" s="41" t="s">
        <v>147</v>
      </c>
      <c r="B103" s="42">
        <v>21</v>
      </c>
      <c r="C103" s="22">
        <v>17.43</v>
      </c>
      <c r="D103" s="17"/>
      <c r="E103" s="17"/>
      <c r="F103" s="17"/>
      <c r="G103" s="17"/>
      <c r="H103" s="17"/>
      <c r="I103" s="17"/>
      <c r="J103" s="17"/>
      <c r="K103" s="17"/>
      <c r="L103" s="17">
        <v>1.6</v>
      </c>
      <c r="M103" s="17">
        <v>300</v>
      </c>
      <c r="N103" s="19">
        <v>250</v>
      </c>
      <c r="O103" s="19">
        <v>300</v>
      </c>
      <c r="P103" s="15"/>
      <c r="Q103" s="16">
        <f t="shared" si="12"/>
        <v>612.5</v>
      </c>
      <c r="R103" s="11"/>
      <c r="S103" s="16">
        <f t="shared" si="10"/>
        <v>10675.875</v>
      </c>
    </row>
    <row r="104" spans="1:19" ht="20.100000000000001" customHeight="1" x14ac:dyDescent="0.2">
      <c r="A104" s="43" t="s">
        <v>557</v>
      </c>
      <c r="B104" s="44">
        <v>21</v>
      </c>
      <c r="C104" s="18">
        <v>4.84</v>
      </c>
      <c r="D104" s="17"/>
      <c r="E104" s="17"/>
      <c r="F104" s="17"/>
      <c r="G104" s="17"/>
      <c r="H104" s="17"/>
      <c r="I104" s="17"/>
      <c r="J104" s="53"/>
      <c r="K104" s="17"/>
      <c r="L104" s="17">
        <v>1.1000000000000001</v>
      </c>
      <c r="M104" s="17">
        <v>324</v>
      </c>
      <c r="N104" s="19">
        <v>250</v>
      </c>
      <c r="O104" s="19"/>
      <c r="P104" s="15"/>
      <c r="Q104" s="16">
        <f t="shared" si="12"/>
        <v>672.72727272727263</v>
      </c>
      <c r="R104" s="11"/>
      <c r="S104" s="16">
        <f t="shared" si="10"/>
        <v>3255.9999999999995</v>
      </c>
    </row>
    <row r="105" spans="1:19" ht="20.100000000000001" customHeight="1" x14ac:dyDescent="0.2">
      <c r="A105" s="43" t="s">
        <v>558</v>
      </c>
      <c r="B105" s="44">
        <v>21</v>
      </c>
      <c r="C105" s="18">
        <v>8.73</v>
      </c>
      <c r="D105" s="17"/>
      <c r="E105" s="17"/>
      <c r="F105" s="17"/>
      <c r="G105" s="17"/>
      <c r="H105" s="17"/>
      <c r="I105" s="17"/>
      <c r="J105" s="17"/>
      <c r="K105" s="17"/>
      <c r="L105" s="17">
        <v>1</v>
      </c>
      <c r="M105" s="17">
        <v>289</v>
      </c>
      <c r="N105" s="19">
        <v>250</v>
      </c>
      <c r="O105" s="19">
        <v>500</v>
      </c>
      <c r="P105" s="15">
        <v>500</v>
      </c>
      <c r="Q105" s="16">
        <f t="shared" si="12"/>
        <v>1390</v>
      </c>
      <c r="R105" s="11"/>
      <c r="S105" s="16">
        <f t="shared" si="10"/>
        <v>12134.7</v>
      </c>
    </row>
    <row r="106" spans="1:19" ht="20.100000000000001" customHeight="1" x14ac:dyDescent="0.2">
      <c r="A106" s="43" t="s">
        <v>151</v>
      </c>
      <c r="B106" s="44">
        <v>21</v>
      </c>
      <c r="C106" s="18">
        <v>8.73</v>
      </c>
      <c r="D106" s="17"/>
      <c r="E106" s="17"/>
      <c r="F106" s="17"/>
      <c r="G106" s="17"/>
      <c r="H106" s="17"/>
      <c r="I106" s="17"/>
      <c r="J106" s="17"/>
      <c r="K106" s="17"/>
      <c r="L106" s="17">
        <v>1</v>
      </c>
      <c r="M106" s="17">
        <v>326</v>
      </c>
      <c r="N106" s="19">
        <v>250</v>
      </c>
      <c r="O106" s="19"/>
      <c r="P106" s="15">
        <v>500</v>
      </c>
      <c r="Q106" s="16">
        <f t="shared" si="12"/>
        <v>1260</v>
      </c>
      <c r="R106" s="11"/>
      <c r="S106" s="16">
        <f t="shared" si="10"/>
        <v>10999.800000000001</v>
      </c>
    </row>
    <row r="107" spans="1:19" ht="20.100000000000001" customHeight="1" x14ac:dyDescent="0.2">
      <c r="A107" s="41" t="s">
        <v>154</v>
      </c>
      <c r="B107" s="42">
        <v>21</v>
      </c>
      <c r="C107" s="22">
        <v>24.3</v>
      </c>
      <c r="D107" s="17"/>
      <c r="E107" s="17"/>
      <c r="F107" s="17"/>
      <c r="G107" s="17"/>
      <c r="H107" s="17"/>
      <c r="I107" s="17"/>
      <c r="J107" s="17"/>
      <c r="K107" s="17"/>
      <c r="L107" s="17">
        <v>3</v>
      </c>
      <c r="M107" s="17">
        <v>430</v>
      </c>
      <c r="N107" s="19">
        <v>250</v>
      </c>
      <c r="O107" s="19"/>
      <c r="P107" s="15"/>
      <c r="Q107" s="16">
        <f t="shared" si="12"/>
        <v>600</v>
      </c>
      <c r="R107" s="11"/>
      <c r="S107" s="16">
        <f t="shared" si="10"/>
        <v>14580</v>
      </c>
    </row>
    <row r="108" spans="1:19" ht="20.100000000000001" customHeight="1" x14ac:dyDescent="0.2">
      <c r="A108" s="43" t="s">
        <v>561</v>
      </c>
      <c r="B108" s="48">
        <v>21</v>
      </c>
      <c r="C108" s="18">
        <v>31.6</v>
      </c>
      <c r="D108" s="17"/>
      <c r="E108" s="17"/>
      <c r="F108" s="17"/>
      <c r="G108" s="17"/>
      <c r="H108" s="17"/>
      <c r="I108" s="17"/>
      <c r="J108" s="17"/>
      <c r="K108" s="17"/>
      <c r="L108" s="17">
        <v>2</v>
      </c>
      <c r="M108" s="17">
        <v>273</v>
      </c>
      <c r="N108" s="17">
        <v>250</v>
      </c>
      <c r="O108" s="19"/>
      <c r="P108" s="15"/>
      <c r="Q108" s="16">
        <f t="shared" si="12"/>
        <v>115</v>
      </c>
      <c r="R108" s="11"/>
      <c r="S108" s="16">
        <f t="shared" si="10"/>
        <v>3634</v>
      </c>
    </row>
    <row r="109" spans="1:19" ht="20.100000000000001" customHeight="1" x14ac:dyDescent="0.2">
      <c r="A109" s="41" t="s">
        <v>564</v>
      </c>
      <c r="B109" s="42">
        <v>21</v>
      </c>
      <c r="C109" s="22">
        <v>7.9</v>
      </c>
      <c r="D109" s="17"/>
      <c r="E109" s="17"/>
      <c r="F109" s="17"/>
      <c r="G109" s="17"/>
      <c r="H109" s="17"/>
      <c r="I109" s="17"/>
      <c r="J109" s="17"/>
      <c r="K109" s="17"/>
      <c r="L109" s="17">
        <v>2</v>
      </c>
      <c r="M109" s="17">
        <v>355</v>
      </c>
      <c r="N109" s="17">
        <v>250</v>
      </c>
      <c r="O109" s="19"/>
      <c r="P109" s="15"/>
      <c r="Q109" s="16">
        <f t="shared" si="12"/>
        <v>525</v>
      </c>
      <c r="R109" s="11"/>
      <c r="S109" s="16">
        <f t="shared" si="10"/>
        <v>4147.5</v>
      </c>
    </row>
    <row r="110" spans="1:19" ht="20.100000000000001" customHeight="1" x14ac:dyDescent="0.2">
      <c r="A110" s="43" t="s">
        <v>162</v>
      </c>
      <c r="B110" s="44">
        <v>21</v>
      </c>
      <c r="C110" s="18">
        <v>4.96</v>
      </c>
      <c r="D110" s="17"/>
      <c r="E110" s="17"/>
      <c r="F110" s="17"/>
      <c r="G110" s="17"/>
      <c r="H110" s="17"/>
      <c r="I110" s="17"/>
      <c r="J110" s="53"/>
      <c r="K110" s="17"/>
      <c r="L110" s="17">
        <v>1.7</v>
      </c>
      <c r="M110" s="17">
        <v>308</v>
      </c>
      <c r="N110" s="17">
        <v>250</v>
      </c>
      <c r="O110" s="19">
        <v>1000</v>
      </c>
      <c r="P110" s="15"/>
      <c r="Q110" s="16">
        <f t="shared" si="12"/>
        <v>1341.1764705882354</v>
      </c>
      <c r="R110" s="11"/>
      <c r="S110" s="16">
        <f t="shared" si="10"/>
        <v>6652.2352941176478</v>
      </c>
    </row>
    <row r="111" spans="1:19" ht="20.100000000000001" customHeight="1" x14ac:dyDescent="0.2">
      <c r="A111" s="43" t="s">
        <v>717</v>
      </c>
      <c r="B111" s="44">
        <v>21</v>
      </c>
      <c r="C111" s="52">
        <v>8.9</v>
      </c>
      <c r="D111" s="17"/>
      <c r="E111" s="17"/>
      <c r="F111" s="17"/>
      <c r="G111" s="17"/>
      <c r="H111" s="17"/>
      <c r="I111" s="17"/>
      <c r="J111" s="17"/>
      <c r="K111" s="17"/>
      <c r="L111" s="17">
        <v>1.3</v>
      </c>
      <c r="M111" s="17">
        <v>305</v>
      </c>
      <c r="N111" s="17">
        <v>250</v>
      </c>
      <c r="O111" s="19">
        <v>300</v>
      </c>
      <c r="P111" s="15"/>
      <c r="Q111" s="16">
        <f t="shared" si="12"/>
        <v>723.07692307692309</v>
      </c>
      <c r="R111" s="11"/>
      <c r="S111" s="16">
        <f t="shared" si="10"/>
        <v>6435.3846153846162</v>
      </c>
    </row>
    <row r="112" spans="1:19" ht="20.100000000000001" customHeight="1" x14ac:dyDescent="0.2">
      <c r="A112" s="43" t="s">
        <v>718</v>
      </c>
      <c r="B112" s="44">
        <v>21</v>
      </c>
      <c r="C112" s="18">
        <v>23.97</v>
      </c>
      <c r="D112" s="17"/>
      <c r="E112" s="17"/>
      <c r="F112" s="17"/>
      <c r="G112" s="17"/>
      <c r="H112" s="17"/>
      <c r="I112" s="17"/>
      <c r="J112" s="17"/>
      <c r="K112" s="17"/>
      <c r="L112" s="17">
        <v>2</v>
      </c>
      <c r="M112" s="17">
        <v>308</v>
      </c>
      <c r="N112" s="17">
        <v>250</v>
      </c>
      <c r="O112" s="19"/>
      <c r="P112" s="15"/>
      <c r="Q112" s="16">
        <f t="shared" si="12"/>
        <v>290</v>
      </c>
      <c r="R112" s="11"/>
      <c r="S112" s="16">
        <f t="shared" si="10"/>
        <v>6951.2999999999993</v>
      </c>
    </row>
    <row r="113" spans="1:19" ht="20.100000000000001" customHeight="1" x14ac:dyDescent="0.2">
      <c r="A113" s="43" t="s">
        <v>166</v>
      </c>
      <c r="B113" s="44">
        <v>21</v>
      </c>
      <c r="C113" s="18">
        <v>5.07</v>
      </c>
      <c r="D113" s="17"/>
      <c r="E113" s="17"/>
      <c r="F113" s="17"/>
      <c r="G113" s="17"/>
      <c r="H113" s="17"/>
      <c r="I113" s="17"/>
      <c r="J113" s="17"/>
      <c r="K113" s="17"/>
      <c r="L113" s="17">
        <v>0.5</v>
      </c>
      <c r="M113" s="17">
        <v>269</v>
      </c>
      <c r="N113" s="19">
        <v>250</v>
      </c>
      <c r="O113" s="19">
        <v>1000</v>
      </c>
      <c r="P113" s="15">
        <v>0</v>
      </c>
      <c r="Q113" s="16">
        <f t="shared" si="12"/>
        <v>1380</v>
      </c>
      <c r="R113" s="11"/>
      <c r="S113" s="16">
        <f t="shared" si="10"/>
        <v>6996.6</v>
      </c>
    </row>
    <row r="114" spans="1:19" ht="20.100000000000001" customHeight="1" x14ac:dyDescent="0.2">
      <c r="A114" s="41" t="s">
        <v>167</v>
      </c>
      <c r="B114" s="42">
        <v>21</v>
      </c>
      <c r="C114" s="22">
        <v>8.0399999999999991</v>
      </c>
      <c r="D114" s="17"/>
      <c r="E114" s="17"/>
      <c r="F114" s="17"/>
      <c r="G114" s="17"/>
      <c r="H114" s="17"/>
      <c r="I114" s="17"/>
      <c r="J114" s="17"/>
      <c r="K114" s="17"/>
      <c r="L114" s="17">
        <v>0.8</v>
      </c>
      <c r="M114" s="17">
        <v>280</v>
      </c>
      <c r="N114" s="19">
        <v>250</v>
      </c>
      <c r="O114" s="19"/>
      <c r="P114" s="15">
        <v>1000</v>
      </c>
      <c r="Q114" s="16">
        <f t="shared" si="12"/>
        <v>1375</v>
      </c>
      <c r="R114" s="11"/>
      <c r="S114" s="16">
        <f t="shared" si="10"/>
        <v>11054.999999999998</v>
      </c>
    </row>
    <row r="115" spans="1:19" ht="20.100000000000001" customHeight="1" x14ac:dyDescent="0.2">
      <c r="A115" s="41" t="s">
        <v>844</v>
      </c>
      <c r="B115" s="42">
        <v>21</v>
      </c>
      <c r="C115" s="22">
        <v>9.5399999999999991</v>
      </c>
      <c r="D115" s="17"/>
      <c r="E115" s="17"/>
      <c r="F115" s="17"/>
      <c r="G115" s="17"/>
      <c r="H115" s="17"/>
      <c r="I115" s="17"/>
      <c r="J115" s="17"/>
      <c r="K115" s="17"/>
      <c r="L115" s="17">
        <v>0</v>
      </c>
      <c r="M115" s="17"/>
      <c r="N115" s="19"/>
      <c r="O115" s="19"/>
      <c r="P115" s="15">
        <v>184</v>
      </c>
      <c r="Q115" s="16"/>
      <c r="R115" s="11"/>
      <c r="S115" s="16">
        <v>184</v>
      </c>
    </row>
    <row r="116" spans="1:19" ht="20.100000000000001" customHeight="1" x14ac:dyDescent="0.2">
      <c r="A116" s="43" t="s">
        <v>168</v>
      </c>
      <c r="B116" s="48">
        <v>21</v>
      </c>
      <c r="C116" s="18">
        <v>6.09</v>
      </c>
      <c r="D116" s="17">
        <v>6334</v>
      </c>
      <c r="E116" s="17">
        <v>1000</v>
      </c>
      <c r="F116" s="17">
        <v>6334</v>
      </c>
      <c r="G116" s="17">
        <v>1000</v>
      </c>
      <c r="H116" s="17"/>
      <c r="I116" s="17"/>
      <c r="J116" s="17"/>
      <c r="K116" s="17"/>
      <c r="L116" s="17">
        <v>1.2</v>
      </c>
      <c r="M116" s="17">
        <v>257</v>
      </c>
      <c r="N116" s="19">
        <v>250</v>
      </c>
      <c r="O116" s="19"/>
      <c r="P116" s="15"/>
      <c r="Q116" s="16">
        <f>SUM((J116-K116))+(M116-N116)*10/L116+O116+P116</f>
        <v>58.333333333333336</v>
      </c>
      <c r="R116" s="11"/>
      <c r="S116" s="16">
        <f t="shared" ref="S116:S179" si="13">SUM(C:C*Q:Q)</f>
        <v>355.25</v>
      </c>
    </row>
    <row r="117" spans="1:19" ht="20.100000000000001" customHeight="1" x14ac:dyDescent="0.2">
      <c r="A117" s="43" t="s">
        <v>170</v>
      </c>
      <c r="B117" s="48">
        <v>21</v>
      </c>
      <c r="C117" s="18">
        <v>8.9</v>
      </c>
      <c r="D117" s="17"/>
      <c r="E117" s="17"/>
      <c r="F117" s="17"/>
      <c r="G117" s="17"/>
      <c r="H117" s="17"/>
      <c r="I117" s="17"/>
      <c r="J117" s="17"/>
      <c r="K117" s="17"/>
      <c r="L117" s="17">
        <v>0.9</v>
      </c>
      <c r="M117" s="17">
        <v>300</v>
      </c>
      <c r="N117" s="19">
        <v>250</v>
      </c>
      <c r="O117" s="19"/>
      <c r="P117" s="15"/>
      <c r="Q117" s="55">
        <f>SUM((J117-K117))+(M117-N117)*10/L117+O117+P117</f>
        <v>555.55555555555554</v>
      </c>
      <c r="R117" s="11"/>
      <c r="S117" s="16">
        <f t="shared" si="13"/>
        <v>4944.4444444444443</v>
      </c>
    </row>
    <row r="118" spans="1:19" ht="20.100000000000001" customHeight="1" x14ac:dyDescent="0.2">
      <c r="A118" s="43" t="s">
        <v>171</v>
      </c>
      <c r="B118" s="48">
        <v>21</v>
      </c>
      <c r="C118" s="18">
        <v>13.49</v>
      </c>
      <c r="D118" s="17"/>
      <c r="E118" s="17"/>
      <c r="F118" s="17"/>
      <c r="G118" s="17"/>
      <c r="H118" s="17"/>
      <c r="I118" s="17"/>
      <c r="J118" s="17"/>
      <c r="K118" s="17"/>
      <c r="L118" s="17">
        <v>2.2000000000000002</v>
      </c>
      <c r="M118" s="53">
        <v>467</v>
      </c>
      <c r="N118" s="19">
        <v>250</v>
      </c>
      <c r="O118" s="19"/>
      <c r="P118" s="15"/>
      <c r="Q118" s="16">
        <f>SUM((J118-K118))+(M118-N118)*10/L118+O118+P118</f>
        <v>986.36363636363626</v>
      </c>
      <c r="R118" s="11"/>
      <c r="S118" s="16">
        <f t="shared" si="13"/>
        <v>13306.045454545454</v>
      </c>
    </row>
    <row r="119" spans="1:19" ht="20.100000000000001" customHeight="1" x14ac:dyDescent="0.2">
      <c r="A119" s="43" t="s">
        <v>846</v>
      </c>
      <c r="B119" s="44">
        <v>21</v>
      </c>
      <c r="C119" s="18">
        <v>12.02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9"/>
      <c r="O119" s="19"/>
      <c r="P119" s="15">
        <v>40</v>
      </c>
      <c r="Q119" s="55">
        <f t="shared" ref="Q119" si="14">SUM(O119:P119)</f>
        <v>40</v>
      </c>
      <c r="R119" s="11"/>
      <c r="S119" s="16">
        <f t="shared" si="13"/>
        <v>480.79999999999995</v>
      </c>
    </row>
    <row r="120" spans="1:19" ht="20.100000000000001" customHeight="1" x14ac:dyDescent="0.2">
      <c r="A120" s="41" t="s">
        <v>571</v>
      </c>
      <c r="B120" s="42">
        <v>21</v>
      </c>
      <c r="C120" s="22">
        <v>12.7</v>
      </c>
      <c r="D120" s="17"/>
      <c r="E120" s="17"/>
      <c r="F120" s="17"/>
      <c r="G120" s="17"/>
      <c r="H120" s="17"/>
      <c r="I120" s="17"/>
      <c r="J120" s="17"/>
      <c r="K120" s="17"/>
      <c r="L120" s="17">
        <v>3.3</v>
      </c>
      <c r="M120" s="17">
        <v>271</v>
      </c>
      <c r="N120" s="19">
        <v>250</v>
      </c>
      <c r="O120" s="19"/>
      <c r="P120" s="15"/>
      <c r="Q120" s="16">
        <f t="shared" ref="Q120:Q151" si="15">SUM((J120-K120))+(M120-N120)*10/L120+O120+P120</f>
        <v>63.63636363636364</v>
      </c>
      <c r="R120" s="11"/>
      <c r="S120" s="16">
        <f t="shared" si="13"/>
        <v>808.18181818181813</v>
      </c>
    </row>
    <row r="121" spans="1:19" ht="20.100000000000001" customHeight="1" x14ac:dyDescent="0.2">
      <c r="A121" s="41" t="s">
        <v>179</v>
      </c>
      <c r="B121" s="42">
        <v>21</v>
      </c>
      <c r="C121" s="22">
        <v>5.0999999999999996</v>
      </c>
      <c r="D121" s="17"/>
      <c r="E121" s="17"/>
      <c r="F121" s="17"/>
      <c r="G121" s="17"/>
      <c r="H121" s="17"/>
      <c r="I121" s="17"/>
      <c r="J121" s="17"/>
      <c r="K121" s="17">
        <v>33</v>
      </c>
      <c r="L121" s="17">
        <v>0.8</v>
      </c>
      <c r="M121" s="17">
        <v>321</v>
      </c>
      <c r="N121" s="19">
        <v>250</v>
      </c>
      <c r="O121" s="19">
        <v>1000</v>
      </c>
      <c r="P121" s="15"/>
      <c r="Q121" s="16">
        <f t="shared" si="15"/>
        <v>1854.5</v>
      </c>
      <c r="R121" s="11"/>
      <c r="S121" s="16">
        <f t="shared" si="13"/>
        <v>9457.9499999999989</v>
      </c>
    </row>
    <row r="122" spans="1:19" ht="20.100000000000001" customHeight="1" x14ac:dyDescent="0.2">
      <c r="A122" s="41" t="s">
        <v>180</v>
      </c>
      <c r="B122" s="42">
        <v>21</v>
      </c>
      <c r="C122" s="22">
        <v>5.19</v>
      </c>
      <c r="D122" s="17"/>
      <c r="E122" s="17"/>
      <c r="F122" s="17"/>
      <c r="G122" s="17"/>
      <c r="H122" s="17"/>
      <c r="I122" s="17"/>
      <c r="J122" s="17"/>
      <c r="K122" s="17">
        <v>33</v>
      </c>
      <c r="L122" s="17">
        <v>0.8</v>
      </c>
      <c r="M122" s="17">
        <v>302</v>
      </c>
      <c r="N122" s="19">
        <v>250</v>
      </c>
      <c r="O122" s="19"/>
      <c r="P122" s="15">
        <v>295</v>
      </c>
      <c r="Q122" s="16">
        <f t="shared" si="15"/>
        <v>912</v>
      </c>
      <c r="R122" s="11"/>
      <c r="S122" s="16">
        <f t="shared" si="13"/>
        <v>4733.2800000000007</v>
      </c>
    </row>
    <row r="123" spans="1:19" ht="20.100000000000001" customHeight="1" x14ac:dyDescent="0.2">
      <c r="A123" s="41" t="s">
        <v>181</v>
      </c>
      <c r="B123" s="42">
        <v>21</v>
      </c>
      <c r="C123" s="22">
        <v>5.19</v>
      </c>
      <c r="D123" s="17"/>
      <c r="E123" s="17"/>
      <c r="F123" s="17"/>
      <c r="G123" s="17"/>
      <c r="H123" s="17"/>
      <c r="I123" s="17"/>
      <c r="J123" s="17"/>
      <c r="K123" s="17">
        <v>33</v>
      </c>
      <c r="L123" s="17">
        <v>0.8</v>
      </c>
      <c r="M123" s="17">
        <v>340</v>
      </c>
      <c r="N123" s="19">
        <v>250</v>
      </c>
      <c r="O123" s="19"/>
      <c r="P123" s="15"/>
      <c r="Q123" s="16">
        <f t="shared" si="15"/>
        <v>1092</v>
      </c>
      <c r="R123" s="11"/>
      <c r="S123" s="16">
        <f t="shared" si="13"/>
        <v>5667.4800000000005</v>
      </c>
    </row>
    <row r="124" spans="1:19" ht="20.100000000000001" customHeight="1" x14ac:dyDescent="0.2">
      <c r="A124" s="41" t="s">
        <v>182</v>
      </c>
      <c r="B124" s="42">
        <v>21</v>
      </c>
      <c r="C124" s="22">
        <v>5.44</v>
      </c>
      <c r="D124" s="17"/>
      <c r="E124" s="17"/>
      <c r="F124" s="17"/>
      <c r="G124" s="17"/>
      <c r="H124" s="17"/>
      <c r="I124" s="17"/>
      <c r="J124" s="17"/>
      <c r="K124" s="17">
        <v>33</v>
      </c>
      <c r="L124" s="17">
        <v>0.9</v>
      </c>
      <c r="M124" s="17">
        <v>325</v>
      </c>
      <c r="N124" s="19">
        <v>250</v>
      </c>
      <c r="O124" s="19"/>
      <c r="P124" s="15"/>
      <c r="Q124" s="16">
        <f t="shared" si="15"/>
        <v>800.33333333333326</v>
      </c>
      <c r="R124" s="11"/>
      <c r="S124" s="16">
        <f t="shared" si="13"/>
        <v>4353.8133333333335</v>
      </c>
    </row>
    <row r="125" spans="1:19" ht="20.100000000000001" customHeight="1" x14ac:dyDescent="0.2">
      <c r="A125" s="41" t="s">
        <v>583</v>
      </c>
      <c r="B125" s="42">
        <v>21</v>
      </c>
      <c r="C125" s="22">
        <v>8.08</v>
      </c>
      <c r="D125" s="17"/>
      <c r="E125" s="17"/>
      <c r="F125" s="17"/>
      <c r="G125" s="17"/>
      <c r="H125" s="17"/>
      <c r="I125" s="17"/>
      <c r="J125" s="17"/>
      <c r="K125" s="17"/>
      <c r="L125" s="53">
        <v>3</v>
      </c>
      <c r="M125" s="17">
        <v>388</v>
      </c>
      <c r="N125" s="19">
        <v>250</v>
      </c>
      <c r="O125" s="19"/>
      <c r="P125" s="15"/>
      <c r="Q125" s="55">
        <f t="shared" si="15"/>
        <v>460</v>
      </c>
      <c r="R125" s="11"/>
      <c r="S125" s="16">
        <f t="shared" si="13"/>
        <v>3716.8</v>
      </c>
    </row>
    <row r="126" spans="1:19" ht="20.100000000000001" customHeight="1" x14ac:dyDescent="0.2">
      <c r="A126" s="43" t="s">
        <v>191</v>
      </c>
      <c r="B126" s="44">
        <v>21</v>
      </c>
      <c r="C126" s="18">
        <v>8.73</v>
      </c>
      <c r="D126" s="17"/>
      <c r="E126" s="17"/>
      <c r="F126" s="17"/>
      <c r="G126" s="17"/>
      <c r="H126" s="17"/>
      <c r="I126" s="17"/>
      <c r="J126" s="17"/>
      <c r="K126" s="17"/>
      <c r="L126" s="17">
        <v>1.7</v>
      </c>
      <c r="M126" s="17">
        <v>284</v>
      </c>
      <c r="N126" s="17">
        <v>250</v>
      </c>
      <c r="O126" s="19"/>
      <c r="P126" s="15"/>
      <c r="Q126" s="16">
        <f t="shared" si="15"/>
        <v>200</v>
      </c>
      <c r="R126" s="11"/>
      <c r="S126" s="16">
        <f t="shared" si="13"/>
        <v>1746</v>
      </c>
    </row>
    <row r="127" spans="1:19" ht="20.100000000000001" customHeight="1" x14ac:dyDescent="0.2">
      <c r="A127" s="43" t="s">
        <v>828</v>
      </c>
      <c r="B127" s="95">
        <v>21</v>
      </c>
      <c r="C127" s="27">
        <v>5.19</v>
      </c>
      <c r="D127" s="28">
        <v>3925</v>
      </c>
      <c r="E127" s="17" t="s">
        <v>197</v>
      </c>
      <c r="F127" s="17" t="s">
        <v>95</v>
      </c>
      <c r="G127" s="29" t="s">
        <v>198</v>
      </c>
      <c r="H127" s="17">
        <v>1200</v>
      </c>
      <c r="I127" s="17" t="s">
        <v>86</v>
      </c>
      <c r="J127" s="17"/>
      <c r="K127" s="17"/>
      <c r="L127" s="17">
        <v>1</v>
      </c>
      <c r="M127" s="17">
        <v>298</v>
      </c>
      <c r="N127" s="19">
        <v>250</v>
      </c>
      <c r="O127" s="19"/>
      <c r="P127" s="15"/>
      <c r="Q127" s="16">
        <f t="shared" si="15"/>
        <v>480</v>
      </c>
      <c r="R127" s="11"/>
      <c r="S127" s="16">
        <f t="shared" si="13"/>
        <v>2491.2000000000003</v>
      </c>
    </row>
    <row r="128" spans="1:19" ht="20.100000000000001" customHeight="1" x14ac:dyDescent="0.2">
      <c r="A128" s="43" t="s">
        <v>199</v>
      </c>
      <c r="B128" s="44">
        <v>21</v>
      </c>
      <c r="C128" s="18">
        <v>20</v>
      </c>
      <c r="D128" s="17"/>
      <c r="E128" s="17"/>
      <c r="F128" s="17"/>
      <c r="G128" s="17"/>
      <c r="H128" s="17"/>
      <c r="I128" s="17"/>
      <c r="J128" s="17"/>
      <c r="K128" s="17"/>
      <c r="L128" s="17">
        <v>1.3</v>
      </c>
      <c r="M128" s="17">
        <v>250</v>
      </c>
      <c r="N128" s="17">
        <v>250</v>
      </c>
      <c r="O128" s="19"/>
      <c r="P128" s="15">
        <v>233</v>
      </c>
      <c r="Q128" s="55">
        <f t="shared" si="15"/>
        <v>233</v>
      </c>
      <c r="R128" s="11"/>
      <c r="S128" s="16">
        <f t="shared" si="13"/>
        <v>4660</v>
      </c>
    </row>
    <row r="129" spans="1:19" ht="20.100000000000001" customHeight="1" x14ac:dyDescent="0.2">
      <c r="A129" s="43" t="s">
        <v>591</v>
      </c>
      <c r="B129" s="95">
        <v>21</v>
      </c>
      <c r="C129" s="27">
        <v>11.31</v>
      </c>
      <c r="D129" s="28"/>
      <c r="E129" s="17"/>
      <c r="F129" s="17"/>
      <c r="G129" s="29"/>
      <c r="H129" s="17"/>
      <c r="I129" s="17"/>
      <c r="J129" s="17"/>
      <c r="K129" s="17"/>
      <c r="L129" s="17">
        <v>0.9</v>
      </c>
      <c r="M129" s="17">
        <v>300</v>
      </c>
      <c r="N129" s="19">
        <v>250</v>
      </c>
      <c r="O129" s="19"/>
      <c r="P129" s="15"/>
      <c r="Q129" s="16">
        <f t="shared" si="15"/>
        <v>555.55555555555554</v>
      </c>
      <c r="R129" s="11"/>
      <c r="S129" s="16">
        <f t="shared" si="13"/>
        <v>6283.333333333333</v>
      </c>
    </row>
    <row r="130" spans="1:19" ht="20.100000000000001" customHeight="1" x14ac:dyDescent="0.2">
      <c r="A130" s="43" t="s">
        <v>203</v>
      </c>
      <c r="B130" s="44">
        <v>21</v>
      </c>
      <c r="C130" s="18">
        <v>6.33</v>
      </c>
      <c r="D130" s="17"/>
      <c r="E130" s="17"/>
      <c r="F130" s="17"/>
      <c r="G130" s="17"/>
      <c r="H130" s="17"/>
      <c r="I130" s="17"/>
      <c r="J130" s="17"/>
      <c r="K130" s="17"/>
      <c r="L130" s="17">
        <v>0.8</v>
      </c>
      <c r="M130" s="17"/>
      <c r="N130" s="19"/>
      <c r="O130" s="19"/>
      <c r="P130" s="15">
        <v>111</v>
      </c>
      <c r="Q130" s="16">
        <f t="shared" si="15"/>
        <v>111</v>
      </c>
      <c r="R130" s="11"/>
      <c r="S130" s="16">
        <f t="shared" si="13"/>
        <v>702.63</v>
      </c>
    </row>
    <row r="131" spans="1:19" ht="20.100000000000001" customHeight="1" x14ac:dyDescent="0.2">
      <c r="A131" s="43" t="s">
        <v>207</v>
      </c>
      <c r="B131" s="95">
        <v>21</v>
      </c>
      <c r="C131" s="27">
        <v>12.02</v>
      </c>
      <c r="D131" s="28">
        <v>7545</v>
      </c>
      <c r="E131" s="17" t="s">
        <v>208</v>
      </c>
      <c r="F131" s="17" t="s">
        <v>95</v>
      </c>
      <c r="G131" s="29" t="s">
        <v>209</v>
      </c>
      <c r="H131" s="17">
        <v>500</v>
      </c>
      <c r="I131" s="17" t="s">
        <v>86</v>
      </c>
      <c r="J131" s="17"/>
      <c r="K131" s="17"/>
      <c r="L131" s="17">
        <v>0.8</v>
      </c>
      <c r="M131" s="17"/>
      <c r="N131" s="19"/>
      <c r="O131" s="19"/>
      <c r="P131" s="15">
        <v>246</v>
      </c>
      <c r="Q131" s="55">
        <f t="shared" si="15"/>
        <v>246</v>
      </c>
      <c r="R131" s="11"/>
      <c r="S131" s="16">
        <f t="shared" si="13"/>
        <v>2956.92</v>
      </c>
    </row>
    <row r="132" spans="1:19" ht="20.100000000000001" customHeight="1" x14ac:dyDescent="0.2">
      <c r="A132" s="43" t="s">
        <v>212</v>
      </c>
      <c r="B132" s="44">
        <v>21</v>
      </c>
      <c r="C132" s="18">
        <v>7.03</v>
      </c>
      <c r="D132" s="17"/>
      <c r="E132" s="17"/>
      <c r="F132" s="17"/>
      <c r="G132" s="17"/>
      <c r="H132" s="17"/>
      <c r="I132" s="17"/>
      <c r="J132" s="17"/>
      <c r="K132" s="17"/>
      <c r="L132" s="17">
        <v>1.9</v>
      </c>
      <c r="M132" s="17">
        <v>352</v>
      </c>
      <c r="N132" s="19">
        <v>250</v>
      </c>
      <c r="O132" s="19"/>
      <c r="P132" s="15"/>
      <c r="Q132" s="16">
        <f t="shared" si="15"/>
        <v>536.84210526315792</v>
      </c>
      <c r="R132" s="11"/>
      <c r="S132" s="16">
        <f t="shared" si="13"/>
        <v>3774.0000000000005</v>
      </c>
    </row>
    <row r="133" spans="1:19" ht="20.100000000000001" customHeight="1" x14ac:dyDescent="0.2">
      <c r="A133" s="43" t="s">
        <v>648</v>
      </c>
      <c r="B133" s="44">
        <v>21</v>
      </c>
      <c r="C133" s="52">
        <v>69.239999999999995</v>
      </c>
      <c r="D133" s="53"/>
      <c r="E133" s="53"/>
      <c r="F133" s="53"/>
      <c r="G133" s="53"/>
      <c r="H133" s="53"/>
      <c r="I133" s="53"/>
      <c r="J133" s="17"/>
      <c r="K133" s="53"/>
      <c r="L133" s="53">
        <v>0</v>
      </c>
      <c r="M133" s="17"/>
      <c r="N133" s="54"/>
      <c r="O133" s="19"/>
      <c r="P133" s="15">
        <v>63</v>
      </c>
      <c r="Q133" s="16">
        <f t="shared" ref="Q133" si="16">SUM(O133:P133)</f>
        <v>63</v>
      </c>
      <c r="R133" s="56"/>
      <c r="S133" s="16">
        <f t="shared" si="13"/>
        <v>4362.12</v>
      </c>
    </row>
    <row r="134" spans="1:19" ht="20.100000000000001" customHeight="1" x14ac:dyDescent="0.2">
      <c r="A134" s="41" t="s">
        <v>214</v>
      </c>
      <c r="B134" s="42">
        <v>21</v>
      </c>
      <c r="C134" s="58">
        <v>14.07</v>
      </c>
      <c r="D134" s="53"/>
      <c r="E134" s="53"/>
      <c r="F134" s="53"/>
      <c r="G134" s="53"/>
      <c r="H134" s="53"/>
      <c r="I134" s="53"/>
      <c r="J134" s="17"/>
      <c r="K134" s="53"/>
      <c r="L134" s="53">
        <v>1</v>
      </c>
      <c r="M134" s="17">
        <v>340</v>
      </c>
      <c r="N134" s="54">
        <v>250</v>
      </c>
      <c r="O134" s="19"/>
      <c r="P134" s="15"/>
      <c r="Q134" s="16">
        <f t="shared" si="15"/>
        <v>900</v>
      </c>
      <c r="R134" s="56"/>
      <c r="S134" s="16">
        <f t="shared" si="13"/>
        <v>12663</v>
      </c>
    </row>
    <row r="135" spans="1:19" ht="20.100000000000001" customHeight="1" x14ac:dyDescent="0.2">
      <c r="A135" s="43" t="s">
        <v>597</v>
      </c>
      <c r="B135" s="44">
        <v>21</v>
      </c>
      <c r="C135" s="18">
        <v>467.5</v>
      </c>
      <c r="D135" s="17"/>
      <c r="E135" s="17"/>
      <c r="F135" s="17"/>
      <c r="G135" s="17"/>
      <c r="H135" s="17"/>
      <c r="I135" s="17"/>
      <c r="J135" s="17"/>
      <c r="K135" s="17"/>
      <c r="L135" s="17">
        <v>0</v>
      </c>
      <c r="M135" s="17"/>
      <c r="N135" s="19"/>
      <c r="O135" s="19"/>
      <c r="P135" s="15">
        <v>10</v>
      </c>
      <c r="Q135" s="16">
        <f t="shared" ref="Q135" si="17">SUM(O135:P135)</f>
        <v>10</v>
      </c>
      <c r="R135" s="11"/>
      <c r="S135" s="16">
        <f t="shared" si="13"/>
        <v>4675</v>
      </c>
    </row>
    <row r="136" spans="1:19" ht="20.100000000000001" customHeight="1" x14ac:dyDescent="0.2">
      <c r="A136" s="43" t="s">
        <v>485</v>
      </c>
      <c r="B136" s="44">
        <v>21</v>
      </c>
      <c r="C136" s="18">
        <v>8.64</v>
      </c>
      <c r="D136" s="17"/>
      <c r="E136" s="17"/>
      <c r="F136" s="17"/>
      <c r="G136" s="17"/>
      <c r="H136" s="17"/>
      <c r="I136" s="17"/>
      <c r="J136" s="17"/>
      <c r="K136" s="17"/>
      <c r="L136" s="17">
        <v>1</v>
      </c>
      <c r="M136" s="17">
        <v>281</v>
      </c>
      <c r="N136" s="19">
        <v>250</v>
      </c>
      <c r="O136" s="19"/>
      <c r="P136" s="15">
        <v>100</v>
      </c>
      <c r="Q136" s="16">
        <f t="shared" si="15"/>
        <v>410</v>
      </c>
      <c r="R136" s="11"/>
      <c r="S136" s="16">
        <f t="shared" si="13"/>
        <v>3542.4</v>
      </c>
    </row>
    <row r="137" spans="1:19" ht="20.100000000000001" customHeight="1" x14ac:dyDescent="0.2">
      <c r="A137" s="43" t="s">
        <v>486</v>
      </c>
      <c r="B137" s="44">
        <v>21</v>
      </c>
      <c r="C137" s="18">
        <v>8.16</v>
      </c>
      <c r="D137" s="17"/>
      <c r="E137" s="17"/>
      <c r="F137" s="17"/>
      <c r="G137" s="17"/>
      <c r="H137" s="17"/>
      <c r="I137" s="17"/>
      <c r="J137" s="17"/>
      <c r="K137" s="17"/>
      <c r="L137" s="17">
        <v>2.7</v>
      </c>
      <c r="M137" s="17">
        <v>430</v>
      </c>
      <c r="N137" s="19">
        <v>250</v>
      </c>
      <c r="O137" s="19"/>
      <c r="P137" s="15"/>
      <c r="Q137" s="16">
        <f t="shared" si="15"/>
        <v>666.66666666666663</v>
      </c>
      <c r="R137" s="11"/>
      <c r="S137" s="16">
        <f t="shared" si="13"/>
        <v>5440</v>
      </c>
    </row>
    <row r="138" spans="1:19" ht="20.100000000000001" customHeight="1" x14ac:dyDescent="0.2">
      <c r="A138" s="43" t="s">
        <v>603</v>
      </c>
      <c r="B138" s="44">
        <v>21</v>
      </c>
      <c r="C138" s="18">
        <v>357.42</v>
      </c>
      <c r="D138" s="17"/>
      <c r="E138" s="17"/>
      <c r="F138" s="17"/>
      <c r="G138" s="17"/>
      <c r="H138" s="17"/>
      <c r="I138" s="17"/>
      <c r="J138" s="17"/>
      <c r="K138" s="17"/>
      <c r="L138" s="17">
        <v>1.8</v>
      </c>
      <c r="M138" s="17">
        <v>386</v>
      </c>
      <c r="N138" s="19">
        <v>250</v>
      </c>
      <c r="O138" s="19"/>
      <c r="P138" s="15"/>
      <c r="Q138" s="16">
        <f t="shared" si="15"/>
        <v>755.55555555555554</v>
      </c>
      <c r="R138" s="11"/>
      <c r="S138" s="16">
        <f t="shared" si="13"/>
        <v>270050.66666666669</v>
      </c>
    </row>
    <row r="139" spans="1:19" ht="20.100000000000001" customHeight="1" x14ac:dyDescent="0.2">
      <c r="A139" s="43" t="s">
        <v>496</v>
      </c>
      <c r="B139" s="48">
        <v>21</v>
      </c>
      <c r="C139" s="18">
        <v>23.13</v>
      </c>
      <c r="D139" s="17"/>
      <c r="E139" s="17"/>
      <c r="F139" s="17"/>
      <c r="G139" s="17"/>
      <c r="H139" s="17"/>
      <c r="I139" s="17"/>
      <c r="J139" s="17"/>
      <c r="K139" s="17"/>
      <c r="L139" s="17">
        <v>2.8</v>
      </c>
      <c r="M139" s="17">
        <v>280</v>
      </c>
      <c r="N139" s="19">
        <v>250</v>
      </c>
      <c r="O139" s="19"/>
      <c r="P139" s="15"/>
      <c r="Q139" s="55">
        <f t="shared" si="15"/>
        <v>107.14285714285715</v>
      </c>
      <c r="R139" s="11"/>
      <c r="S139" s="16">
        <f t="shared" si="13"/>
        <v>2478.2142857142858</v>
      </c>
    </row>
    <row r="140" spans="1:19" ht="20.100000000000001" customHeight="1" x14ac:dyDescent="0.2">
      <c r="A140" s="43" t="s">
        <v>446</v>
      </c>
      <c r="B140" s="48">
        <v>21</v>
      </c>
      <c r="C140" s="18">
        <v>8.6</v>
      </c>
      <c r="D140" s="17"/>
      <c r="E140" s="17"/>
      <c r="F140" s="17"/>
      <c r="G140" s="17"/>
      <c r="H140" s="17"/>
      <c r="I140" s="17"/>
      <c r="J140" s="17"/>
      <c r="K140" s="17"/>
      <c r="L140" s="17">
        <v>1.9</v>
      </c>
      <c r="M140" s="17">
        <v>250</v>
      </c>
      <c r="N140" s="19">
        <v>250</v>
      </c>
      <c r="O140" s="19">
        <v>200</v>
      </c>
      <c r="P140" s="15">
        <v>100</v>
      </c>
      <c r="Q140" s="55">
        <f t="shared" si="15"/>
        <v>300</v>
      </c>
      <c r="R140" s="11"/>
      <c r="S140" s="16">
        <f t="shared" si="13"/>
        <v>2580</v>
      </c>
    </row>
    <row r="141" spans="1:19" ht="20.100000000000001" customHeight="1" x14ac:dyDescent="0.2">
      <c r="A141" s="43" t="s">
        <v>247</v>
      </c>
      <c r="B141" s="48">
        <v>21</v>
      </c>
      <c r="C141" s="18">
        <v>6.41</v>
      </c>
      <c r="D141" s="17">
        <v>660</v>
      </c>
      <c r="E141" s="17">
        <v>100</v>
      </c>
      <c r="F141" s="17">
        <v>660</v>
      </c>
      <c r="G141" s="17">
        <v>100</v>
      </c>
      <c r="H141" s="17"/>
      <c r="I141" s="17"/>
      <c r="J141" s="17"/>
      <c r="K141" s="17"/>
      <c r="L141" s="17">
        <v>1.4</v>
      </c>
      <c r="M141" s="17">
        <v>250</v>
      </c>
      <c r="N141" s="19">
        <v>250</v>
      </c>
      <c r="O141" s="19"/>
      <c r="P141" s="15">
        <v>100</v>
      </c>
      <c r="Q141" s="55">
        <f t="shared" si="15"/>
        <v>100</v>
      </c>
      <c r="R141" s="11"/>
      <c r="S141" s="16">
        <f t="shared" si="13"/>
        <v>641</v>
      </c>
    </row>
    <row r="142" spans="1:19" ht="20.100000000000001" customHeight="1" x14ac:dyDescent="0.2">
      <c r="A142" s="17" t="s">
        <v>67</v>
      </c>
      <c r="B142" s="13">
        <v>22</v>
      </c>
      <c r="C142" s="18">
        <v>5.26</v>
      </c>
      <c r="D142" s="17"/>
      <c r="E142" s="17"/>
      <c r="F142" s="17"/>
      <c r="G142" s="17"/>
      <c r="H142" s="17"/>
      <c r="I142" s="17"/>
      <c r="J142" s="17"/>
      <c r="K142" s="17"/>
      <c r="L142" s="17">
        <v>2.5</v>
      </c>
      <c r="M142" s="17">
        <v>354</v>
      </c>
      <c r="N142" s="19">
        <v>250</v>
      </c>
      <c r="O142" s="19"/>
      <c r="P142" s="15">
        <v>543</v>
      </c>
      <c r="Q142" s="16">
        <f t="shared" si="15"/>
        <v>959</v>
      </c>
      <c r="R142" s="11"/>
      <c r="S142" s="16">
        <f t="shared" si="13"/>
        <v>5044.34</v>
      </c>
    </row>
    <row r="143" spans="1:19" ht="20.100000000000001" customHeight="1" x14ac:dyDescent="0.2">
      <c r="A143" s="57" t="s">
        <v>732</v>
      </c>
      <c r="B143" s="21">
        <v>22</v>
      </c>
      <c r="C143" s="22">
        <v>51.25</v>
      </c>
      <c r="D143" s="17"/>
      <c r="E143" s="17"/>
      <c r="F143" s="17"/>
      <c r="G143" s="17"/>
      <c r="H143" s="17"/>
      <c r="I143" s="17"/>
      <c r="J143" s="17"/>
      <c r="K143" s="17"/>
      <c r="L143" s="53">
        <v>0</v>
      </c>
      <c r="M143" s="17"/>
      <c r="N143" s="19"/>
      <c r="O143" s="19"/>
      <c r="P143" s="15">
        <v>105</v>
      </c>
      <c r="Q143" s="16">
        <f t="shared" ref="Q143" si="18">SUM(O143:P143)</f>
        <v>105</v>
      </c>
      <c r="R143" s="11"/>
      <c r="S143" s="16">
        <f t="shared" si="13"/>
        <v>5381.25</v>
      </c>
    </row>
    <row r="144" spans="1:19" ht="20.100000000000001" customHeight="1" x14ac:dyDescent="0.2">
      <c r="A144" s="20" t="s">
        <v>731</v>
      </c>
      <c r="B144" s="21">
        <v>22</v>
      </c>
      <c r="C144" s="22">
        <v>27</v>
      </c>
      <c r="D144" s="17"/>
      <c r="E144" s="17"/>
      <c r="F144" s="17"/>
      <c r="G144" s="17"/>
      <c r="H144" s="17"/>
      <c r="I144" s="17"/>
      <c r="J144" s="17"/>
      <c r="K144" s="17"/>
      <c r="L144" s="17">
        <v>1.5</v>
      </c>
      <c r="M144" s="17">
        <v>375.3</v>
      </c>
      <c r="N144" s="19">
        <v>250</v>
      </c>
      <c r="O144" s="19"/>
      <c r="P144" s="15">
        <v>437</v>
      </c>
      <c r="Q144" s="16">
        <f t="shared" si="15"/>
        <v>1272.3333333333335</v>
      </c>
      <c r="R144" s="11"/>
      <c r="S144" s="16">
        <f t="shared" si="13"/>
        <v>34353.000000000007</v>
      </c>
    </row>
    <row r="145" spans="1:19" ht="20.100000000000001" customHeight="1" x14ac:dyDescent="0.2">
      <c r="A145" s="17" t="s">
        <v>482</v>
      </c>
      <c r="B145" s="13">
        <v>22</v>
      </c>
      <c r="C145" s="18">
        <v>5.07</v>
      </c>
      <c r="D145" s="17"/>
      <c r="E145" s="17"/>
      <c r="F145" s="17"/>
      <c r="G145" s="17"/>
      <c r="H145" s="17"/>
      <c r="I145" s="17"/>
      <c r="J145" s="17"/>
      <c r="K145" s="17"/>
      <c r="L145" s="17">
        <v>2.8</v>
      </c>
      <c r="M145" s="17">
        <v>375</v>
      </c>
      <c r="N145" s="19">
        <v>250</v>
      </c>
      <c r="O145" s="19">
        <v>500</v>
      </c>
      <c r="P145" s="15">
        <v>310</v>
      </c>
      <c r="Q145" s="16">
        <f t="shared" si="15"/>
        <v>1256.4285714285716</v>
      </c>
      <c r="R145" s="11"/>
      <c r="S145" s="16">
        <f t="shared" si="13"/>
        <v>6370.0928571428585</v>
      </c>
    </row>
    <row r="146" spans="1:19" ht="20.100000000000001" customHeight="1" x14ac:dyDescent="0.2">
      <c r="A146" s="17" t="s">
        <v>481</v>
      </c>
      <c r="B146" s="13">
        <v>22</v>
      </c>
      <c r="C146" s="18">
        <v>5.26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9"/>
      <c r="O146" s="19"/>
      <c r="P146" s="15">
        <v>920</v>
      </c>
      <c r="Q146" s="16">
        <f t="shared" ref="Q146" si="19">SUM(O146:P146)</f>
        <v>920</v>
      </c>
      <c r="R146" s="11"/>
      <c r="S146" s="16">
        <f t="shared" si="13"/>
        <v>4839.2</v>
      </c>
    </row>
    <row r="147" spans="1:19" ht="20.100000000000001" customHeight="1" x14ac:dyDescent="0.2">
      <c r="A147" s="17" t="s">
        <v>69</v>
      </c>
      <c r="B147" s="13">
        <v>22</v>
      </c>
      <c r="C147" s="18">
        <v>5.44</v>
      </c>
      <c r="D147" s="17"/>
      <c r="E147" s="17"/>
      <c r="F147" s="17"/>
      <c r="G147" s="17"/>
      <c r="H147" s="17"/>
      <c r="I147" s="17"/>
      <c r="J147" s="17"/>
      <c r="K147" s="17"/>
      <c r="L147" s="17">
        <v>1.9</v>
      </c>
      <c r="M147" s="17">
        <v>277</v>
      </c>
      <c r="N147" s="19">
        <v>250</v>
      </c>
      <c r="O147" s="19"/>
      <c r="P147" s="15">
        <v>610</v>
      </c>
      <c r="Q147" s="16">
        <f t="shared" si="15"/>
        <v>752.1052631578948</v>
      </c>
      <c r="R147" s="11"/>
      <c r="S147" s="16">
        <f t="shared" si="13"/>
        <v>4091.4526315789481</v>
      </c>
    </row>
    <row r="148" spans="1:19" ht="20.100000000000001" customHeight="1" x14ac:dyDescent="0.2">
      <c r="A148" s="17" t="s">
        <v>70</v>
      </c>
      <c r="B148" s="13">
        <v>22</v>
      </c>
      <c r="C148" s="18">
        <v>8.99</v>
      </c>
      <c r="D148" s="17">
        <v>1520</v>
      </c>
      <c r="E148" s="17">
        <v>100</v>
      </c>
      <c r="F148" s="17">
        <v>1520</v>
      </c>
      <c r="G148" s="17">
        <v>100</v>
      </c>
      <c r="H148" s="17"/>
      <c r="I148" s="17"/>
      <c r="J148" s="17"/>
      <c r="K148" s="17"/>
      <c r="L148" s="17">
        <v>1.3</v>
      </c>
      <c r="M148" s="17">
        <v>272</v>
      </c>
      <c r="N148" s="19">
        <v>250</v>
      </c>
      <c r="O148" s="19"/>
      <c r="P148" s="15">
        <v>100</v>
      </c>
      <c r="Q148" s="16">
        <f t="shared" si="15"/>
        <v>269.23076923076923</v>
      </c>
      <c r="R148" s="11"/>
      <c r="S148" s="16">
        <f t="shared" si="13"/>
        <v>2420.3846153846152</v>
      </c>
    </row>
    <row r="149" spans="1:19" ht="20.100000000000001" customHeight="1" x14ac:dyDescent="0.2">
      <c r="A149" s="57" t="s">
        <v>699</v>
      </c>
      <c r="B149" s="21">
        <v>22</v>
      </c>
      <c r="C149" s="22">
        <v>44.45</v>
      </c>
      <c r="D149" s="17"/>
      <c r="E149" s="17"/>
      <c r="F149" s="17"/>
      <c r="G149" s="17"/>
      <c r="H149" s="17"/>
      <c r="I149" s="17"/>
      <c r="J149" s="17"/>
      <c r="K149" s="17"/>
      <c r="L149" s="17">
        <v>1</v>
      </c>
      <c r="M149" s="17">
        <v>306</v>
      </c>
      <c r="N149" s="19">
        <v>250</v>
      </c>
      <c r="O149" s="19"/>
      <c r="P149" s="15">
        <v>658</v>
      </c>
      <c r="Q149" s="16">
        <f t="shared" si="15"/>
        <v>1218</v>
      </c>
      <c r="R149" s="11"/>
      <c r="S149" s="16">
        <f t="shared" si="13"/>
        <v>54140.100000000006</v>
      </c>
    </row>
    <row r="150" spans="1:19" ht="20.100000000000001" customHeight="1" x14ac:dyDescent="0.2">
      <c r="A150" s="57" t="s">
        <v>700</v>
      </c>
      <c r="B150" s="21">
        <v>22</v>
      </c>
      <c r="C150" s="22">
        <v>58.42</v>
      </c>
      <c r="D150" s="17"/>
      <c r="E150" s="17"/>
      <c r="F150" s="17"/>
      <c r="G150" s="17"/>
      <c r="H150" s="17"/>
      <c r="I150" s="17"/>
      <c r="J150" s="17"/>
      <c r="K150" s="17"/>
      <c r="L150" s="17">
        <v>1</v>
      </c>
      <c r="M150" s="17">
        <v>311</v>
      </c>
      <c r="N150" s="19">
        <v>250</v>
      </c>
      <c r="O150" s="19"/>
      <c r="P150" s="15">
        <v>610</v>
      </c>
      <c r="Q150" s="16">
        <f t="shared" si="15"/>
        <v>1220</v>
      </c>
      <c r="R150" s="11"/>
      <c r="S150" s="16">
        <f t="shared" si="13"/>
        <v>71272.400000000009</v>
      </c>
    </row>
    <row r="151" spans="1:19" ht="20.100000000000001" customHeight="1" x14ac:dyDescent="0.2">
      <c r="A151" s="57" t="s">
        <v>771</v>
      </c>
      <c r="B151" s="60">
        <v>22</v>
      </c>
      <c r="C151" s="58">
        <v>12.64</v>
      </c>
      <c r="D151" s="53"/>
      <c r="E151" s="53"/>
      <c r="F151" s="53"/>
      <c r="G151" s="53"/>
      <c r="H151" s="53"/>
      <c r="I151" s="53"/>
      <c r="J151" s="53"/>
      <c r="K151" s="53"/>
      <c r="L151" s="53">
        <v>2.7</v>
      </c>
      <c r="M151" s="17">
        <v>910</v>
      </c>
      <c r="N151" s="19">
        <v>250</v>
      </c>
      <c r="O151" s="19">
        <v>300</v>
      </c>
      <c r="P151" s="15">
        <v>605</v>
      </c>
      <c r="Q151" s="16">
        <f t="shared" si="15"/>
        <v>3349.4444444444443</v>
      </c>
      <c r="R151" s="11"/>
      <c r="S151" s="16">
        <f t="shared" si="13"/>
        <v>42336.977777777778</v>
      </c>
    </row>
    <row r="152" spans="1:19" ht="20.100000000000001" customHeight="1" x14ac:dyDescent="0.2">
      <c r="A152" s="57" t="s">
        <v>836</v>
      </c>
      <c r="B152" s="21">
        <v>22</v>
      </c>
      <c r="C152" s="22">
        <v>8.5</v>
      </c>
      <c r="D152" s="17"/>
      <c r="E152" s="17"/>
      <c r="F152" s="17"/>
      <c r="G152" s="17"/>
      <c r="H152" s="17"/>
      <c r="I152" s="17"/>
      <c r="J152" s="17"/>
      <c r="K152" s="17"/>
      <c r="L152" s="53">
        <v>0</v>
      </c>
      <c r="M152" s="17"/>
      <c r="N152" s="19"/>
      <c r="O152" s="19"/>
      <c r="P152" s="15">
        <v>0</v>
      </c>
      <c r="Q152" s="16">
        <f t="shared" ref="Q152" si="20">SUM(O152:P152)</f>
        <v>0</v>
      </c>
      <c r="R152" s="11"/>
      <c r="S152" s="16">
        <f t="shared" si="13"/>
        <v>0</v>
      </c>
    </row>
    <row r="153" spans="1:19" ht="20.100000000000001" customHeight="1" x14ac:dyDescent="0.2">
      <c r="A153" s="57" t="s">
        <v>72</v>
      </c>
      <c r="B153" s="13">
        <v>22</v>
      </c>
      <c r="C153" s="22">
        <v>11.51</v>
      </c>
      <c r="D153" s="17"/>
      <c r="E153" s="17"/>
      <c r="F153" s="17"/>
      <c r="G153" s="17"/>
      <c r="H153" s="17"/>
      <c r="I153" s="17"/>
      <c r="J153" s="17"/>
      <c r="K153" s="17"/>
      <c r="L153" s="17">
        <v>5</v>
      </c>
      <c r="M153" s="17"/>
      <c r="N153" s="17"/>
      <c r="O153" s="19"/>
      <c r="P153" s="15">
        <v>200</v>
      </c>
      <c r="Q153" s="16">
        <f t="shared" ref="Q153:Q160" si="21">SUM((J153-K153))+(M153-N153)*10/L153+O153+P153</f>
        <v>200</v>
      </c>
      <c r="R153" s="11"/>
      <c r="S153" s="16">
        <f t="shared" si="13"/>
        <v>2302</v>
      </c>
    </row>
    <row r="154" spans="1:19" ht="20.100000000000001" customHeight="1" x14ac:dyDescent="0.2">
      <c r="A154" s="20" t="s">
        <v>74</v>
      </c>
      <c r="B154" s="21">
        <v>22</v>
      </c>
      <c r="C154" s="22">
        <v>40.72</v>
      </c>
      <c r="D154" s="17"/>
      <c r="E154" s="17"/>
      <c r="F154" s="17"/>
      <c r="G154" s="17"/>
      <c r="H154" s="17"/>
      <c r="I154" s="17"/>
      <c r="J154" s="17"/>
      <c r="K154" s="17"/>
      <c r="L154" s="17">
        <v>0</v>
      </c>
      <c r="M154" s="17"/>
      <c r="N154" s="19"/>
      <c r="O154" s="19"/>
      <c r="P154" s="15">
        <v>44</v>
      </c>
      <c r="Q154" s="16">
        <f t="shared" ref="Q154" si="22">SUM(O154:P154)</f>
        <v>44</v>
      </c>
      <c r="R154" s="11"/>
      <c r="S154" s="16">
        <f t="shared" si="13"/>
        <v>1791.6799999999998</v>
      </c>
    </row>
    <row r="155" spans="1:19" ht="20.100000000000001" customHeight="1" x14ac:dyDescent="0.2">
      <c r="A155" s="20" t="s">
        <v>75</v>
      </c>
      <c r="B155" s="13">
        <v>22</v>
      </c>
      <c r="C155" s="22">
        <v>87.2</v>
      </c>
      <c r="D155" s="17"/>
      <c r="E155" s="17"/>
      <c r="F155" s="17"/>
      <c r="G155" s="17"/>
      <c r="H155" s="17"/>
      <c r="I155" s="17"/>
      <c r="J155" s="17"/>
      <c r="K155" s="17"/>
      <c r="L155" s="17">
        <v>2.1</v>
      </c>
      <c r="M155" s="17">
        <v>337</v>
      </c>
      <c r="N155" s="17">
        <v>250</v>
      </c>
      <c r="O155" s="19"/>
      <c r="P155" s="15">
        <v>516</v>
      </c>
      <c r="Q155" s="16">
        <f t="shared" si="21"/>
        <v>930.28571428571422</v>
      </c>
      <c r="R155" s="11"/>
      <c r="S155" s="16">
        <f t="shared" si="13"/>
        <v>81120.914285714287</v>
      </c>
    </row>
    <row r="156" spans="1:19" ht="20.100000000000001" customHeight="1" x14ac:dyDescent="0.2">
      <c r="A156" s="17" t="s">
        <v>76</v>
      </c>
      <c r="B156" s="13">
        <v>22</v>
      </c>
      <c r="C156" s="18">
        <v>8.99</v>
      </c>
      <c r="D156" s="17"/>
      <c r="E156" s="17"/>
      <c r="F156" s="17"/>
      <c r="G156" s="17"/>
      <c r="H156" s="17"/>
      <c r="I156" s="17"/>
      <c r="J156" s="17"/>
      <c r="K156" s="17"/>
      <c r="L156" s="17">
        <v>0.7</v>
      </c>
      <c r="M156" s="17">
        <v>292</v>
      </c>
      <c r="N156" s="17">
        <v>250</v>
      </c>
      <c r="O156" s="19">
        <v>500</v>
      </c>
      <c r="P156" s="15">
        <v>1901</v>
      </c>
      <c r="Q156" s="16">
        <f t="shared" si="21"/>
        <v>3001</v>
      </c>
      <c r="R156" s="11"/>
      <c r="S156" s="16">
        <f t="shared" si="13"/>
        <v>26978.99</v>
      </c>
    </row>
    <row r="157" spans="1:19" ht="20.100000000000001" customHeight="1" x14ac:dyDescent="0.2">
      <c r="A157" s="17" t="s">
        <v>492</v>
      </c>
      <c r="B157" s="13">
        <v>22</v>
      </c>
      <c r="C157" s="18">
        <v>21.12</v>
      </c>
      <c r="D157" s="17"/>
      <c r="E157" s="17"/>
      <c r="F157" s="17"/>
      <c r="G157" s="17"/>
      <c r="H157" s="17"/>
      <c r="I157" s="17"/>
      <c r="J157" s="17"/>
      <c r="K157" s="17"/>
      <c r="L157" s="17">
        <v>1.8</v>
      </c>
      <c r="M157" s="17">
        <v>277</v>
      </c>
      <c r="N157" s="17">
        <v>250</v>
      </c>
      <c r="O157" s="19">
        <v>500</v>
      </c>
      <c r="P157" s="15">
        <v>1254</v>
      </c>
      <c r="Q157" s="16">
        <f t="shared" si="21"/>
        <v>1904</v>
      </c>
      <c r="R157" s="11"/>
      <c r="S157" s="16">
        <f t="shared" si="13"/>
        <v>40212.480000000003</v>
      </c>
    </row>
    <row r="158" spans="1:19" ht="20.100000000000001" customHeight="1" x14ac:dyDescent="0.2">
      <c r="A158" s="17" t="s">
        <v>491</v>
      </c>
      <c r="B158" s="13">
        <v>22</v>
      </c>
      <c r="C158" s="18">
        <v>5.88</v>
      </c>
      <c r="D158" s="17"/>
      <c r="E158" s="17"/>
      <c r="F158" s="17"/>
      <c r="G158" s="17"/>
      <c r="H158" s="17"/>
      <c r="I158" s="17"/>
      <c r="J158" s="17"/>
      <c r="K158" s="17"/>
      <c r="L158" s="17">
        <v>0.9</v>
      </c>
      <c r="M158" s="17">
        <v>365</v>
      </c>
      <c r="N158" s="17">
        <v>250</v>
      </c>
      <c r="O158" s="19"/>
      <c r="P158" s="15">
        <v>938</v>
      </c>
      <c r="Q158" s="16">
        <f t="shared" si="21"/>
        <v>2215.7777777777778</v>
      </c>
      <c r="R158" s="11"/>
      <c r="S158" s="16">
        <f t="shared" si="13"/>
        <v>13028.773333333333</v>
      </c>
    </row>
    <row r="159" spans="1:19" ht="20.100000000000001" customHeight="1" x14ac:dyDescent="0.2">
      <c r="A159" s="17" t="s">
        <v>493</v>
      </c>
      <c r="B159" s="13">
        <v>22</v>
      </c>
      <c r="C159" s="18">
        <v>10.96</v>
      </c>
      <c r="D159" s="17"/>
      <c r="E159" s="17"/>
      <c r="F159" s="17"/>
      <c r="G159" s="17"/>
      <c r="H159" s="17"/>
      <c r="I159" s="17"/>
      <c r="J159" s="17"/>
      <c r="K159" s="17"/>
      <c r="L159" s="17">
        <v>1.4</v>
      </c>
      <c r="M159" s="17">
        <v>285</v>
      </c>
      <c r="N159" s="17">
        <v>250</v>
      </c>
      <c r="O159" s="19"/>
      <c r="P159" s="15">
        <v>1040</v>
      </c>
      <c r="Q159" s="16">
        <f t="shared" si="21"/>
        <v>1290</v>
      </c>
      <c r="R159" s="11"/>
      <c r="S159" s="16">
        <f t="shared" si="13"/>
        <v>14138.400000000001</v>
      </c>
    </row>
    <row r="160" spans="1:19" ht="20.100000000000001" customHeight="1" x14ac:dyDescent="0.2">
      <c r="A160" s="53" t="s">
        <v>773</v>
      </c>
      <c r="B160" s="51">
        <v>22</v>
      </c>
      <c r="C160" s="52">
        <v>5.3</v>
      </c>
      <c r="D160" s="53"/>
      <c r="E160" s="53"/>
      <c r="F160" s="53"/>
      <c r="G160" s="53"/>
      <c r="H160" s="53"/>
      <c r="I160" s="53"/>
      <c r="J160" s="53"/>
      <c r="K160" s="53"/>
      <c r="L160" s="53">
        <v>0.9</v>
      </c>
      <c r="M160" s="17">
        <v>277</v>
      </c>
      <c r="N160" s="17">
        <v>250</v>
      </c>
      <c r="O160" s="19"/>
      <c r="P160" s="15">
        <v>644</v>
      </c>
      <c r="Q160" s="16">
        <f t="shared" si="21"/>
        <v>944</v>
      </c>
      <c r="R160" s="11"/>
      <c r="S160" s="16">
        <f t="shared" si="13"/>
        <v>5003.2</v>
      </c>
    </row>
    <row r="161" spans="1:19" ht="20.100000000000001" customHeight="1" x14ac:dyDescent="0.2">
      <c r="A161" s="57" t="s">
        <v>765</v>
      </c>
      <c r="B161" s="13">
        <v>22</v>
      </c>
      <c r="C161" s="22">
        <v>5.3</v>
      </c>
      <c r="D161" s="17"/>
      <c r="E161" s="17"/>
      <c r="F161" s="17"/>
      <c r="G161" s="17"/>
      <c r="H161" s="17"/>
      <c r="I161" s="17"/>
      <c r="J161" s="17"/>
      <c r="K161" s="17"/>
      <c r="L161" s="17">
        <v>1.8</v>
      </c>
      <c r="M161" s="17">
        <v>571</v>
      </c>
      <c r="N161" s="17">
        <v>250</v>
      </c>
      <c r="O161" s="19"/>
      <c r="P161" s="15">
        <v>300</v>
      </c>
      <c r="Q161" s="16">
        <f t="shared" ref="Q161:Q168" si="23">SUM((J161-K161))+(M161-N161)*10/L161+O161+P161</f>
        <v>2083.333333333333</v>
      </c>
      <c r="R161" s="11"/>
      <c r="S161" s="16">
        <f t="shared" si="13"/>
        <v>11041.666666666664</v>
      </c>
    </row>
    <row r="162" spans="1:19" ht="20.100000000000001" customHeight="1" x14ac:dyDescent="0.2">
      <c r="A162" s="20" t="s">
        <v>77</v>
      </c>
      <c r="B162" s="21">
        <v>22</v>
      </c>
      <c r="C162" s="22">
        <v>6.86</v>
      </c>
      <c r="D162" s="17"/>
      <c r="E162" s="17"/>
      <c r="F162" s="17"/>
      <c r="G162" s="17"/>
      <c r="H162" s="17"/>
      <c r="I162" s="17"/>
      <c r="J162" s="17"/>
      <c r="K162" s="17"/>
      <c r="L162" s="17">
        <v>1.9</v>
      </c>
      <c r="M162" s="17">
        <v>500</v>
      </c>
      <c r="N162" s="17">
        <v>250</v>
      </c>
      <c r="O162" s="19">
        <v>1000</v>
      </c>
      <c r="P162" s="15">
        <v>0</v>
      </c>
      <c r="Q162" s="16">
        <f t="shared" si="23"/>
        <v>2315.7894736842109</v>
      </c>
      <c r="R162" s="11"/>
      <c r="S162" s="16">
        <f t="shared" si="13"/>
        <v>15886.315789473687</v>
      </c>
    </row>
    <row r="163" spans="1:19" ht="20.100000000000001" customHeight="1" x14ac:dyDescent="0.2">
      <c r="A163" s="17" t="s">
        <v>78</v>
      </c>
      <c r="B163" s="13">
        <v>22</v>
      </c>
      <c r="C163" s="18">
        <v>11.35</v>
      </c>
      <c r="D163" s="17"/>
      <c r="E163" s="17"/>
      <c r="F163" s="17"/>
      <c r="G163" s="17"/>
      <c r="H163" s="17"/>
      <c r="I163" s="17"/>
      <c r="J163" s="17"/>
      <c r="K163" s="17"/>
      <c r="L163" s="17">
        <v>5.8</v>
      </c>
      <c r="M163" s="17"/>
      <c r="N163" s="17"/>
      <c r="O163" s="19"/>
      <c r="P163" s="15">
        <v>469</v>
      </c>
      <c r="Q163" s="16">
        <f t="shared" si="23"/>
        <v>469</v>
      </c>
      <c r="R163" s="11"/>
      <c r="S163" s="16">
        <f t="shared" si="13"/>
        <v>5323.15</v>
      </c>
    </row>
    <row r="164" spans="1:19" ht="20.100000000000001" customHeight="1" x14ac:dyDescent="0.2">
      <c r="A164" s="20" t="s">
        <v>498</v>
      </c>
      <c r="B164" s="21">
        <v>22</v>
      </c>
      <c r="C164" s="22">
        <v>93.22</v>
      </c>
      <c r="D164" s="17"/>
      <c r="E164" s="17"/>
      <c r="F164" s="17"/>
      <c r="G164" s="17"/>
      <c r="H164" s="17"/>
      <c r="I164" s="17"/>
      <c r="J164" s="17"/>
      <c r="K164" s="17"/>
      <c r="L164" s="17">
        <v>1.7</v>
      </c>
      <c r="M164" s="17">
        <v>301</v>
      </c>
      <c r="N164" s="19">
        <v>250</v>
      </c>
      <c r="O164" s="19"/>
      <c r="P164" s="15">
        <v>375</v>
      </c>
      <c r="Q164" s="16">
        <f t="shared" si="23"/>
        <v>675</v>
      </c>
      <c r="R164" s="11"/>
      <c r="S164" s="16">
        <f t="shared" si="13"/>
        <v>62923.5</v>
      </c>
    </row>
    <row r="165" spans="1:19" ht="20.100000000000001" customHeight="1" x14ac:dyDescent="0.2">
      <c r="A165" s="20" t="s">
        <v>499</v>
      </c>
      <c r="B165" s="21">
        <v>22</v>
      </c>
      <c r="C165" s="22">
        <v>154.03</v>
      </c>
      <c r="D165" s="17"/>
      <c r="E165" s="17"/>
      <c r="F165" s="17"/>
      <c r="G165" s="17"/>
      <c r="H165" s="17"/>
      <c r="I165" s="17"/>
      <c r="J165" s="17"/>
      <c r="K165" s="17"/>
      <c r="L165" s="17">
        <v>3.2</v>
      </c>
      <c r="M165" s="17">
        <v>318</v>
      </c>
      <c r="N165" s="19">
        <v>250</v>
      </c>
      <c r="O165" s="19"/>
      <c r="P165" s="15">
        <v>551</v>
      </c>
      <c r="Q165" s="16">
        <f t="shared" si="23"/>
        <v>763.5</v>
      </c>
      <c r="R165" s="11"/>
      <c r="S165" s="16">
        <f t="shared" si="13"/>
        <v>117601.905</v>
      </c>
    </row>
    <row r="166" spans="1:19" ht="20.100000000000001" customHeight="1" x14ac:dyDescent="0.2">
      <c r="A166" s="53" t="s">
        <v>702</v>
      </c>
      <c r="B166" s="13">
        <v>22</v>
      </c>
      <c r="C166" s="18">
        <v>8.6999999999999993</v>
      </c>
      <c r="D166" s="17"/>
      <c r="E166" s="17"/>
      <c r="F166" s="17"/>
      <c r="G166" s="17"/>
      <c r="H166" s="17"/>
      <c r="I166" s="17"/>
      <c r="J166" s="17"/>
      <c r="K166" s="17"/>
      <c r="L166" s="17">
        <v>1</v>
      </c>
      <c r="M166" s="17">
        <v>1116</v>
      </c>
      <c r="N166" s="19">
        <v>250</v>
      </c>
      <c r="O166" s="19">
        <v>400</v>
      </c>
      <c r="P166" s="15">
        <v>489</v>
      </c>
      <c r="Q166" s="119">
        <f t="shared" si="23"/>
        <v>9549</v>
      </c>
      <c r="R166" s="11"/>
      <c r="S166" s="16">
        <f t="shared" si="13"/>
        <v>83076.299999999988</v>
      </c>
    </row>
    <row r="167" spans="1:19" ht="20.100000000000001" customHeight="1" x14ac:dyDescent="0.2">
      <c r="A167" s="17" t="s">
        <v>79</v>
      </c>
      <c r="B167" s="13">
        <v>22</v>
      </c>
      <c r="C167" s="18">
        <v>201.6</v>
      </c>
      <c r="D167" s="17"/>
      <c r="E167" s="17"/>
      <c r="F167" s="17"/>
      <c r="G167" s="17"/>
      <c r="H167" s="17"/>
      <c r="I167" s="17"/>
      <c r="J167" s="17"/>
      <c r="K167" s="17"/>
      <c r="L167" s="17">
        <v>2.8</v>
      </c>
      <c r="M167" s="17">
        <v>308</v>
      </c>
      <c r="N167" s="19">
        <v>250</v>
      </c>
      <c r="O167" s="19"/>
      <c r="P167" s="15">
        <v>137</v>
      </c>
      <c r="Q167" s="16">
        <f t="shared" si="23"/>
        <v>344.14285714285717</v>
      </c>
      <c r="R167" s="11"/>
      <c r="S167" s="16">
        <f t="shared" si="13"/>
        <v>69379.199999999997</v>
      </c>
    </row>
    <row r="168" spans="1:19" ht="20.100000000000001" customHeight="1" x14ac:dyDescent="0.2">
      <c r="A168" s="17" t="s">
        <v>80</v>
      </c>
      <c r="B168" s="13">
        <v>22</v>
      </c>
      <c r="C168" s="18">
        <v>371.36</v>
      </c>
      <c r="D168" s="17"/>
      <c r="E168" s="17"/>
      <c r="F168" s="17"/>
      <c r="G168" s="17"/>
      <c r="H168" s="17"/>
      <c r="I168" s="17"/>
      <c r="J168" s="17"/>
      <c r="K168" s="17"/>
      <c r="L168" s="17">
        <v>2.7</v>
      </c>
      <c r="M168" s="17">
        <v>322</v>
      </c>
      <c r="N168" s="19">
        <v>250</v>
      </c>
      <c r="O168" s="19"/>
      <c r="P168" s="15">
        <v>400</v>
      </c>
      <c r="Q168" s="16">
        <f t="shared" si="23"/>
        <v>666.66666666666663</v>
      </c>
      <c r="R168" s="11"/>
      <c r="S168" s="16">
        <f t="shared" si="13"/>
        <v>247573.33333333331</v>
      </c>
    </row>
    <row r="169" spans="1:19" ht="20.100000000000001" customHeight="1" x14ac:dyDescent="0.2">
      <c r="A169" s="53" t="s">
        <v>774</v>
      </c>
      <c r="B169" s="51">
        <v>22</v>
      </c>
      <c r="C169" s="52">
        <v>8.7899999999999991</v>
      </c>
      <c r="D169" s="53"/>
      <c r="E169" s="53"/>
      <c r="F169" s="53"/>
      <c r="G169" s="53"/>
      <c r="H169" s="53"/>
      <c r="I169" s="53"/>
      <c r="J169" s="53"/>
      <c r="K169" s="53"/>
      <c r="L169" s="53"/>
      <c r="M169" s="17"/>
      <c r="N169" s="17"/>
      <c r="O169" s="19"/>
      <c r="P169" s="15">
        <v>780</v>
      </c>
      <c r="Q169" s="16">
        <f t="shared" ref="Q169" si="24">SUM(O169:P169)</f>
        <v>780</v>
      </c>
      <c r="R169" s="11"/>
      <c r="S169" s="16">
        <f t="shared" si="13"/>
        <v>6856.1999999999989</v>
      </c>
    </row>
    <row r="170" spans="1:19" ht="20.100000000000001" customHeight="1" x14ac:dyDescent="0.2">
      <c r="A170" s="57" t="s">
        <v>703</v>
      </c>
      <c r="B170" s="60">
        <v>22</v>
      </c>
      <c r="C170" s="58">
        <v>46.8</v>
      </c>
      <c r="D170" s="53"/>
      <c r="E170" s="53"/>
      <c r="F170" s="53"/>
      <c r="G170" s="53"/>
      <c r="H170" s="53"/>
      <c r="I170" s="53"/>
      <c r="J170" s="53"/>
      <c r="K170" s="53"/>
      <c r="L170" s="53">
        <v>1.8</v>
      </c>
      <c r="M170" s="17">
        <v>379</v>
      </c>
      <c r="N170" s="19">
        <v>250</v>
      </c>
      <c r="O170" s="19">
        <v>300</v>
      </c>
      <c r="P170" s="15">
        <v>533</v>
      </c>
      <c r="Q170" s="16">
        <f>SUM((J170-K170))+(M170-N170)*10/L170+O170+P170</f>
        <v>1549.6666666666665</v>
      </c>
      <c r="R170" s="11"/>
      <c r="S170" s="16">
        <f t="shared" si="13"/>
        <v>72524.399999999994</v>
      </c>
    </row>
    <row r="171" spans="1:19" ht="20.100000000000001" customHeight="1" x14ac:dyDescent="0.2">
      <c r="A171" s="57" t="s">
        <v>704</v>
      </c>
      <c r="B171" s="21">
        <v>22</v>
      </c>
      <c r="C171" s="25">
        <v>7.12</v>
      </c>
      <c r="D171" s="17"/>
      <c r="E171" s="17"/>
      <c r="F171" s="17"/>
      <c r="G171" s="17"/>
      <c r="H171" s="17"/>
      <c r="I171" s="17"/>
      <c r="J171" s="17"/>
      <c r="K171" s="17"/>
      <c r="L171" s="17">
        <v>1</v>
      </c>
      <c r="M171" s="17">
        <v>290</v>
      </c>
      <c r="N171" s="19">
        <v>250</v>
      </c>
      <c r="O171" s="19"/>
      <c r="P171" s="15">
        <v>544</v>
      </c>
      <c r="Q171" s="16">
        <f>SUM((J171-K171))+(M171-N171)*10/L171+O171+P171</f>
        <v>944</v>
      </c>
      <c r="R171" s="11"/>
      <c r="S171" s="16">
        <f t="shared" si="13"/>
        <v>6721.28</v>
      </c>
    </row>
    <row r="172" spans="1:19" ht="20.100000000000001" customHeight="1" x14ac:dyDescent="0.2">
      <c r="A172" s="57" t="s">
        <v>775</v>
      </c>
      <c r="B172" s="60">
        <v>22</v>
      </c>
      <c r="C172" s="58">
        <v>37.24</v>
      </c>
      <c r="D172" s="53"/>
      <c r="E172" s="53"/>
      <c r="F172" s="53"/>
      <c r="G172" s="53"/>
      <c r="H172" s="53"/>
      <c r="I172" s="53"/>
      <c r="J172" s="53"/>
      <c r="K172" s="53"/>
      <c r="L172" s="53">
        <v>0.8</v>
      </c>
      <c r="M172" s="17">
        <v>316</v>
      </c>
      <c r="N172" s="54">
        <v>250</v>
      </c>
      <c r="O172" s="19"/>
      <c r="P172" s="15">
        <v>993</v>
      </c>
      <c r="Q172" s="16">
        <f>SUM((J172-K172))+(M172-N172)*10/L172+O172+P172</f>
        <v>1818</v>
      </c>
      <c r="R172" s="56"/>
      <c r="S172" s="16">
        <f t="shared" si="13"/>
        <v>67702.320000000007</v>
      </c>
    </row>
    <row r="173" spans="1:19" ht="20.100000000000001" customHeight="1" x14ac:dyDescent="0.2">
      <c r="A173" s="53" t="s">
        <v>706</v>
      </c>
      <c r="B173" s="51">
        <v>22</v>
      </c>
      <c r="C173" s="52">
        <v>5.4</v>
      </c>
      <c r="D173" s="53"/>
      <c r="E173" s="53"/>
      <c r="F173" s="53"/>
      <c r="G173" s="53"/>
      <c r="H173" s="53"/>
      <c r="I173" s="53"/>
      <c r="J173" s="53"/>
      <c r="K173" s="53"/>
      <c r="L173" s="53">
        <v>1.1000000000000001</v>
      </c>
      <c r="M173" s="17">
        <v>308</v>
      </c>
      <c r="N173" s="19">
        <v>250</v>
      </c>
      <c r="O173" s="19">
        <v>1000</v>
      </c>
      <c r="P173" s="15">
        <v>977</v>
      </c>
      <c r="Q173" s="16">
        <f t="shared" ref="Q173:Q212" si="25">SUM((J173-K173))+(M173-N173)*10/L173+O173+P173</f>
        <v>2504.272727272727</v>
      </c>
      <c r="R173" s="11"/>
      <c r="S173" s="16">
        <f t="shared" si="13"/>
        <v>13523.072727272727</v>
      </c>
    </row>
    <row r="174" spans="1:19" ht="20.100000000000001" customHeight="1" x14ac:dyDescent="0.2">
      <c r="A174" s="53" t="s">
        <v>707</v>
      </c>
      <c r="B174" s="51">
        <v>22</v>
      </c>
      <c r="C174" s="52">
        <v>8.3000000000000007</v>
      </c>
      <c r="D174" s="53"/>
      <c r="E174" s="53"/>
      <c r="F174" s="53"/>
      <c r="G174" s="53"/>
      <c r="H174" s="53"/>
      <c r="I174" s="53"/>
      <c r="J174" s="53"/>
      <c r="K174" s="53"/>
      <c r="L174" s="53">
        <v>1.3</v>
      </c>
      <c r="M174" s="17">
        <v>364</v>
      </c>
      <c r="N174" s="19">
        <v>250</v>
      </c>
      <c r="O174" s="19">
        <v>1000</v>
      </c>
      <c r="P174" s="15">
        <v>1156</v>
      </c>
      <c r="Q174" s="16">
        <f t="shared" si="25"/>
        <v>3032.9230769230771</v>
      </c>
      <c r="R174" s="11"/>
      <c r="S174" s="16">
        <f t="shared" si="13"/>
        <v>25173.261538461542</v>
      </c>
    </row>
    <row r="175" spans="1:19" ht="20.100000000000001" customHeight="1" x14ac:dyDescent="0.2">
      <c r="A175" s="57" t="s">
        <v>776</v>
      </c>
      <c r="B175" s="51">
        <v>22</v>
      </c>
      <c r="C175" s="58">
        <v>16.54</v>
      </c>
      <c r="D175" s="53"/>
      <c r="E175" s="53"/>
      <c r="F175" s="53"/>
      <c r="G175" s="53"/>
      <c r="H175" s="53"/>
      <c r="I175" s="53"/>
      <c r="J175" s="53"/>
      <c r="K175" s="53"/>
      <c r="L175" s="53">
        <v>1</v>
      </c>
      <c r="M175" s="17">
        <v>250</v>
      </c>
      <c r="N175" s="19">
        <v>250</v>
      </c>
      <c r="O175" s="19"/>
      <c r="P175" s="15">
        <v>200</v>
      </c>
      <c r="Q175" s="16">
        <f t="shared" ref="Q175" si="26">SUM(O175:P175)</f>
        <v>200</v>
      </c>
      <c r="R175" s="11"/>
      <c r="S175" s="16">
        <f t="shared" si="13"/>
        <v>3308</v>
      </c>
    </row>
    <row r="176" spans="1:19" ht="20.100000000000001" customHeight="1" x14ac:dyDescent="0.2">
      <c r="A176" s="17" t="s">
        <v>88</v>
      </c>
      <c r="B176" s="13">
        <v>22</v>
      </c>
      <c r="C176" s="18">
        <v>51.7</v>
      </c>
      <c r="D176" s="17">
        <v>10973</v>
      </c>
      <c r="E176" s="17">
        <v>100</v>
      </c>
      <c r="F176" s="17">
        <v>10973</v>
      </c>
      <c r="G176" s="17">
        <v>100</v>
      </c>
      <c r="H176" s="17"/>
      <c r="I176" s="17"/>
      <c r="J176" s="17"/>
      <c r="K176" s="17"/>
      <c r="L176" s="17">
        <v>2.5</v>
      </c>
      <c r="M176" s="17"/>
      <c r="N176" s="17"/>
      <c r="O176" s="19"/>
      <c r="P176" s="15">
        <v>100</v>
      </c>
      <c r="Q176" s="16">
        <f t="shared" si="25"/>
        <v>100</v>
      </c>
      <c r="R176" s="11"/>
      <c r="S176" s="16">
        <f t="shared" si="13"/>
        <v>5170</v>
      </c>
    </row>
    <row r="177" spans="1:19" ht="20.100000000000001" customHeight="1" x14ac:dyDescent="0.2">
      <c r="A177" s="53" t="s">
        <v>708</v>
      </c>
      <c r="B177" s="13">
        <v>22</v>
      </c>
      <c r="C177" s="18">
        <v>16.79</v>
      </c>
      <c r="D177" s="17"/>
      <c r="E177" s="17"/>
      <c r="F177" s="17"/>
      <c r="G177" s="17"/>
      <c r="H177" s="17"/>
      <c r="I177" s="17"/>
      <c r="J177" s="17"/>
      <c r="K177" s="17"/>
      <c r="L177" s="17">
        <v>1.8</v>
      </c>
      <c r="M177" s="17">
        <v>272</v>
      </c>
      <c r="N177" s="17">
        <v>250</v>
      </c>
      <c r="O177" s="19"/>
      <c r="P177" s="15">
        <v>458</v>
      </c>
      <c r="Q177" s="16">
        <f t="shared" si="25"/>
        <v>580.22222222222217</v>
      </c>
      <c r="R177" s="11"/>
      <c r="S177" s="16">
        <f t="shared" si="13"/>
        <v>9741.9311111111092</v>
      </c>
    </row>
    <row r="178" spans="1:19" ht="20.100000000000001" customHeight="1" x14ac:dyDescent="0.2">
      <c r="A178" s="20" t="s">
        <v>508</v>
      </c>
      <c r="B178" s="21">
        <v>22</v>
      </c>
      <c r="C178" s="22">
        <v>101.4</v>
      </c>
      <c r="D178" s="17"/>
      <c r="E178" s="17"/>
      <c r="F178" s="17"/>
      <c r="G178" s="17"/>
      <c r="H178" s="17"/>
      <c r="I178" s="17"/>
      <c r="J178" s="17"/>
      <c r="K178" s="17"/>
      <c r="L178" s="17">
        <v>0</v>
      </c>
      <c r="M178" s="17"/>
      <c r="N178" s="19"/>
      <c r="O178" s="19"/>
      <c r="P178" s="15">
        <v>673</v>
      </c>
      <c r="Q178" s="16">
        <f t="shared" ref="Q178" si="27">SUM(O178:P178)</f>
        <v>673</v>
      </c>
      <c r="R178" s="11"/>
      <c r="S178" s="16">
        <f t="shared" si="13"/>
        <v>68242.2</v>
      </c>
    </row>
    <row r="179" spans="1:19" ht="20.100000000000001" customHeight="1" x14ac:dyDescent="0.2">
      <c r="A179" s="17" t="s">
        <v>93</v>
      </c>
      <c r="B179" s="13">
        <v>22</v>
      </c>
      <c r="C179" s="18">
        <v>29.86</v>
      </c>
      <c r="D179" s="17"/>
      <c r="E179" s="17"/>
      <c r="F179" s="17"/>
      <c r="G179" s="17"/>
      <c r="H179" s="17"/>
      <c r="I179" s="17"/>
      <c r="J179" s="17"/>
      <c r="K179" s="17"/>
      <c r="L179" s="17">
        <v>3.8</v>
      </c>
      <c r="M179" s="17">
        <v>417</v>
      </c>
      <c r="N179" s="19">
        <v>250</v>
      </c>
      <c r="O179" s="19">
        <v>500</v>
      </c>
      <c r="P179" s="15">
        <v>752</v>
      </c>
      <c r="Q179" s="16">
        <f t="shared" si="25"/>
        <v>1691.4736842105262</v>
      </c>
      <c r="R179" s="11"/>
      <c r="S179" s="16">
        <f t="shared" si="13"/>
        <v>50507.404210526314</v>
      </c>
    </row>
    <row r="180" spans="1:19" ht="20.100000000000001" customHeight="1" x14ac:dyDescent="0.2">
      <c r="A180" s="17" t="s">
        <v>92</v>
      </c>
      <c r="B180" s="13">
        <v>22</v>
      </c>
      <c r="C180" s="18">
        <v>16.71</v>
      </c>
      <c r="D180" s="17"/>
      <c r="E180" s="17"/>
      <c r="F180" s="17"/>
      <c r="G180" s="17"/>
      <c r="H180" s="17"/>
      <c r="I180" s="17"/>
      <c r="J180" s="17"/>
      <c r="K180" s="17"/>
      <c r="L180" s="17">
        <v>2</v>
      </c>
      <c r="M180" s="17">
        <v>364</v>
      </c>
      <c r="N180" s="19">
        <v>250</v>
      </c>
      <c r="O180" s="19"/>
      <c r="P180" s="15">
        <v>1426</v>
      </c>
      <c r="Q180" s="16">
        <f t="shared" si="25"/>
        <v>1996</v>
      </c>
      <c r="R180" s="11"/>
      <c r="S180" s="16">
        <f t="shared" ref="S180:S243" si="28">SUM(C:C*Q:Q)</f>
        <v>33353.160000000003</v>
      </c>
    </row>
    <row r="181" spans="1:19" ht="20.100000000000001" customHeight="1" x14ac:dyDescent="0.2">
      <c r="A181" s="17" t="s">
        <v>91</v>
      </c>
      <c r="B181" s="13">
        <v>22</v>
      </c>
      <c r="C181" s="18">
        <v>8.15</v>
      </c>
      <c r="D181" s="17"/>
      <c r="E181" s="17"/>
      <c r="F181" s="17"/>
      <c r="G181" s="17"/>
      <c r="H181" s="17"/>
      <c r="I181" s="17"/>
      <c r="J181" s="17"/>
      <c r="K181" s="17"/>
      <c r="L181" s="17">
        <v>1.4</v>
      </c>
      <c r="M181" s="17">
        <v>319</v>
      </c>
      <c r="N181" s="19">
        <v>250</v>
      </c>
      <c r="O181" s="19"/>
      <c r="P181" s="15">
        <v>708</v>
      </c>
      <c r="Q181" s="16">
        <f t="shared" si="25"/>
        <v>1200.8571428571429</v>
      </c>
      <c r="R181" s="11"/>
      <c r="S181" s="16">
        <f t="shared" si="28"/>
        <v>9786.9857142857145</v>
      </c>
    </row>
    <row r="182" spans="1:19" ht="20.100000000000001" customHeight="1" x14ac:dyDescent="0.2">
      <c r="A182" s="53" t="s">
        <v>777</v>
      </c>
      <c r="B182" s="51">
        <v>22</v>
      </c>
      <c r="C182" s="52">
        <v>8.6999999999999993</v>
      </c>
      <c r="D182" s="53"/>
      <c r="E182" s="53"/>
      <c r="F182" s="53"/>
      <c r="G182" s="53"/>
      <c r="H182" s="53"/>
      <c r="I182" s="53"/>
      <c r="J182" s="53"/>
      <c r="K182" s="53"/>
      <c r="L182" s="53">
        <v>1.8</v>
      </c>
      <c r="M182" s="17">
        <v>261</v>
      </c>
      <c r="N182" s="19">
        <v>250</v>
      </c>
      <c r="O182" s="19">
        <v>100</v>
      </c>
      <c r="P182" s="15">
        <v>640</v>
      </c>
      <c r="Q182" s="16">
        <f t="shared" si="25"/>
        <v>801.11111111111109</v>
      </c>
      <c r="R182" s="11"/>
      <c r="S182" s="16">
        <f t="shared" si="28"/>
        <v>6969.6666666666661</v>
      </c>
    </row>
    <row r="183" spans="1:19" ht="20.100000000000001" customHeight="1" x14ac:dyDescent="0.2">
      <c r="A183" s="53" t="s">
        <v>96</v>
      </c>
      <c r="B183" s="13">
        <v>22</v>
      </c>
      <c r="C183" s="18">
        <v>9.09</v>
      </c>
      <c r="D183" s="17"/>
      <c r="E183" s="17"/>
      <c r="F183" s="17"/>
      <c r="G183" s="17"/>
      <c r="H183" s="17"/>
      <c r="I183" s="17"/>
      <c r="J183" s="17"/>
      <c r="K183" s="17"/>
      <c r="L183" s="17">
        <v>1.3</v>
      </c>
      <c r="M183" s="92">
        <v>298</v>
      </c>
      <c r="N183" s="17">
        <v>250</v>
      </c>
      <c r="O183" s="19"/>
      <c r="P183" s="15">
        <v>300</v>
      </c>
      <c r="Q183" s="16">
        <f t="shared" si="25"/>
        <v>669.23076923076928</v>
      </c>
      <c r="R183" s="11"/>
      <c r="S183" s="16">
        <f t="shared" si="28"/>
        <v>6083.3076923076924</v>
      </c>
    </row>
    <row r="184" spans="1:19" ht="20.100000000000001" customHeight="1" x14ac:dyDescent="0.2">
      <c r="A184" s="53" t="s">
        <v>711</v>
      </c>
      <c r="B184" s="13">
        <v>22</v>
      </c>
      <c r="C184" s="18">
        <v>27.5</v>
      </c>
      <c r="D184" s="17"/>
      <c r="E184" s="17"/>
      <c r="F184" s="17"/>
      <c r="G184" s="17"/>
      <c r="H184" s="17"/>
      <c r="I184" s="17"/>
      <c r="J184" s="17"/>
      <c r="K184" s="17"/>
      <c r="L184" s="17">
        <v>1.7</v>
      </c>
      <c r="M184" s="92">
        <v>279</v>
      </c>
      <c r="N184" s="17">
        <v>250</v>
      </c>
      <c r="O184" s="19"/>
      <c r="P184" s="15">
        <v>280</v>
      </c>
      <c r="Q184" s="16">
        <f t="shared" si="25"/>
        <v>450.58823529411768</v>
      </c>
      <c r="R184" s="11"/>
      <c r="S184" s="16">
        <f t="shared" si="28"/>
        <v>12391.176470588236</v>
      </c>
    </row>
    <row r="185" spans="1:19" ht="20.100000000000001" customHeight="1" x14ac:dyDescent="0.2">
      <c r="A185" s="53" t="s">
        <v>710</v>
      </c>
      <c r="B185" s="13">
        <v>22</v>
      </c>
      <c r="C185" s="18">
        <v>17.5</v>
      </c>
      <c r="D185" s="17"/>
      <c r="E185" s="17"/>
      <c r="F185" s="17"/>
      <c r="G185" s="17"/>
      <c r="H185" s="17"/>
      <c r="I185" s="17"/>
      <c r="J185" s="17"/>
      <c r="K185" s="17"/>
      <c r="L185" s="17">
        <v>1.2</v>
      </c>
      <c r="M185" s="92">
        <v>284</v>
      </c>
      <c r="N185" s="17">
        <v>250</v>
      </c>
      <c r="O185" s="19"/>
      <c r="P185" s="15">
        <v>1120</v>
      </c>
      <c r="Q185" s="16">
        <f t="shared" si="25"/>
        <v>1403.3333333333335</v>
      </c>
      <c r="R185" s="11"/>
      <c r="S185" s="16">
        <f t="shared" si="28"/>
        <v>24558.333333333336</v>
      </c>
    </row>
    <row r="186" spans="1:19" ht="20.100000000000001" customHeight="1" x14ac:dyDescent="0.2">
      <c r="A186" s="53" t="s">
        <v>97</v>
      </c>
      <c r="B186" s="94">
        <v>21</v>
      </c>
      <c r="C186" s="18">
        <v>5.18</v>
      </c>
      <c r="D186" s="17"/>
      <c r="E186" s="17"/>
      <c r="F186" s="17"/>
      <c r="G186" s="17"/>
      <c r="H186" s="17"/>
      <c r="I186" s="17"/>
      <c r="J186" s="17"/>
      <c r="K186" s="17"/>
      <c r="L186" s="17">
        <v>1.4</v>
      </c>
      <c r="M186" s="92">
        <v>310</v>
      </c>
      <c r="N186" s="19">
        <v>250</v>
      </c>
      <c r="O186" s="19"/>
      <c r="P186" s="15">
        <v>500</v>
      </c>
      <c r="Q186" s="16">
        <f t="shared" si="25"/>
        <v>928.57142857142867</v>
      </c>
      <c r="R186" s="11"/>
      <c r="S186" s="16">
        <f t="shared" si="28"/>
        <v>4810</v>
      </c>
    </row>
    <row r="187" spans="1:19" ht="20.100000000000001" customHeight="1" x14ac:dyDescent="0.2">
      <c r="A187" s="57" t="s">
        <v>99</v>
      </c>
      <c r="B187" s="13">
        <v>22</v>
      </c>
      <c r="C187" s="22">
        <v>9.16</v>
      </c>
      <c r="D187" s="17"/>
      <c r="E187" s="17"/>
      <c r="F187" s="17"/>
      <c r="G187" s="17"/>
      <c r="H187" s="17"/>
      <c r="I187" s="17"/>
      <c r="J187" s="17"/>
      <c r="K187" s="17"/>
      <c r="L187" s="17">
        <v>1.3</v>
      </c>
      <c r="M187" s="92">
        <v>388</v>
      </c>
      <c r="N187" s="19">
        <v>250</v>
      </c>
      <c r="O187" s="19"/>
      <c r="P187" s="15">
        <v>230</v>
      </c>
      <c r="Q187" s="16">
        <f t="shared" si="25"/>
        <v>1291.5384615384614</v>
      </c>
      <c r="R187" s="11"/>
      <c r="S187" s="16">
        <f t="shared" si="28"/>
        <v>11830.492307692308</v>
      </c>
    </row>
    <row r="188" spans="1:19" ht="20.100000000000001" customHeight="1" x14ac:dyDescent="0.2">
      <c r="A188" s="57" t="s">
        <v>100</v>
      </c>
      <c r="B188" s="21">
        <v>22</v>
      </c>
      <c r="C188" s="22">
        <v>5.97</v>
      </c>
      <c r="D188" s="17"/>
      <c r="E188" s="17"/>
      <c r="F188" s="17"/>
      <c r="G188" s="17"/>
      <c r="H188" s="17"/>
      <c r="I188" s="17"/>
      <c r="J188" s="17"/>
      <c r="K188" s="17"/>
      <c r="L188" s="17">
        <v>3.7</v>
      </c>
      <c r="M188" s="92">
        <v>267</v>
      </c>
      <c r="N188" s="19">
        <v>250</v>
      </c>
      <c r="O188" s="19"/>
      <c r="P188" s="15">
        <v>1140</v>
      </c>
      <c r="Q188" s="16">
        <f t="shared" si="25"/>
        <v>1185.9459459459461</v>
      </c>
      <c r="R188" s="11"/>
      <c r="S188" s="16">
        <f t="shared" si="28"/>
        <v>7080.0972972972977</v>
      </c>
    </row>
    <row r="189" spans="1:19" ht="20.100000000000001" customHeight="1" x14ac:dyDescent="0.2">
      <c r="A189" s="57" t="s">
        <v>101</v>
      </c>
      <c r="B189" s="13">
        <v>22</v>
      </c>
      <c r="C189" s="22">
        <v>6.09</v>
      </c>
      <c r="D189" s="17"/>
      <c r="E189" s="17"/>
      <c r="F189" s="17"/>
      <c r="G189" s="17"/>
      <c r="H189" s="17"/>
      <c r="I189" s="17"/>
      <c r="J189" s="17"/>
      <c r="K189" s="17"/>
      <c r="L189" s="17">
        <v>3</v>
      </c>
      <c r="M189" s="92">
        <v>302</v>
      </c>
      <c r="N189" s="19">
        <v>250</v>
      </c>
      <c r="O189" s="19"/>
      <c r="P189" s="15">
        <v>880</v>
      </c>
      <c r="Q189" s="16">
        <f t="shared" si="25"/>
        <v>1053.3333333333333</v>
      </c>
      <c r="R189" s="11"/>
      <c r="S189" s="16">
        <f t="shared" si="28"/>
        <v>6414.7999999999993</v>
      </c>
    </row>
    <row r="190" spans="1:19" ht="20.100000000000001" customHeight="1" x14ac:dyDescent="0.2">
      <c r="A190" s="57" t="s">
        <v>102</v>
      </c>
      <c r="B190" s="21">
        <v>22</v>
      </c>
      <c r="C190" s="22">
        <v>20.58</v>
      </c>
      <c r="D190" s="17"/>
      <c r="E190" s="17"/>
      <c r="F190" s="17"/>
      <c r="G190" s="17"/>
      <c r="H190" s="17"/>
      <c r="I190" s="17"/>
      <c r="J190" s="17"/>
      <c r="K190" s="17"/>
      <c r="L190" s="17">
        <v>1.2</v>
      </c>
      <c r="M190" s="92">
        <v>250</v>
      </c>
      <c r="N190" s="19">
        <v>250</v>
      </c>
      <c r="O190" s="19"/>
      <c r="P190" s="15">
        <v>121</v>
      </c>
      <c r="Q190" s="16">
        <f t="shared" si="25"/>
        <v>121</v>
      </c>
      <c r="R190" s="11"/>
      <c r="S190" s="16">
        <f t="shared" si="28"/>
        <v>2490.1799999999998</v>
      </c>
    </row>
    <row r="191" spans="1:19" ht="20.100000000000001" customHeight="1" x14ac:dyDescent="0.2">
      <c r="A191" s="53" t="s">
        <v>453</v>
      </c>
      <c r="B191" s="13">
        <v>22</v>
      </c>
      <c r="C191" s="18">
        <v>72.8</v>
      </c>
      <c r="D191" s="17"/>
      <c r="E191" s="17"/>
      <c r="F191" s="17"/>
      <c r="G191" s="17"/>
      <c r="H191" s="17"/>
      <c r="I191" s="17"/>
      <c r="J191" s="17"/>
      <c r="K191" s="17"/>
      <c r="L191" s="17">
        <v>1.1000000000000001</v>
      </c>
      <c r="M191" s="92">
        <v>266</v>
      </c>
      <c r="N191" s="19">
        <v>250</v>
      </c>
      <c r="O191" s="19"/>
      <c r="P191" s="15">
        <v>729</v>
      </c>
      <c r="Q191" s="16">
        <f t="shared" si="25"/>
        <v>874.4545454545455</v>
      </c>
      <c r="R191" s="11"/>
      <c r="S191" s="16">
        <f t="shared" si="28"/>
        <v>63660.290909090909</v>
      </c>
    </row>
    <row r="192" spans="1:19" ht="20.100000000000001" customHeight="1" x14ac:dyDescent="0.2">
      <c r="A192" s="53" t="s">
        <v>105</v>
      </c>
      <c r="B192" s="13">
        <v>22</v>
      </c>
      <c r="C192" s="18">
        <v>16.2</v>
      </c>
      <c r="D192" s="17"/>
      <c r="E192" s="17"/>
      <c r="F192" s="17"/>
      <c r="G192" s="17"/>
      <c r="H192" s="17"/>
      <c r="I192" s="17"/>
      <c r="J192" s="17"/>
      <c r="K192" s="17"/>
      <c r="L192" s="17">
        <v>2.5</v>
      </c>
      <c r="M192" s="92">
        <v>486</v>
      </c>
      <c r="N192" s="19">
        <v>250</v>
      </c>
      <c r="O192" s="19"/>
      <c r="P192" s="15">
        <v>1387</v>
      </c>
      <c r="Q192" s="16">
        <f t="shared" si="25"/>
        <v>2331</v>
      </c>
      <c r="R192" s="11"/>
      <c r="S192" s="16">
        <f t="shared" si="28"/>
        <v>37762.199999999997</v>
      </c>
    </row>
    <row r="193" spans="1:19" ht="20.100000000000001" customHeight="1" x14ac:dyDescent="0.2">
      <c r="A193" s="53" t="s">
        <v>103</v>
      </c>
      <c r="B193" s="13">
        <v>22</v>
      </c>
      <c r="C193" s="18">
        <v>6.27</v>
      </c>
      <c r="D193" s="17"/>
      <c r="E193" s="17"/>
      <c r="F193" s="17"/>
      <c r="G193" s="17"/>
      <c r="H193" s="17"/>
      <c r="I193" s="17"/>
      <c r="J193" s="17"/>
      <c r="K193" s="17"/>
      <c r="L193" s="17">
        <v>0.9</v>
      </c>
      <c r="M193" s="92">
        <v>280</v>
      </c>
      <c r="N193" s="19">
        <v>250</v>
      </c>
      <c r="O193" s="19"/>
      <c r="P193" s="15">
        <v>1042</v>
      </c>
      <c r="Q193" s="16">
        <f t="shared" si="25"/>
        <v>1375.3333333333333</v>
      </c>
      <c r="R193" s="11"/>
      <c r="S193" s="16">
        <f t="shared" si="28"/>
        <v>8623.3399999999983</v>
      </c>
    </row>
    <row r="194" spans="1:19" ht="20.100000000000001" customHeight="1" x14ac:dyDescent="0.2">
      <c r="A194" s="53" t="s">
        <v>511</v>
      </c>
      <c r="B194" s="13">
        <v>22</v>
      </c>
      <c r="C194" s="18">
        <v>28.31</v>
      </c>
      <c r="D194" s="17"/>
      <c r="E194" s="17"/>
      <c r="F194" s="17"/>
      <c r="G194" s="17"/>
      <c r="H194" s="17"/>
      <c r="I194" s="17"/>
      <c r="J194" s="17"/>
      <c r="K194" s="17"/>
      <c r="L194" s="17">
        <v>5.0999999999999996</v>
      </c>
      <c r="M194" s="92">
        <v>347</v>
      </c>
      <c r="N194" s="19">
        <v>250</v>
      </c>
      <c r="O194" s="19">
        <v>500</v>
      </c>
      <c r="P194" s="15">
        <v>449</v>
      </c>
      <c r="Q194" s="16">
        <f t="shared" si="25"/>
        <v>1139.1960784313726</v>
      </c>
      <c r="R194" s="11"/>
      <c r="S194" s="16">
        <f t="shared" si="28"/>
        <v>32250.640980392156</v>
      </c>
    </row>
    <row r="195" spans="1:19" ht="20.100000000000001" customHeight="1" x14ac:dyDescent="0.2">
      <c r="A195" s="53" t="s">
        <v>104</v>
      </c>
      <c r="B195" s="13">
        <v>22</v>
      </c>
      <c r="C195" s="18">
        <v>7.5</v>
      </c>
      <c r="D195" s="17"/>
      <c r="E195" s="17"/>
      <c r="F195" s="17"/>
      <c r="G195" s="17"/>
      <c r="H195" s="17"/>
      <c r="I195" s="17"/>
      <c r="J195" s="17"/>
      <c r="K195" s="17"/>
      <c r="L195" s="17">
        <v>1</v>
      </c>
      <c r="M195" s="92">
        <v>318</v>
      </c>
      <c r="N195" s="19">
        <v>250</v>
      </c>
      <c r="O195" s="19"/>
      <c r="P195" s="15">
        <v>1436</v>
      </c>
      <c r="Q195" s="16">
        <f t="shared" si="25"/>
        <v>2116</v>
      </c>
      <c r="R195" s="11"/>
      <c r="S195" s="16">
        <f t="shared" si="28"/>
        <v>15870</v>
      </c>
    </row>
    <row r="196" spans="1:19" ht="20.100000000000001" customHeight="1" x14ac:dyDescent="0.2">
      <c r="A196" s="53" t="s">
        <v>107</v>
      </c>
      <c r="B196" s="13">
        <v>22</v>
      </c>
      <c r="C196" s="18">
        <v>27.27</v>
      </c>
      <c r="D196" s="17"/>
      <c r="E196" s="17"/>
      <c r="F196" s="17"/>
      <c r="G196" s="17"/>
      <c r="H196" s="17"/>
      <c r="I196" s="17"/>
      <c r="J196" s="17"/>
      <c r="K196" s="17"/>
      <c r="L196" s="17">
        <v>2.5</v>
      </c>
      <c r="M196" s="92">
        <v>370</v>
      </c>
      <c r="N196" s="19">
        <v>250</v>
      </c>
      <c r="O196" s="19">
        <v>100</v>
      </c>
      <c r="P196" s="15">
        <v>278</v>
      </c>
      <c r="Q196" s="16">
        <f t="shared" si="25"/>
        <v>858</v>
      </c>
      <c r="R196" s="11"/>
      <c r="S196" s="16">
        <f t="shared" si="28"/>
        <v>23397.66</v>
      </c>
    </row>
    <row r="197" spans="1:19" ht="20.100000000000001" customHeight="1" x14ac:dyDescent="0.2">
      <c r="A197" s="20" t="s">
        <v>108</v>
      </c>
      <c r="B197" s="13">
        <v>22</v>
      </c>
      <c r="C197" s="22">
        <v>32.03</v>
      </c>
      <c r="D197" s="17"/>
      <c r="E197" s="17"/>
      <c r="F197" s="17"/>
      <c r="G197" s="17"/>
      <c r="H197" s="17"/>
      <c r="I197" s="17"/>
      <c r="J197" s="17"/>
      <c r="K197" s="17"/>
      <c r="L197" s="17">
        <v>1</v>
      </c>
      <c r="M197" s="92">
        <v>269</v>
      </c>
      <c r="N197" s="19">
        <v>250</v>
      </c>
      <c r="O197" s="19"/>
      <c r="P197" s="15">
        <v>211</v>
      </c>
      <c r="Q197" s="16">
        <f t="shared" si="25"/>
        <v>401</v>
      </c>
      <c r="R197" s="11"/>
      <c r="S197" s="16">
        <f t="shared" si="28"/>
        <v>12844.03</v>
      </c>
    </row>
    <row r="198" spans="1:19" ht="20.100000000000001" customHeight="1" x14ac:dyDescent="0.2">
      <c r="A198" s="20" t="s">
        <v>515</v>
      </c>
      <c r="B198" s="13">
        <v>22</v>
      </c>
      <c r="C198" s="22">
        <v>8.1</v>
      </c>
      <c r="D198" s="17"/>
      <c r="E198" s="17"/>
      <c r="F198" s="17"/>
      <c r="G198" s="17"/>
      <c r="H198" s="17"/>
      <c r="I198" s="17"/>
      <c r="J198" s="17"/>
      <c r="K198" s="17"/>
      <c r="L198" s="17">
        <v>0</v>
      </c>
      <c r="M198" s="17"/>
      <c r="N198" s="17"/>
      <c r="O198" s="19"/>
      <c r="P198" s="15">
        <v>234</v>
      </c>
      <c r="Q198" s="16">
        <f t="shared" ref="Q198" si="29">SUM(O198:P198)</f>
        <v>234</v>
      </c>
      <c r="R198" s="11"/>
      <c r="S198" s="16">
        <f t="shared" si="28"/>
        <v>1895.3999999999999</v>
      </c>
    </row>
    <row r="199" spans="1:19" ht="20.100000000000001" customHeight="1" x14ac:dyDescent="0.2">
      <c r="A199" s="53" t="s">
        <v>783</v>
      </c>
      <c r="B199" s="51">
        <v>22</v>
      </c>
      <c r="C199" s="52">
        <v>8.1999999999999993</v>
      </c>
      <c r="D199" s="53"/>
      <c r="E199" s="53"/>
      <c r="F199" s="53"/>
      <c r="G199" s="53"/>
      <c r="H199" s="53"/>
      <c r="I199" s="53"/>
      <c r="J199" s="53"/>
      <c r="K199" s="53"/>
      <c r="L199" s="53">
        <v>0.9</v>
      </c>
      <c r="M199" s="92">
        <v>284</v>
      </c>
      <c r="N199" s="19">
        <v>250</v>
      </c>
      <c r="O199" s="19"/>
      <c r="P199" s="15">
        <v>0</v>
      </c>
      <c r="Q199" s="16">
        <f t="shared" si="25"/>
        <v>377.77777777777777</v>
      </c>
      <c r="R199" s="11"/>
      <c r="S199" s="16">
        <f t="shared" si="28"/>
        <v>3097.7777777777774</v>
      </c>
    </row>
    <row r="200" spans="1:19" ht="20.100000000000001" customHeight="1" x14ac:dyDescent="0.2">
      <c r="A200" s="53" t="s">
        <v>516</v>
      </c>
      <c r="B200" s="51">
        <v>22</v>
      </c>
      <c r="C200" s="52">
        <v>27.69</v>
      </c>
      <c r="D200" s="53"/>
      <c r="E200" s="53"/>
      <c r="F200" s="53"/>
      <c r="G200" s="53"/>
      <c r="H200" s="53"/>
      <c r="I200" s="53"/>
      <c r="J200" s="53"/>
      <c r="K200" s="53"/>
      <c r="L200" s="53">
        <v>2</v>
      </c>
      <c r="M200" s="92">
        <v>300</v>
      </c>
      <c r="N200" s="19">
        <v>250</v>
      </c>
      <c r="O200" s="19"/>
      <c r="P200" s="15">
        <v>100</v>
      </c>
      <c r="Q200" s="16">
        <f t="shared" si="25"/>
        <v>350</v>
      </c>
      <c r="R200" s="11"/>
      <c r="S200" s="16">
        <f t="shared" si="28"/>
        <v>9691.5</v>
      </c>
    </row>
    <row r="201" spans="1:19" ht="20.100000000000001" customHeight="1" x14ac:dyDescent="0.2">
      <c r="A201" s="17" t="s">
        <v>839</v>
      </c>
      <c r="B201" s="13">
        <v>22</v>
      </c>
      <c r="C201" s="18">
        <v>28.63</v>
      </c>
      <c r="D201" s="17">
        <v>5032</v>
      </c>
      <c r="E201" s="17">
        <v>100</v>
      </c>
      <c r="F201" s="17">
        <v>5032</v>
      </c>
      <c r="G201" s="17">
        <v>100</v>
      </c>
      <c r="H201" s="17"/>
      <c r="I201" s="17"/>
      <c r="J201" s="17"/>
      <c r="K201" s="17"/>
      <c r="L201" s="17">
        <v>0</v>
      </c>
      <c r="M201" s="17"/>
      <c r="N201" s="17"/>
      <c r="O201" s="19"/>
      <c r="P201" s="15">
        <v>301</v>
      </c>
      <c r="Q201" s="16">
        <f t="shared" ref="Q201" si="30">SUM(O201:P201)</f>
        <v>301</v>
      </c>
      <c r="R201" s="11"/>
      <c r="S201" s="16">
        <f t="shared" si="28"/>
        <v>8617.6299999999992</v>
      </c>
    </row>
    <row r="202" spans="1:19" ht="20.100000000000001" customHeight="1" x14ac:dyDescent="0.2">
      <c r="A202" s="20" t="s">
        <v>112</v>
      </c>
      <c r="B202" s="13">
        <v>22</v>
      </c>
      <c r="C202" s="22">
        <v>39.94</v>
      </c>
      <c r="D202" s="17"/>
      <c r="E202" s="17"/>
      <c r="F202" s="17"/>
      <c r="G202" s="17"/>
      <c r="H202" s="17"/>
      <c r="I202" s="17"/>
      <c r="J202" s="17"/>
      <c r="K202" s="17"/>
      <c r="L202" s="17">
        <v>1.2</v>
      </c>
      <c r="M202" s="92">
        <v>266</v>
      </c>
      <c r="N202" s="17">
        <v>250</v>
      </c>
      <c r="O202" s="19"/>
      <c r="P202" s="15">
        <v>159</v>
      </c>
      <c r="Q202" s="16">
        <f t="shared" si="25"/>
        <v>292.33333333333337</v>
      </c>
      <c r="R202" s="11"/>
      <c r="S202" s="16">
        <f t="shared" si="28"/>
        <v>11675.793333333335</v>
      </c>
    </row>
    <row r="203" spans="1:19" ht="20.100000000000001" customHeight="1" x14ac:dyDescent="0.2">
      <c r="A203" s="20" t="s">
        <v>733</v>
      </c>
      <c r="B203" s="13">
        <v>22</v>
      </c>
      <c r="C203" s="22">
        <v>205.62</v>
      </c>
      <c r="D203" s="17"/>
      <c r="E203" s="17"/>
      <c r="F203" s="17"/>
      <c r="G203" s="17"/>
      <c r="H203" s="17"/>
      <c r="I203" s="17"/>
      <c r="J203" s="17"/>
      <c r="K203" s="17"/>
      <c r="L203" s="17">
        <v>0</v>
      </c>
      <c r="M203" s="17"/>
      <c r="N203" s="17"/>
      <c r="O203" s="19"/>
      <c r="P203" s="15">
        <v>154</v>
      </c>
      <c r="Q203" s="55">
        <f t="shared" ref="Q203" si="31">SUM(O203:P203)</f>
        <v>154</v>
      </c>
      <c r="R203" s="11"/>
      <c r="S203" s="16">
        <f t="shared" si="28"/>
        <v>31665.48</v>
      </c>
    </row>
    <row r="204" spans="1:19" ht="20.100000000000001" customHeight="1" x14ac:dyDescent="0.2">
      <c r="A204" s="20" t="s">
        <v>114</v>
      </c>
      <c r="B204" s="21">
        <v>22</v>
      </c>
      <c r="C204" s="22">
        <v>7.99</v>
      </c>
      <c r="D204" s="17"/>
      <c r="E204" s="17"/>
      <c r="F204" s="17"/>
      <c r="G204" s="17"/>
      <c r="H204" s="17"/>
      <c r="I204" s="17"/>
      <c r="J204" s="17"/>
      <c r="K204" s="17"/>
      <c r="L204" s="17">
        <v>2.2000000000000002</v>
      </c>
      <c r="M204" s="92">
        <v>456</v>
      </c>
      <c r="N204" s="19">
        <v>250</v>
      </c>
      <c r="O204" s="19"/>
      <c r="P204" s="15">
        <v>196</v>
      </c>
      <c r="Q204" s="16">
        <f t="shared" si="25"/>
        <v>1132.3636363636363</v>
      </c>
      <c r="R204" s="11"/>
      <c r="S204" s="16">
        <f t="shared" si="28"/>
        <v>9047.5854545454531</v>
      </c>
    </row>
    <row r="205" spans="1:19" ht="20.100000000000001" customHeight="1" x14ac:dyDescent="0.2">
      <c r="A205" s="20" t="s">
        <v>116</v>
      </c>
      <c r="B205" s="13">
        <v>22</v>
      </c>
      <c r="C205" s="25">
        <v>13.82</v>
      </c>
      <c r="D205" s="17"/>
      <c r="E205" s="17"/>
      <c r="F205" s="17"/>
      <c r="G205" s="17"/>
      <c r="H205" s="17"/>
      <c r="I205" s="17"/>
      <c r="J205" s="17"/>
      <c r="K205" s="17"/>
      <c r="L205" s="17">
        <v>0</v>
      </c>
      <c r="M205" s="17"/>
      <c r="N205" s="17"/>
      <c r="O205" s="19"/>
      <c r="P205" s="15">
        <v>372</v>
      </c>
      <c r="Q205" s="16">
        <f t="shared" ref="Q205" si="32">SUM(O205:P205)</f>
        <v>372</v>
      </c>
      <c r="R205" s="11"/>
      <c r="S205" s="16">
        <f t="shared" si="28"/>
        <v>5141.04</v>
      </c>
    </row>
    <row r="206" spans="1:19" ht="20.100000000000001" customHeight="1" x14ac:dyDescent="0.2">
      <c r="A206" s="20" t="s">
        <v>117</v>
      </c>
      <c r="B206" s="21">
        <v>22</v>
      </c>
      <c r="C206" s="22">
        <v>4.83</v>
      </c>
      <c r="D206" s="17"/>
      <c r="E206" s="17"/>
      <c r="F206" s="17"/>
      <c r="G206" s="17"/>
      <c r="H206" s="17"/>
      <c r="I206" s="17"/>
      <c r="J206" s="17"/>
      <c r="K206" s="17"/>
      <c r="L206" s="17">
        <v>1</v>
      </c>
      <c r="M206" s="92">
        <v>269</v>
      </c>
      <c r="N206" s="19">
        <v>250</v>
      </c>
      <c r="O206" s="19"/>
      <c r="P206" s="15">
        <v>300</v>
      </c>
      <c r="Q206" s="16">
        <f t="shared" si="25"/>
        <v>490</v>
      </c>
      <c r="R206" s="11"/>
      <c r="S206" s="16">
        <f t="shared" si="28"/>
        <v>2366.6999999999998</v>
      </c>
    </row>
    <row r="207" spans="1:19" ht="20.100000000000001" customHeight="1" x14ac:dyDescent="0.2">
      <c r="A207" s="20" t="s">
        <v>118</v>
      </c>
      <c r="B207" s="21">
        <v>22</v>
      </c>
      <c r="C207" s="22">
        <v>4.9800000000000004</v>
      </c>
      <c r="D207" s="17"/>
      <c r="E207" s="17"/>
      <c r="F207" s="17"/>
      <c r="G207" s="17"/>
      <c r="H207" s="17"/>
      <c r="I207" s="17"/>
      <c r="J207" s="17"/>
      <c r="K207" s="17"/>
      <c r="L207" s="17">
        <v>1</v>
      </c>
      <c r="M207" s="92">
        <v>282</v>
      </c>
      <c r="N207" s="19">
        <v>250</v>
      </c>
      <c r="O207" s="19"/>
      <c r="P207" s="15">
        <v>718</v>
      </c>
      <c r="Q207" s="16">
        <f t="shared" si="25"/>
        <v>1038</v>
      </c>
      <c r="R207" s="11"/>
      <c r="S207" s="16">
        <f t="shared" si="28"/>
        <v>5169.2400000000007</v>
      </c>
    </row>
    <row r="208" spans="1:19" ht="20.100000000000001" customHeight="1" x14ac:dyDescent="0.2">
      <c r="A208" s="17" t="s">
        <v>120</v>
      </c>
      <c r="B208" s="13">
        <v>22</v>
      </c>
      <c r="C208" s="18">
        <v>129.62</v>
      </c>
      <c r="D208" s="17"/>
      <c r="E208" s="17"/>
      <c r="F208" s="17"/>
      <c r="G208" s="17"/>
      <c r="H208" s="17"/>
      <c r="I208" s="17"/>
      <c r="J208" s="17"/>
      <c r="K208" s="17"/>
      <c r="L208" s="17">
        <v>0</v>
      </c>
      <c r="M208" s="17"/>
      <c r="N208" s="17"/>
      <c r="O208" s="19"/>
      <c r="P208" s="15">
        <v>224</v>
      </c>
      <c r="Q208" s="16">
        <f t="shared" ref="Q208:Q210" si="33">SUM(O208:P208)</f>
        <v>224</v>
      </c>
      <c r="R208" s="11"/>
      <c r="S208" s="16">
        <f t="shared" si="28"/>
        <v>29034.880000000001</v>
      </c>
    </row>
    <row r="209" spans="1:19" ht="20.100000000000001" customHeight="1" x14ac:dyDescent="0.2">
      <c r="A209" s="17" t="s">
        <v>122</v>
      </c>
      <c r="B209" s="13">
        <v>22</v>
      </c>
      <c r="C209" s="18">
        <v>287.94</v>
      </c>
      <c r="D209" s="17"/>
      <c r="E209" s="17"/>
      <c r="F209" s="17"/>
      <c r="G209" s="17"/>
      <c r="H209" s="17"/>
      <c r="I209" s="17"/>
      <c r="J209" s="17"/>
      <c r="K209" s="17"/>
      <c r="L209" s="17">
        <v>0</v>
      </c>
      <c r="M209" s="17"/>
      <c r="N209" s="17"/>
      <c r="O209" s="19"/>
      <c r="P209" s="15">
        <v>186</v>
      </c>
      <c r="Q209" s="16">
        <f t="shared" si="33"/>
        <v>186</v>
      </c>
      <c r="R209" s="11"/>
      <c r="S209" s="16">
        <f t="shared" si="28"/>
        <v>53556.84</v>
      </c>
    </row>
    <row r="210" spans="1:19" ht="20.100000000000001" customHeight="1" x14ac:dyDescent="0.2">
      <c r="A210" s="17" t="s">
        <v>121</v>
      </c>
      <c r="B210" s="13">
        <v>22</v>
      </c>
      <c r="C210" s="18">
        <v>189.46</v>
      </c>
      <c r="D210" s="17"/>
      <c r="E210" s="17"/>
      <c r="F210" s="17"/>
      <c r="G210" s="17"/>
      <c r="H210" s="17"/>
      <c r="I210" s="17"/>
      <c r="J210" s="17"/>
      <c r="K210" s="17"/>
      <c r="L210" s="17">
        <v>0</v>
      </c>
      <c r="M210" s="17"/>
      <c r="N210" s="17"/>
      <c r="O210" s="19"/>
      <c r="P210" s="15">
        <v>290</v>
      </c>
      <c r="Q210" s="16">
        <f t="shared" si="33"/>
        <v>290</v>
      </c>
      <c r="R210" s="11"/>
      <c r="S210" s="16">
        <f t="shared" si="28"/>
        <v>54943.4</v>
      </c>
    </row>
    <row r="211" spans="1:19" ht="20.100000000000001" customHeight="1" x14ac:dyDescent="0.2">
      <c r="A211" s="17" t="s">
        <v>123</v>
      </c>
      <c r="B211" s="26">
        <v>22</v>
      </c>
      <c r="C211" s="27">
        <v>8.99</v>
      </c>
      <c r="D211" s="28">
        <v>3855</v>
      </c>
      <c r="E211" s="17" t="s">
        <v>124</v>
      </c>
      <c r="F211" s="17" t="s">
        <v>95</v>
      </c>
      <c r="G211" s="29" t="s">
        <v>125</v>
      </c>
      <c r="H211" s="17">
        <v>500</v>
      </c>
      <c r="I211" s="17" t="s">
        <v>86</v>
      </c>
      <c r="J211" s="17"/>
      <c r="K211" s="17"/>
      <c r="L211" s="17">
        <v>1.3</v>
      </c>
      <c r="M211" s="92">
        <v>290</v>
      </c>
      <c r="N211" s="19">
        <v>250</v>
      </c>
      <c r="O211" s="19"/>
      <c r="P211" s="15">
        <v>93</v>
      </c>
      <c r="Q211" s="16">
        <f t="shared" si="25"/>
        <v>400.69230769230768</v>
      </c>
      <c r="R211" s="11"/>
      <c r="S211" s="16">
        <f t="shared" si="28"/>
        <v>3602.2238461538459</v>
      </c>
    </row>
    <row r="212" spans="1:19" ht="20.100000000000001" customHeight="1" x14ac:dyDescent="0.2">
      <c r="A212" s="17" t="s">
        <v>126</v>
      </c>
      <c r="B212" s="13">
        <v>22</v>
      </c>
      <c r="C212" s="27">
        <v>4.9000000000000004</v>
      </c>
      <c r="D212" s="28">
        <v>2650</v>
      </c>
      <c r="E212" s="17" t="s">
        <v>127</v>
      </c>
      <c r="F212" s="17" t="s">
        <v>95</v>
      </c>
      <c r="G212" s="29" t="s">
        <v>128</v>
      </c>
      <c r="H212" s="17">
        <v>1200</v>
      </c>
      <c r="I212" s="17" t="s">
        <v>86</v>
      </c>
      <c r="J212" s="17"/>
      <c r="K212" s="17"/>
      <c r="L212" s="17">
        <v>1</v>
      </c>
      <c r="M212" s="92">
        <v>287</v>
      </c>
      <c r="N212" s="19">
        <v>250</v>
      </c>
      <c r="O212" s="19"/>
      <c r="P212" s="15">
        <v>947</v>
      </c>
      <c r="Q212" s="16">
        <f t="shared" si="25"/>
        <v>1317</v>
      </c>
      <c r="R212" s="11"/>
      <c r="S212" s="16">
        <f t="shared" si="28"/>
        <v>6453.3</v>
      </c>
    </row>
    <row r="213" spans="1:19" ht="20.100000000000001" customHeight="1" x14ac:dyDescent="0.2">
      <c r="A213" s="17" t="s">
        <v>129</v>
      </c>
      <c r="B213" s="13">
        <v>22</v>
      </c>
      <c r="C213" s="18">
        <v>170.17</v>
      </c>
      <c r="D213" s="17">
        <v>149389</v>
      </c>
      <c r="E213" s="17">
        <v>350</v>
      </c>
      <c r="F213" s="17">
        <v>149389</v>
      </c>
      <c r="G213" s="17">
        <v>350</v>
      </c>
      <c r="H213" s="17"/>
      <c r="I213" s="17"/>
      <c r="J213" s="17"/>
      <c r="K213" s="17"/>
      <c r="L213" s="17">
        <v>0</v>
      </c>
      <c r="M213" s="17"/>
      <c r="N213" s="17"/>
      <c r="O213" s="19"/>
      <c r="P213" s="15">
        <v>142</v>
      </c>
      <c r="Q213" s="16">
        <f t="shared" ref="Q213:Q215" si="34">SUM(O213:P213)</f>
        <v>142</v>
      </c>
      <c r="R213" s="11"/>
      <c r="S213" s="16">
        <f t="shared" si="28"/>
        <v>24164.14</v>
      </c>
    </row>
    <row r="214" spans="1:19" ht="20.100000000000001" customHeight="1" x14ac:dyDescent="0.2">
      <c r="A214" s="17" t="s">
        <v>826</v>
      </c>
      <c r="B214" s="13">
        <v>22</v>
      </c>
      <c r="C214" s="18">
        <v>34.909999999999997</v>
      </c>
      <c r="D214" s="17"/>
      <c r="E214" s="17"/>
      <c r="F214" s="17"/>
      <c r="G214" s="17"/>
      <c r="H214" s="17"/>
      <c r="I214" s="17"/>
      <c r="J214" s="17"/>
      <c r="K214" s="17"/>
      <c r="L214" s="17">
        <v>0</v>
      </c>
      <c r="M214" s="17"/>
      <c r="N214" s="17"/>
      <c r="O214" s="19"/>
      <c r="P214" s="15">
        <v>4</v>
      </c>
      <c r="Q214" s="16">
        <f t="shared" si="34"/>
        <v>4</v>
      </c>
      <c r="R214" s="11"/>
      <c r="S214" s="16">
        <f t="shared" si="28"/>
        <v>139.63999999999999</v>
      </c>
    </row>
    <row r="215" spans="1:19" ht="20.100000000000001" customHeight="1" x14ac:dyDescent="0.2">
      <c r="A215" s="17" t="s">
        <v>130</v>
      </c>
      <c r="B215" s="13">
        <v>22</v>
      </c>
      <c r="C215" s="18">
        <v>86.09</v>
      </c>
      <c r="D215" s="17">
        <v>78751</v>
      </c>
      <c r="E215" s="17">
        <v>350</v>
      </c>
      <c r="F215" s="17">
        <v>78751</v>
      </c>
      <c r="G215" s="17">
        <v>350</v>
      </c>
      <c r="H215" s="17"/>
      <c r="I215" s="17"/>
      <c r="J215" s="17"/>
      <c r="K215" s="17"/>
      <c r="L215" s="17">
        <v>0</v>
      </c>
      <c r="M215" s="17"/>
      <c r="N215" s="17"/>
      <c r="O215" s="19"/>
      <c r="P215" s="15">
        <v>450</v>
      </c>
      <c r="Q215" s="16">
        <f t="shared" si="34"/>
        <v>450</v>
      </c>
      <c r="R215" s="11"/>
      <c r="S215" s="16">
        <f t="shared" si="28"/>
        <v>38740.5</v>
      </c>
    </row>
    <row r="216" spans="1:19" ht="20.100000000000001" customHeight="1" x14ac:dyDescent="0.2">
      <c r="A216" s="17" t="s">
        <v>495</v>
      </c>
      <c r="B216" s="11">
        <v>22</v>
      </c>
      <c r="C216" s="18">
        <v>4.7699999999999996</v>
      </c>
      <c r="D216" s="17"/>
      <c r="E216" s="17"/>
      <c r="F216" s="17"/>
      <c r="G216" s="17"/>
      <c r="H216" s="17"/>
      <c r="I216" s="17"/>
      <c r="J216" s="17"/>
      <c r="K216" s="17"/>
      <c r="L216" s="17">
        <v>2.1</v>
      </c>
      <c r="M216" s="17">
        <v>517</v>
      </c>
      <c r="N216" s="19">
        <v>250</v>
      </c>
      <c r="O216" s="19"/>
      <c r="P216" s="15">
        <v>555</v>
      </c>
      <c r="Q216" s="16">
        <f t="shared" ref="Q216:Q225" si="35">SUM((J216-K216))+(M216-N216)*10/L216+O216+P216</f>
        <v>1826.4285714285713</v>
      </c>
      <c r="R216" s="11"/>
      <c r="S216" s="16">
        <f t="shared" si="28"/>
        <v>8712.0642857142848</v>
      </c>
    </row>
    <row r="217" spans="1:19" ht="20.100000000000001" customHeight="1" x14ac:dyDescent="0.2">
      <c r="A217" s="53" t="s">
        <v>778</v>
      </c>
      <c r="B217" s="68">
        <v>22</v>
      </c>
      <c r="C217" s="69">
        <v>10.93</v>
      </c>
      <c r="D217" s="70">
        <v>15405</v>
      </c>
      <c r="E217" s="53" t="s">
        <v>124</v>
      </c>
      <c r="F217" s="53" t="s">
        <v>95</v>
      </c>
      <c r="G217" s="71" t="s">
        <v>132</v>
      </c>
      <c r="H217" s="53">
        <v>500</v>
      </c>
      <c r="I217" s="53" t="s">
        <v>86</v>
      </c>
      <c r="J217" s="53"/>
      <c r="K217" s="53"/>
      <c r="L217" s="53">
        <v>2.7</v>
      </c>
      <c r="M217" s="17">
        <v>399</v>
      </c>
      <c r="N217" s="19">
        <v>250</v>
      </c>
      <c r="O217" s="19"/>
      <c r="P217" s="15">
        <v>300</v>
      </c>
      <c r="Q217" s="16">
        <f t="shared" si="35"/>
        <v>851.85185185185185</v>
      </c>
      <c r="R217" s="11"/>
      <c r="S217" s="16">
        <f t="shared" si="28"/>
        <v>9310.7407407407409</v>
      </c>
    </row>
    <row r="218" spans="1:19" ht="20.100000000000001" customHeight="1" x14ac:dyDescent="0.2">
      <c r="A218" s="53" t="s">
        <v>133</v>
      </c>
      <c r="B218" s="51">
        <v>22</v>
      </c>
      <c r="C218" s="52">
        <v>63.08</v>
      </c>
      <c r="D218" s="53"/>
      <c r="E218" s="53"/>
      <c r="F218" s="53"/>
      <c r="G218" s="53"/>
      <c r="H218" s="53"/>
      <c r="I218" s="53"/>
      <c r="J218" s="53"/>
      <c r="K218" s="53"/>
      <c r="L218" s="53">
        <v>2</v>
      </c>
      <c r="M218" s="92">
        <v>292</v>
      </c>
      <c r="N218" s="19">
        <v>250</v>
      </c>
      <c r="O218" s="19"/>
      <c r="P218" s="15">
        <v>172</v>
      </c>
      <c r="Q218" s="16">
        <f t="shared" si="35"/>
        <v>382</v>
      </c>
      <c r="R218" s="11"/>
      <c r="S218" s="16">
        <f t="shared" si="28"/>
        <v>24096.559999999998</v>
      </c>
    </row>
    <row r="219" spans="1:19" ht="20.100000000000001" customHeight="1" x14ac:dyDescent="0.2">
      <c r="A219" s="17" t="s">
        <v>134</v>
      </c>
      <c r="B219" s="13">
        <v>22</v>
      </c>
      <c r="C219" s="18">
        <v>7.32</v>
      </c>
      <c r="D219" s="17">
        <v>1474</v>
      </c>
      <c r="E219" s="17">
        <v>100</v>
      </c>
      <c r="F219" s="17">
        <v>1474</v>
      </c>
      <c r="G219" s="17">
        <v>100</v>
      </c>
      <c r="H219" s="17"/>
      <c r="I219" s="17"/>
      <c r="J219" s="17"/>
      <c r="K219" s="17"/>
      <c r="L219" s="17">
        <v>0</v>
      </c>
      <c r="M219" s="92"/>
      <c r="N219" s="17"/>
      <c r="O219" s="19"/>
      <c r="P219" s="15">
        <v>287</v>
      </c>
      <c r="Q219" s="16">
        <f t="shared" ref="Q219" si="36">SUM(O219:P219)</f>
        <v>287</v>
      </c>
      <c r="R219" s="11"/>
      <c r="S219" s="16">
        <f t="shared" si="28"/>
        <v>2100.84</v>
      </c>
    </row>
    <row r="220" spans="1:19" ht="20.100000000000001" customHeight="1" x14ac:dyDescent="0.2">
      <c r="A220" s="20" t="s">
        <v>135</v>
      </c>
      <c r="B220" s="21">
        <v>22</v>
      </c>
      <c r="C220" s="22">
        <v>5.19</v>
      </c>
      <c r="D220" s="17"/>
      <c r="E220" s="17"/>
      <c r="F220" s="17"/>
      <c r="G220" s="17"/>
      <c r="H220" s="17"/>
      <c r="I220" s="17"/>
      <c r="J220" s="17"/>
      <c r="K220" s="17"/>
      <c r="L220" s="17">
        <v>1.2</v>
      </c>
      <c r="M220" s="92">
        <v>319</v>
      </c>
      <c r="N220" s="19">
        <v>250</v>
      </c>
      <c r="O220" s="19"/>
      <c r="P220" s="15">
        <v>200</v>
      </c>
      <c r="Q220" s="16">
        <f t="shared" si="35"/>
        <v>775</v>
      </c>
      <c r="R220" s="11"/>
      <c r="S220" s="16">
        <f t="shared" si="28"/>
        <v>4022.2500000000005</v>
      </c>
    </row>
    <row r="221" spans="1:19" ht="20.100000000000001" customHeight="1" x14ac:dyDescent="0.2">
      <c r="A221" s="20" t="s">
        <v>136</v>
      </c>
      <c r="B221" s="21">
        <v>22</v>
      </c>
      <c r="C221" s="22">
        <v>7.13</v>
      </c>
      <c r="D221" s="17"/>
      <c r="E221" s="17"/>
      <c r="F221" s="17"/>
      <c r="G221" s="17"/>
      <c r="H221" s="17"/>
      <c r="I221" s="17"/>
      <c r="J221" s="17"/>
      <c r="K221" s="17"/>
      <c r="L221" s="17">
        <v>2.5</v>
      </c>
      <c r="M221" s="17">
        <v>370</v>
      </c>
      <c r="N221" s="19">
        <v>250</v>
      </c>
      <c r="O221" s="19"/>
      <c r="P221" s="15">
        <v>256</v>
      </c>
      <c r="Q221" s="16">
        <f t="shared" si="35"/>
        <v>736</v>
      </c>
      <c r="R221" s="11"/>
      <c r="S221" s="16">
        <f t="shared" si="28"/>
        <v>5247.68</v>
      </c>
    </row>
    <row r="222" spans="1:19" ht="20.100000000000001" customHeight="1" x14ac:dyDescent="0.2">
      <c r="A222" s="20" t="s">
        <v>137</v>
      </c>
      <c r="B222" s="13">
        <v>22</v>
      </c>
      <c r="C222" s="18">
        <v>5.71</v>
      </c>
      <c r="D222" s="17"/>
      <c r="E222" s="17"/>
      <c r="F222" s="17"/>
      <c r="G222" s="17"/>
      <c r="H222" s="17"/>
      <c r="I222" s="17"/>
      <c r="J222" s="17"/>
      <c r="K222" s="17"/>
      <c r="L222" s="17">
        <v>1.2</v>
      </c>
      <c r="M222" s="17">
        <v>479</v>
      </c>
      <c r="N222" s="19">
        <v>250</v>
      </c>
      <c r="O222" s="19"/>
      <c r="P222" s="15">
        <v>640</v>
      </c>
      <c r="Q222" s="16">
        <f t="shared" si="35"/>
        <v>2548.3333333333335</v>
      </c>
      <c r="R222" s="11"/>
      <c r="S222" s="16">
        <f t="shared" si="28"/>
        <v>14550.983333333334</v>
      </c>
    </row>
    <row r="223" spans="1:19" ht="20.100000000000001" customHeight="1" x14ac:dyDescent="0.2">
      <c r="A223" s="17" t="s">
        <v>138</v>
      </c>
      <c r="B223" s="13">
        <v>22</v>
      </c>
      <c r="C223" s="18">
        <v>14.9</v>
      </c>
      <c r="D223" s="17"/>
      <c r="E223" s="17"/>
      <c r="F223" s="17"/>
      <c r="G223" s="17"/>
      <c r="H223" s="17"/>
      <c r="I223" s="17"/>
      <c r="J223" s="17"/>
      <c r="K223" s="17"/>
      <c r="L223" s="17">
        <v>0.8</v>
      </c>
      <c r="M223" s="92">
        <v>324</v>
      </c>
      <c r="N223" s="19">
        <v>250</v>
      </c>
      <c r="O223" s="19"/>
      <c r="P223" s="15">
        <v>336</v>
      </c>
      <c r="Q223" s="16">
        <f t="shared" si="35"/>
        <v>1261</v>
      </c>
      <c r="R223" s="11"/>
      <c r="S223" s="16">
        <f t="shared" si="28"/>
        <v>18788.900000000001</v>
      </c>
    </row>
    <row r="224" spans="1:19" ht="20.100000000000001" customHeight="1" x14ac:dyDescent="0.2">
      <c r="A224" s="20" t="s">
        <v>139</v>
      </c>
      <c r="B224" s="21">
        <v>22</v>
      </c>
      <c r="C224" s="22">
        <v>4.95</v>
      </c>
      <c r="D224" s="17"/>
      <c r="E224" s="17"/>
      <c r="F224" s="17"/>
      <c r="G224" s="17"/>
      <c r="H224" s="17"/>
      <c r="I224" s="17"/>
      <c r="J224" s="17"/>
      <c r="K224" s="17"/>
      <c r="L224" s="17">
        <v>0.8</v>
      </c>
      <c r="M224" s="92">
        <v>322</v>
      </c>
      <c r="N224" s="19">
        <v>250</v>
      </c>
      <c r="O224" s="19"/>
      <c r="P224" s="15">
        <v>549</v>
      </c>
      <c r="Q224" s="16">
        <f t="shared" si="35"/>
        <v>1449</v>
      </c>
      <c r="R224" s="11"/>
      <c r="S224" s="16">
        <f t="shared" si="28"/>
        <v>7172.55</v>
      </c>
    </row>
    <row r="225" spans="1:19" ht="20.100000000000001" customHeight="1" x14ac:dyDescent="0.2">
      <c r="A225" s="20" t="s">
        <v>140</v>
      </c>
      <c r="B225" s="21">
        <v>22</v>
      </c>
      <c r="C225" s="22">
        <v>5.04</v>
      </c>
      <c r="D225" s="17"/>
      <c r="E225" s="17"/>
      <c r="F225" s="17"/>
      <c r="G225" s="17"/>
      <c r="H225" s="17"/>
      <c r="I225" s="17"/>
      <c r="J225" s="17"/>
      <c r="K225" s="17"/>
      <c r="L225" s="17">
        <v>1.2</v>
      </c>
      <c r="M225" s="92">
        <v>342</v>
      </c>
      <c r="N225" s="19">
        <v>250</v>
      </c>
      <c r="O225" s="19"/>
      <c r="P225" s="15">
        <v>706</v>
      </c>
      <c r="Q225" s="16">
        <f t="shared" si="35"/>
        <v>1472.6666666666667</v>
      </c>
      <c r="R225" s="11"/>
      <c r="S225" s="16">
        <f t="shared" si="28"/>
        <v>7422.2400000000007</v>
      </c>
    </row>
    <row r="226" spans="1:19" ht="20.100000000000001" customHeight="1" x14ac:dyDescent="0.2">
      <c r="A226" s="57" t="s">
        <v>841</v>
      </c>
      <c r="B226" s="60">
        <v>22</v>
      </c>
      <c r="C226" s="58">
        <v>14.26</v>
      </c>
      <c r="D226" s="53"/>
      <c r="E226" s="53"/>
      <c r="F226" s="53"/>
      <c r="G226" s="53"/>
      <c r="H226" s="53"/>
      <c r="I226" s="53"/>
      <c r="J226" s="53"/>
      <c r="K226" s="53"/>
      <c r="L226" s="53">
        <v>0.8</v>
      </c>
      <c r="M226" s="92">
        <v>322</v>
      </c>
      <c r="N226" s="19">
        <v>250</v>
      </c>
      <c r="O226" s="19"/>
      <c r="P226" s="15">
        <v>510</v>
      </c>
      <c r="Q226" s="16">
        <f t="shared" ref="Q226" si="37">SUM(O226:P226)</f>
        <v>510</v>
      </c>
      <c r="R226" s="11"/>
      <c r="S226" s="16">
        <f t="shared" si="28"/>
        <v>7272.5999999999995</v>
      </c>
    </row>
    <row r="227" spans="1:19" ht="20.100000000000001" customHeight="1" x14ac:dyDescent="0.2">
      <c r="A227" s="53" t="s">
        <v>522</v>
      </c>
      <c r="B227" s="56">
        <v>22</v>
      </c>
      <c r="C227" s="52">
        <v>5.43</v>
      </c>
      <c r="D227" s="53">
        <v>30000</v>
      </c>
      <c r="E227" s="53">
        <v>500</v>
      </c>
      <c r="F227" s="53">
        <v>30000</v>
      </c>
      <c r="G227" s="53">
        <v>500</v>
      </c>
      <c r="H227" s="53"/>
      <c r="I227" s="53"/>
      <c r="J227" s="53"/>
      <c r="K227" s="53"/>
      <c r="L227" s="53">
        <v>1.8</v>
      </c>
      <c r="M227" s="92">
        <v>304</v>
      </c>
      <c r="N227" s="19">
        <v>250</v>
      </c>
      <c r="O227" s="19">
        <v>500</v>
      </c>
      <c r="P227" s="15">
        <v>726</v>
      </c>
      <c r="Q227" s="16">
        <f t="shared" ref="Q227:Q232" si="38">SUM((J227-K227))+(M227-N227)*10/L227+O227+P227</f>
        <v>1526</v>
      </c>
      <c r="R227" s="11"/>
      <c r="S227" s="16">
        <f t="shared" si="28"/>
        <v>8286.18</v>
      </c>
    </row>
    <row r="228" spans="1:19" ht="20.100000000000001" customHeight="1" x14ac:dyDescent="0.2">
      <c r="A228" s="53" t="s">
        <v>712</v>
      </c>
      <c r="B228" s="51">
        <v>22</v>
      </c>
      <c r="C228" s="52">
        <v>4.2300000000000004</v>
      </c>
      <c r="D228" s="53"/>
      <c r="E228" s="53"/>
      <c r="F228" s="53"/>
      <c r="G228" s="53"/>
      <c r="H228" s="53"/>
      <c r="I228" s="53"/>
      <c r="J228" s="53"/>
      <c r="K228" s="53"/>
      <c r="L228" s="53">
        <v>2</v>
      </c>
      <c r="M228" s="92">
        <v>398</v>
      </c>
      <c r="N228" s="19">
        <v>250</v>
      </c>
      <c r="O228" s="19"/>
      <c r="P228" s="15">
        <v>1527</v>
      </c>
      <c r="Q228" s="16">
        <f t="shared" si="38"/>
        <v>2267</v>
      </c>
      <c r="R228" s="11"/>
      <c r="S228" s="16">
        <f t="shared" si="28"/>
        <v>9589.4100000000017</v>
      </c>
    </row>
    <row r="229" spans="1:19" ht="20.100000000000001" customHeight="1" x14ac:dyDescent="0.2">
      <c r="A229" s="17" t="s">
        <v>425</v>
      </c>
      <c r="B229" s="13">
        <v>22</v>
      </c>
      <c r="C229" s="18">
        <v>5.79</v>
      </c>
      <c r="D229" s="17"/>
      <c r="E229" s="17"/>
      <c r="F229" s="17"/>
      <c r="G229" s="17"/>
      <c r="H229" s="17"/>
      <c r="I229" s="17"/>
      <c r="J229" s="17"/>
      <c r="K229" s="17"/>
      <c r="L229" s="17">
        <v>1.8</v>
      </c>
      <c r="M229" s="17">
        <v>263</v>
      </c>
      <c r="N229" s="19">
        <v>250</v>
      </c>
      <c r="O229" s="19"/>
      <c r="P229" s="15">
        <v>332</v>
      </c>
      <c r="Q229" s="16">
        <f t="shared" si="38"/>
        <v>404.22222222222223</v>
      </c>
      <c r="R229" s="11"/>
      <c r="S229" s="16">
        <f t="shared" si="28"/>
        <v>2340.4466666666667</v>
      </c>
    </row>
    <row r="230" spans="1:19" ht="20.100000000000001" customHeight="1" x14ac:dyDescent="0.2">
      <c r="A230" s="17" t="s">
        <v>454</v>
      </c>
      <c r="B230" s="13">
        <v>22</v>
      </c>
      <c r="C230" s="18">
        <v>2171</v>
      </c>
      <c r="D230" s="17"/>
      <c r="E230" s="17"/>
      <c r="F230" s="17"/>
      <c r="G230" s="17"/>
      <c r="H230" s="17"/>
      <c r="I230" s="17"/>
      <c r="J230" s="17"/>
      <c r="K230" s="17"/>
      <c r="L230" s="17">
        <v>0</v>
      </c>
      <c r="M230" s="17"/>
      <c r="N230" s="19"/>
      <c r="O230" s="19"/>
      <c r="P230" s="15">
        <v>274</v>
      </c>
      <c r="Q230" s="16">
        <f t="shared" ref="Q230" si="39">SUM(O230:P230)</f>
        <v>274</v>
      </c>
      <c r="R230" s="11"/>
      <c r="S230" s="16">
        <f t="shared" si="28"/>
        <v>594854</v>
      </c>
    </row>
    <row r="231" spans="1:19" ht="20.100000000000001" customHeight="1" x14ac:dyDescent="0.2">
      <c r="A231" s="20" t="s">
        <v>143</v>
      </c>
      <c r="B231" s="21">
        <v>22</v>
      </c>
      <c r="C231" s="22">
        <v>5.22</v>
      </c>
      <c r="D231" s="17"/>
      <c r="E231" s="17"/>
      <c r="F231" s="17"/>
      <c r="G231" s="17"/>
      <c r="H231" s="17"/>
      <c r="I231" s="17"/>
      <c r="J231" s="17"/>
      <c r="K231" s="17"/>
      <c r="L231" s="17">
        <v>1.2</v>
      </c>
      <c r="M231" s="92">
        <v>347</v>
      </c>
      <c r="N231" s="19">
        <v>250</v>
      </c>
      <c r="O231" s="19"/>
      <c r="P231" s="15">
        <v>1258</v>
      </c>
      <c r="Q231" s="16">
        <f t="shared" si="38"/>
        <v>2066.3333333333335</v>
      </c>
      <c r="R231" s="11"/>
      <c r="S231" s="16">
        <f t="shared" si="28"/>
        <v>10786.26</v>
      </c>
    </row>
    <row r="232" spans="1:19" ht="20.100000000000001" customHeight="1" x14ac:dyDescent="0.2">
      <c r="A232" s="20" t="s">
        <v>144</v>
      </c>
      <c r="B232" s="21">
        <v>22</v>
      </c>
      <c r="C232" s="22">
        <v>7.62</v>
      </c>
      <c r="D232" s="17"/>
      <c r="E232" s="17"/>
      <c r="F232" s="17"/>
      <c r="G232" s="17"/>
      <c r="H232" s="17"/>
      <c r="I232" s="17"/>
      <c r="J232" s="17"/>
      <c r="K232" s="17"/>
      <c r="L232" s="17">
        <v>1.3</v>
      </c>
      <c r="M232" s="92">
        <v>309</v>
      </c>
      <c r="N232" s="19">
        <v>250</v>
      </c>
      <c r="O232" s="19">
        <v>500</v>
      </c>
      <c r="P232" s="15">
        <v>839</v>
      </c>
      <c r="Q232" s="16">
        <f t="shared" si="38"/>
        <v>1792.8461538461538</v>
      </c>
      <c r="R232" s="11"/>
      <c r="S232" s="16">
        <f t="shared" si="28"/>
        <v>13661.487692307692</v>
      </c>
    </row>
    <row r="233" spans="1:19" ht="20.100000000000001" customHeight="1" x14ac:dyDescent="0.2">
      <c r="A233" s="57" t="s">
        <v>781</v>
      </c>
      <c r="B233" s="60">
        <v>22</v>
      </c>
      <c r="C233" s="58">
        <v>30.95</v>
      </c>
      <c r="D233" s="53"/>
      <c r="E233" s="53"/>
      <c r="F233" s="53"/>
      <c r="G233" s="53"/>
      <c r="H233" s="53"/>
      <c r="I233" s="53"/>
      <c r="J233" s="53"/>
      <c r="K233" s="53"/>
      <c r="L233" s="53">
        <v>1.5</v>
      </c>
      <c r="M233" s="53"/>
      <c r="N233" s="19"/>
      <c r="O233" s="19"/>
      <c r="P233" s="15">
        <v>285</v>
      </c>
      <c r="Q233" s="16">
        <f t="shared" ref="Q233:Q234" si="40">SUM(O233:P233)</f>
        <v>285</v>
      </c>
      <c r="R233" s="11"/>
      <c r="S233" s="16">
        <f t="shared" si="28"/>
        <v>8820.75</v>
      </c>
    </row>
    <row r="234" spans="1:19" ht="20.100000000000001" customHeight="1" x14ac:dyDescent="0.2">
      <c r="A234" s="57" t="s">
        <v>779</v>
      </c>
      <c r="B234" s="60">
        <v>22</v>
      </c>
      <c r="C234" s="58">
        <v>85.3</v>
      </c>
      <c r="D234" s="53"/>
      <c r="E234" s="53"/>
      <c r="F234" s="53"/>
      <c r="G234" s="53"/>
      <c r="H234" s="53"/>
      <c r="I234" s="53"/>
      <c r="J234" s="53"/>
      <c r="K234" s="53"/>
      <c r="L234" s="53">
        <v>2.2000000000000002</v>
      </c>
      <c r="M234" s="53">
        <v>250</v>
      </c>
      <c r="N234" s="19">
        <v>250</v>
      </c>
      <c r="O234" s="19">
        <v>200</v>
      </c>
      <c r="P234" s="15">
        <v>172</v>
      </c>
      <c r="Q234" s="16">
        <f t="shared" si="40"/>
        <v>372</v>
      </c>
      <c r="R234" s="11"/>
      <c r="S234" s="16">
        <f t="shared" si="28"/>
        <v>31731.599999999999</v>
      </c>
    </row>
    <row r="235" spans="1:19" ht="20.100000000000001" customHeight="1" x14ac:dyDescent="0.2">
      <c r="A235" s="57" t="s">
        <v>780</v>
      </c>
      <c r="B235" s="60">
        <v>22</v>
      </c>
      <c r="C235" s="58">
        <v>127.6</v>
      </c>
      <c r="D235" s="53"/>
      <c r="E235" s="53"/>
      <c r="F235" s="53"/>
      <c r="G235" s="53"/>
      <c r="H235" s="53"/>
      <c r="I235" s="53"/>
      <c r="J235" s="53"/>
      <c r="K235" s="53"/>
      <c r="L235" s="53">
        <v>4.4000000000000004</v>
      </c>
      <c r="M235" s="53">
        <v>312</v>
      </c>
      <c r="N235" s="19">
        <v>250</v>
      </c>
      <c r="O235" s="19"/>
      <c r="P235" s="15">
        <v>200</v>
      </c>
      <c r="Q235" s="16">
        <f t="shared" ref="Q235:Q266" si="41">SUM((J235-K235))+(M235-N235)*10/L235+O235+P235</f>
        <v>340.90909090909088</v>
      </c>
      <c r="R235" s="11"/>
      <c r="S235" s="16">
        <f t="shared" si="28"/>
        <v>43499.999999999993</v>
      </c>
    </row>
    <row r="236" spans="1:19" ht="20.100000000000001" customHeight="1" x14ac:dyDescent="0.2">
      <c r="A236" s="57" t="s">
        <v>148</v>
      </c>
      <c r="B236" s="60">
        <v>22</v>
      </c>
      <c r="C236" s="58">
        <v>11.22</v>
      </c>
      <c r="D236" s="53"/>
      <c r="E236" s="53"/>
      <c r="F236" s="53"/>
      <c r="G236" s="53"/>
      <c r="H236" s="53"/>
      <c r="I236" s="53"/>
      <c r="J236" s="53"/>
      <c r="K236" s="53"/>
      <c r="L236" s="53">
        <v>2.8</v>
      </c>
      <c r="M236" s="53">
        <v>295</v>
      </c>
      <c r="N236" s="19">
        <v>250</v>
      </c>
      <c r="O236" s="19">
        <v>1000</v>
      </c>
      <c r="P236" s="15">
        <v>108</v>
      </c>
      <c r="Q236" s="16">
        <f t="shared" si="41"/>
        <v>1268.7142857142858</v>
      </c>
      <c r="R236" s="11"/>
      <c r="S236" s="16">
        <f t="shared" si="28"/>
        <v>14234.974285714286</v>
      </c>
    </row>
    <row r="237" spans="1:19" ht="20.100000000000001" customHeight="1" x14ac:dyDescent="0.2">
      <c r="A237" s="57" t="s">
        <v>149</v>
      </c>
      <c r="B237" s="60">
        <v>22</v>
      </c>
      <c r="C237" s="58">
        <v>7.92</v>
      </c>
      <c r="D237" s="53"/>
      <c r="E237" s="53"/>
      <c r="F237" s="53"/>
      <c r="G237" s="53"/>
      <c r="H237" s="53"/>
      <c r="I237" s="53"/>
      <c r="J237" s="53"/>
      <c r="K237" s="53"/>
      <c r="L237" s="53">
        <v>2</v>
      </c>
      <c r="M237" s="53">
        <v>262</v>
      </c>
      <c r="N237" s="19">
        <v>250</v>
      </c>
      <c r="O237" s="19">
        <v>1000</v>
      </c>
      <c r="P237" s="15">
        <v>2000</v>
      </c>
      <c r="Q237" s="16">
        <f t="shared" si="41"/>
        <v>3060</v>
      </c>
      <c r="R237" s="11"/>
      <c r="S237" s="16">
        <f t="shared" si="28"/>
        <v>24235.200000000001</v>
      </c>
    </row>
    <row r="238" spans="1:19" ht="20.100000000000001" customHeight="1" x14ac:dyDescent="0.2">
      <c r="A238" s="17" t="s">
        <v>150</v>
      </c>
      <c r="B238" s="13">
        <v>22</v>
      </c>
      <c r="C238" s="18">
        <v>16.579999999999998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9"/>
      <c r="P238" s="15">
        <v>130</v>
      </c>
      <c r="Q238" s="16">
        <f t="shared" ref="Q238" si="42">SUM(O238:P238)</f>
        <v>130</v>
      </c>
      <c r="R238" s="11"/>
      <c r="S238" s="16">
        <f t="shared" si="28"/>
        <v>2155.3999999999996</v>
      </c>
    </row>
    <row r="239" spans="1:19" ht="20.100000000000001" customHeight="1" x14ac:dyDescent="0.2">
      <c r="A239" s="17" t="s">
        <v>559</v>
      </c>
      <c r="B239" s="13">
        <v>22</v>
      </c>
      <c r="C239" s="18">
        <v>44.8</v>
      </c>
      <c r="D239" s="17"/>
      <c r="E239" s="17"/>
      <c r="F239" s="17"/>
      <c r="G239" s="17"/>
      <c r="H239" s="17"/>
      <c r="I239" s="17"/>
      <c r="J239" s="17"/>
      <c r="K239" s="17"/>
      <c r="L239" s="17">
        <v>1.2</v>
      </c>
      <c r="M239" s="17">
        <v>306</v>
      </c>
      <c r="N239" s="19">
        <v>250</v>
      </c>
      <c r="O239" s="19"/>
      <c r="P239" s="15">
        <v>325</v>
      </c>
      <c r="Q239" s="16">
        <f t="shared" si="41"/>
        <v>791.66666666666674</v>
      </c>
      <c r="R239" s="11"/>
      <c r="S239" s="16">
        <f t="shared" si="28"/>
        <v>35466.666666666664</v>
      </c>
    </row>
    <row r="240" spans="1:19" ht="20.100000000000001" customHeight="1" x14ac:dyDescent="0.2">
      <c r="A240" s="17" t="s">
        <v>560</v>
      </c>
      <c r="B240" s="13">
        <v>22</v>
      </c>
      <c r="C240" s="18">
        <v>71.12</v>
      </c>
      <c r="D240" s="17"/>
      <c r="E240" s="17"/>
      <c r="F240" s="17"/>
      <c r="G240" s="17"/>
      <c r="H240" s="17"/>
      <c r="I240" s="17"/>
      <c r="J240" s="17"/>
      <c r="K240" s="17"/>
      <c r="L240" s="17">
        <v>1.2</v>
      </c>
      <c r="M240" s="17">
        <v>281</v>
      </c>
      <c r="N240" s="19">
        <v>250</v>
      </c>
      <c r="O240" s="19">
        <v>500</v>
      </c>
      <c r="P240" s="15">
        <v>1179</v>
      </c>
      <c r="Q240" s="16">
        <f t="shared" si="41"/>
        <v>1937.3333333333335</v>
      </c>
      <c r="R240" s="11"/>
      <c r="S240" s="16">
        <f t="shared" si="28"/>
        <v>137783.1466666667</v>
      </c>
    </row>
    <row r="241" spans="1:19" ht="20.100000000000001" customHeight="1" x14ac:dyDescent="0.2">
      <c r="A241" s="17" t="s">
        <v>152</v>
      </c>
      <c r="B241" s="13">
        <v>22</v>
      </c>
      <c r="C241" s="18">
        <v>5.26</v>
      </c>
      <c r="D241" s="17"/>
      <c r="E241" s="17"/>
      <c r="F241" s="17"/>
      <c r="G241" s="17"/>
      <c r="H241" s="17"/>
      <c r="I241" s="17"/>
      <c r="J241" s="17"/>
      <c r="K241" s="17"/>
      <c r="L241" s="17">
        <v>2.2999999999999998</v>
      </c>
      <c r="M241" s="17">
        <v>318</v>
      </c>
      <c r="N241" s="19">
        <v>250</v>
      </c>
      <c r="O241" s="19"/>
      <c r="P241" s="15">
        <v>100</v>
      </c>
      <c r="Q241" s="16">
        <f t="shared" si="41"/>
        <v>395.6521739130435</v>
      </c>
      <c r="R241" s="11"/>
      <c r="S241" s="16">
        <f t="shared" si="28"/>
        <v>2081.1304347826085</v>
      </c>
    </row>
    <row r="242" spans="1:19" ht="20.100000000000001" customHeight="1" x14ac:dyDescent="0.2">
      <c r="A242" s="20" t="s">
        <v>153</v>
      </c>
      <c r="B242" s="21">
        <v>22</v>
      </c>
      <c r="C242" s="22">
        <v>9.27</v>
      </c>
      <c r="D242" s="17"/>
      <c r="E242" s="17"/>
      <c r="F242" s="17"/>
      <c r="G242" s="17"/>
      <c r="H242" s="17"/>
      <c r="I242" s="17"/>
      <c r="J242" s="17"/>
      <c r="K242" s="17"/>
      <c r="L242" s="17">
        <v>1</v>
      </c>
      <c r="M242" s="17">
        <v>261</v>
      </c>
      <c r="N242" s="19">
        <v>250</v>
      </c>
      <c r="O242" s="19"/>
      <c r="P242" s="15">
        <v>63</v>
      </c>
      <c r="Q242" s="16">
        <f t="shared" si="41"/>
        <v>173</v>
      </c>
      <c r="R242" s="11"/>
      <c r="S242" s="16">
        <f t="shared" si="28"/>
        <v>1603.71</v>
      </c>
    </row>
    <row r="243" spans="1:19" ht="20.100000000000001" customHeight="1" x14ac:dyDescent="0.2">
      <c r="A243" s="20" t="s">
        <v>155</v>
      </c>
      <c r="B243" s="21">
        <v>22</v>
      </c>
      <c r="C243" s="22">
        <v>10</v>
      </c>
      <c r="D243" s="17"/>
      <c r="E243" s="17"/>
      <c r="F243" s="17"/>
      <c r="G243" s="17"/>
      <c r="H243" s="17"/>
      <c r="I243" s="17"/>
      <c r="J243" s="17"/>
      <c r="K243" s="17"/>
      <c r="L243" s="17">
        <v>5.0999999999999996</v>
      </c>
      <c r="M243" s="92">
        <v>298</v>
      </c>
      <c r="N243" s="19">
        <v>250</v>
      </c>
      <c r="O243" s="19">
        <v>1000</v>
      </c>
      <c r="P243" s="15">
        <v>559</v>
      </c>
      <c r="Q243" s="16">
        <f t="shared" si="41"/>
        <v>1653.1176470588234</v>
      </c>
      <c r="R243" s="11"/>
      <c r="S243" s="16">
        <f t="shared" si="28"/>
        <v>16531.176470588234</v>
      </c>
    </row>
    <row r="244" spans="1:19" ht="20.100000000000001" customHeight="1" x14ac:dyDescent="0.2">
      <c r="A244" s="20" t="s">
        <v>156</v>
      </c>
      <c r="B244" s="21">
        <v>22</v>
      </c>
      <c r="C244" s="22">
        <v>5.73</v>
      </c>
      <c r="D244" s="17"/>
      <c r="E244" s="17"/>
      <c r="F244" s="17"/>
      <c r="G244" s="17"/>
      <c r="H244" s="17"/>
      <c r="I244" s="17"/>
      <c r="J244" s="17"/>
      <c r="K244" s="17"/>
      <c r="L244" s="17">
        <v>1.6</v>
      </c>
      <c r="M244" s="92">
        <v>370</v>
      </c>
      <c r="N244" s="19">
        <v>250</v>
      </c>
      <c r="O244" s="19"/>
      <c r="P244" s="15">
        <v>2140</v>
      </c>
      <c r="Q244" s="16">
        <f t="shared" si="41"/>
        <v>2890</v>
      </c>
      <c r="R244" s="11"/>
      <c r="S244" s="16">
        <f t="shared" ref="S244:S307" si="43">SUM(C:C*Q:Q)</f>
        <v>16559.7</v>
      </c>
    </row>
    <row r="245" spans="1:19" ht="20.100000000000001" customHeight="1" x14ac:dyDescent="0.2">
      <c r="A245" s="20" t="s">
        <v>607</v>
      </c>
      <c r="B245" s="21">
        <v>22</v>
      </c>
      <c r="C245" s="22">
        <v>17.8</v>
      </c>
      <c r="D245" s="17"/>
      <c r="E245" s="17"/>
      <c r="F245" s="17"/>
      <c r="G245" s="17"/>
      <c r="H245" s="17"/>
      <c r="I245" s="17"/>
      <c r="J245" s="17"/>
      <c r="K245" s="17"/>
      <c r="L245" s="17">
        <v>0.5</v>
      </c>
      <c r="M245" s="92">
        <v>324</v>
      </c>
      <c r="N245" s="19">
        <v>250</v>
      </c>
      <c r="O245" s="19"/>
      <c r="P245" s="15">
        <v>998</v>
      </c>
      <c r="Q245" s="16">
        <f t="shared" si="41"/>
        <v>2478</v>
      </c>
      <c r="R245" s="11"/>
      <c r="S245" s="16">
        <f t="shared" si="43"/>
        <v>44108.4</v>
      </c>
    </row>
    <row r="246" spans="1:19" ht="20.100000000000001" customHeight="1" x14ac:dyDescent="0.2">
      <c r="A246" s="20" t="s">
        <v>518</v>
      </c>
      <c r="B246" s="21">
        <v>22</v>
      </c>
      <c r="C246" s="22">
        <v>21.53</v>
      </c>
      <c r="D246" s="17"/>
      <c r="E246" s="17"/>
      <c r="F246" s="17"/>
      <c r="G246" s="17"/>
      <c r="H246" s="17"/>
      <c r="I246" s="17"/>
      <c r="J246" s="17"/>
      <c r="K246" s="17"/>
      <c r="L246" s="17">
        <v>1.5</v>
      </c>
      <c r="M246" s="92">
        <v>280</v>
      </c>
      <c r="N246" s="19">
        <v>250</v>
      </c>
      <c r="O246" s="19">
        <v>500</v>
      </c>
      <c r="P246" s="15">
        <v>907</v>
      </c>
      <c r="Q246" s="16">
        <f t="shared" si="41"/>
        <v>1607</v>
      </c>
      <c r="R246" s="11"/>
      <c r="S246" s="16">
        <f t="shared" si="43"/>
        <v>34598.71</v>
      </c>
    </row>
    <row r="247" spans="1:19" ht="20.100000000000001" customHeight="1" x14ac:dyDescent="0.2">
      <c r="A247" s="57" t="s">
        <v>782</v>
      </c>
      <c r="B247" s="60">
        <v>22</v>
      </c>
      <c r="C247" s="58">
        <v>8.2799999999999994</v>
      </c>
      <c r="D247" s="53"/>
      <c r="E247" s="53"/>
      <c r="F247" s="53"/>
      <c r="G247" s="53"/>
      <c r="H247" s="53"/>
      <c r="I247" s="53"/>
      <c r="J247" s="53"/>
      <c r="K247" s="53"/>
      <c r="L247" s="53">
        <v>2.5</v>
      </c>
      <c r="M247" s="92">
        <v>359</v>
      </c>
      <c r="N247" s="19">
        <v>250</v>
      </c>
      <c r="O247" s="19"/>
      <c r="P247" s="15">
        <v>783</v>
      </c>
      <c r="Q247" s="16">
        <f t="shared" si="41"/>
        <v>1219</v>
      </c>
      <c r="R247" s="11"/>
      <c r="S247" s="16">
        <f t="shared" si="43"/>
        <v>10093.32</v>
      </c>
    </row>
    <row r="248" spans="1:19" ht="20.100000000000001" customHeight="1" x14ac:dyDescent="0.2">
      <c r="A248" s="57" t="s">
        <v>735</v>
      </c>
      <c r="B248" s="60">
        <v>22</v>
      </c>
      <c r="C248" s="58">
        <v>47.23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17"/>
      <c r="N248" s="17"/>
      <c r="O248" s="19"/>
      <c r="P248" s="15">
        <v>148</v>
      </c>
      <c r="Q248" s="16">
        <f t="shared" ref="Q248" si="44">SUM(O248:P248)</f>
        <v>148</v>
      </c>
      <c r="R248" s="11"/>
      <c r="S248" s="16">
        <f t="shared" si="43"/>
        <v>6990.04</v>
      </c>
    </row>
    <row r="249" spans="1:19" ht="20.100000000000001" customHeight="1" x14ac:dyDescent="0.2">
      <c r="A249" s="53" t="s">
        <v>490</v>
      </c>
      <c r="B249" s="56">
        <v>22</v>
      </c>
      <c r="C249" s="52">
        <v>71.25</v>
      </c>
      <c r="D249" s="53"/>
      <c r="E249" s="53"/>
      <c r="F249" s="53"/>
      <c r="G249" s="53"/>
      <c r="H249" s="53"/>
      <c r="I249" s="53"/>
      <c r="J249" s="53"/>
      <c r="K249" s="53"/>
      <c r="L249" s="53">
        <v>3.1</v>
      </c>
      <c r="M249" s="92">
        <v>289</v>
      </c>
      <c r="N249" s="17">
        <v>250</v>
      </c>
      <c r="O249" s="19"/>
      <c r="P249" s="15">
        <v>336</v>
      </c>
      <c r="Q249" s="16">
        <f t="shared" si="41"/>
        <v>461.80645161290323</v>
      </c>
      <c r="R249" s="11"/>
      <c r="S249" s="16">
        <f t="shared" si="43"/>
        <v>32903.709677419356</v>
      </c>
    </row>
    <row r="250" spans="1:19" ht="20.100000000000001" customHeight="1" x14ac:dyDescent="0.2">
      <c r="A250" s="53" t="s">
        <v>488</v>
      </c>
      <c r="B250" s="51">
        <v>22</v>
      </c>
      <c r="C250" s="52">
        <v>28.21</v>
      </c>
      <c r="D250" s="53">
        <v>1710</v>
      </c>
      <c r="E250" s="53">
        <v>28</v>
      </c>
      <c r="F250" s="53">
        <v>1710</v>
      </c>
      <c r="G250" s="53">
        <v>28</v>
      </c>
      <c r="H250" s="53"/>
      <c r="I250" s="53"/>
      <c r="J250" s="53"/>
      <c r="K250" s="53"/>
      <c r="L250" s="53">
        <v>1.4</v>
      </c>
      <c r="M250" s="92">
        <v>305</v>
      </c>
      <c r="N250" s="17">
        <v>250</v>
      </c>
      <c r="O250" s="19"/>
      <c r="P250" s="15">
        <v>880</v>
      </c>
      <c r="Q250" s="16">
        <f t="shared" si="41"/>
        <v>1272.8571428571429</v>
      </c>
      <c r="R250" s="11"/>
      <c r="S250" s="16">
        <f t="shared" si="43"/>
        <v>35907.300000000003</v>
      </c>
    </row>
    <row r="251" spans="1:19" ht="20.100000000000001" customHeight="1" x14ac:dyDescent="0.2">
      <c r="A251" s="53" t="s">
        <v>489</v>
      </c>
      <c r="B251" s="56">
        <v>22</v>
      </c>
      <c r="C251" s="52">
        <v>42.14</v>
      </c>
      <c r="D251" s="53">
        <v>9113</v>
      </c>
      <c r="E251" s="53">
        <v>100</v>
      </c>
      <c r="F251" s="53">
        <v>9113</v>
      </c>
      <c r="G251" s="53">
        <v>100</v>
      </c>
      <c r="H251" s="53"/>
      <c r="I251" s="53"/>
      <c r="J251" s="53"/>
      <c r="K251" s="53"/>
      <c r="L251" s="53">
        <v>1.4</v>
      </c>
      <c r="M251" s="92">
        <v>316</v>
      </c>
      <c r="N251" s="17">
        <v>250</v>
      </c>
      <c r="O251" s="19"/>
      <c r="P251" s="15">
        <v>369</v>
      </c>
      <c r="Q251" s="16">
        <f t="shared" si="41"/>
        <v>840.42857142857144</v>
      </c>
      <c r="R251" s="11"/>
      <c r="S251" s="16">
        <f t="shared" si="43"/>
        <v>35415.660000000003</v>
      </c>
    </row>
    <row r="252" spans="1:19" ht="20.100000000000001" customHeight="1" x14ac:dyDescent="0.2">
      <c r="A252" s="53" t="s">
        <v>736</v>
      </c>
      <c r="B252" s="56">
        <v>22</v>
      </c>
      <c r="C252" s="52">
        <v>26.75</v>
      </c>
      <c r="D252" s="53"/>
      <c r="E252" s="53"/>
      <c r="F252" s="53"/>
      <c r="G252" s="53"/>
      <c r="H252" s="53"/>
      <c r="I252" s="53"/>
      <c r="J252" s="53"/>
      <c r="K252" s="53"/>
      <c r="L252" s="53">
        <v>1.4</v>
      </c>
      <c r="M252" s="92">
        <v>275</v>
      </c>
      <c r="N252" s="17">
        <v>250</v>
      </c>
      <c r="O252" s="19"/>
      <c r="P252" s="15">
        <v>218</v>
      </c>
      <c r="Q252" s="16">
        <f t="shared" si="41"/>
        <v>396.57142857142856</v>
      </c>
      <c r="R252" s="11"/>
      <c r="S252" s="16">
        <f t="shared" si="43"/>
        <v>10608.285714285714</v>
      </c>
    </row>
    <row r="253" spans="1:19" ht="20.100000000000001" customHeight="1" x14ac:dyDescent="0.2">
      <c r="A253" s="57" t="s">
        <v>157</v>
      </c>
      <c r="B253" s="51">
        <v>22</v>
      </c>
      <c r="C253" s="58">
        <v>8.5299999999999994</v>
      </c>
      <c r="D253" s="53"/>
      <c r="E253" s="53"/>
      <c r="F253" s="53"/>
      <c r="G253" s="53"/>
      <c r="H253" s="53"/>
      <c r="I253" s="53"/>
      <c r="J253" s="53"/>
      <c r="K253" s="53"/>
      <c r="L253" s="53">
        <v>1.1000000000000001</v>
      </c>
      <c r="M253" s="17">
        <v>250</v>
      </c>
      <c r="N253" s="17">
        <v>250</v>
      </c>
      <c r="O253" s="19"/>
      <c r="P253" s="15">
        <v>225</v>
      </c>
      <c r="Q253" s="16">
        <f t="shared" si="41"/>
        <v>225</v>
      </c>
      <c r="R253" s="11"/>
      <c r="S253" s="16">
        <f t="shared" si="43"/>
        <v>1919.2499999999998</v>
      </c>
    </row>
    <row r="254" spans="1:19" ht="20.100000000000001" customHeight="1" x14ac:dyDescent="0.2">
      <c r="A254" s="53" t="s">
        <v>158</v>
      </c>
      <c r="B254" s="51">
        <v>22</v>
      </c>
      <c r="C254" s="52">
        <v>5.26</v>
      </c>
      <c r="D254" s="53"/>
      <c r="E254" s="53"/>
      <c r="F254" s="53"/>
      <c r="G254" s="53"/>
      <c r="H254" s="53"/>
      <c r="I254" s="53"/>
      <c r="J254" s="53"/>
      <c r="K254" s="53"/>
      <c r="L254" s="53">
        <v>1</v>
      </c>
      <c r="M254" s="92">
        <v>344</v>
      </c>
      <c r="N254" s="17">
        <v>250</v>
      </c>
      <c r="O254" s="19"/>
      <c r="P254" s="15">
        <v>181</v>
      </c>
      <c r="Q254" s="16">
        <f t="shared" si="41"/>
        <v>1121</v>
      </c>
      <c r="R254" s="11"/>
      <c r="S254" s="16">
        <f t="shared" si="43"/>
        <v>5896.46</v>
      </c>
    </row>
    <row r="255" spans="1:19" ht="20.100000000000001" customHeight="1" x14ac:dyDescent="0.2">
      <c r="A255" s="17" t="s">
        <v>159</v>
      </c>
      <c r="B255" s="13">
        <v>22</v>
      </c>
      <c r="C255" s="18">
        <v>9</v>
      </c>
      <c r="D255" s="17"/>
      <c r="E255" s="17"/>
      <c r="F255" s="17"/>
      <c r="G255" s="17"/>
      <c r="H255" s="17"/>
      <c r="I255" s="17"/>
      <c r="J255" s="17"/>
      <c r="K255" s="17"/>
      <c r="L255" s="17">
        <v>3.5</v>
      </c>
      <c r="M255" s="92">
        <v>317</v>
      </c>
      <c r="N255" s="17">
        <v>250</v>
      </c>
      <c r="O255" s="19">
        <v>300</v>
      </c>
      <c r="P255" s="15">
        <v>374</v>
      </c>
      <c r="Q255" s="16">
        <f t="shared" si="41"/>
        <v>865.42857142857144</v>
      </c>
      <c r="R255" s="11"/>
      <c r="S255" s="16">
        <f t="shared" si="43"/>
        <v>7788.8571428571431</v>
      </c>
    </row>
    <row r="256" spans="1:19" ht="20.100000000000001" customHeight="1" x14ac:dyDescent="0.2">
      <c r="A256" s="17" t="s">
        <v>160</v>
      </c>
      <c r="B256" s="13">
        <v>22</v>
      </c>
      <c r="C256" s="18">
        <v>5.36</v>
      </c>
      <c r="D256" s="17"/>
      <c r="E256" s="17"/>
      <c r="F256" s="17"/>
      <c r="G256" s="17"/>
      <c r="H256" s="17"/>
      <c r="I256" s="17"/>
      <c r="J256" s="17"/>
      <c r="K256" s="17"/>
      <c r="L256" s="17">
        <v>0.9</v>
      </c>
      <c r="M256" s="92">
        <v>287</v>
      </c>
      <c r="N256" s="17">
        <v>250</v>
      </c>
      <c r="O256" s="19">
        <v>1000</v>
      </c>
      <c r="P256" s="15">
        <v>435</v>
      </c>
      <c r="Q256" s="16">
        <f t="shared" si="41"/>
        <v>1846.1111111111111</v>
      </c>
      <c r="R256" s="11"/>
      <c r="S256" s="16">
        <f t="shared" si="43"/>
        <v>9895.1555555555551</v>
      </c>
    </row>
    <row r="257" spans="1:19" ht="20.100000000000001" customHeight="1" x14ac:dyDescent="0.2">
      <c r="A257" s="20" t="s">
        <v>161</v>
      </c>
      <c r="B257" s="21">
        <v>22</v>
      </c>
      <c r="C257" s="22">
        <v>8.9</v>
      </c>
      <c r="D257" s="17"/>
      <c r="E257" s="17"/>
      <c r="F257" s="17"/>
      <c r="G257" s="17"/>
      <c r="H257" s="17"/>
      <c r="I257" s="17"/>
      <c r="J257" s="17"/>
      <c r="K257" s="17"/>
      <c r="L257" s="17">
        <v>1.3</v>
      </c>
      <c r="M257" s="92">
        <v>280</v>
      </c>
      <c r="N257" s="17">
        <v>250</v>
      </c>
      <c r="O257" s="19"/>
      <c r="P257" s="15">
        <v>100</v>
      </c>
      <c r="Q257" s="16">
        <f t="shared" si="41"/>
        <v>330.76923076923077</v>
      </c>
      <c r="R257" s="11"/>
      <c r="S257" s="16">
        <f t="shared" si="43"/>
        <v>2943.8461538461538</v>
      </c>
    </row>
    <row r="258" spans="1:19" ht="20.100000000000001" customHeight="1" x14ac:dyDescent="0.2">
      <c r="A258" s="17" t="s">
        <v>565</v>
      </c>
      <c r="B258" s="13">
        <v>22</v>
      </c>
      <c r="C258" s="18">
        <v>143.87</v>
      </c>
      <c r="D258" s="17"/>
      <c r="E258" s="17"/>
      <c r="F258" s="17"/>
      <c r="G258" s="17"/>
      <c r="H258" s="17"/>
      <c r="I258" s="17"/>
      <c r="J258" s="17"/>
      <c r="K258" s="17"/>
      <c r="L258" s="17">
        <v>1.6</v>
      </c>
      <c r="M258" s="92">
        <v>267</v>
      </c>
      <c r="N258" s="17">
        <v>250</v>
      </c>
      <c r="O258" s="19"/>
      <c r="P258" s="15">
        <v>353</v>
      </c>
      <c r="Q258" s="16">
        <f t="shared" si="41"/>
        <v>459.25</v>
      </c>
      <c r="R258" s="11"/>
      <c r="S258" s="16">
        <f t="shared" si="43"/>
        <v>66072.297500000001</v>
      </c>
    </row>
    <row r="259" spans="1:19" ht="20.100000000000001" customHeight="1" x14ac:dyDescent="0.2">
      <c r="A259" s="17" t="s">
        <v>163</v>
      </c>
      <c r="B259" s="13">
        <v>22</v>
      </c>
      <c r="C259" s="18">
        <v>9.5</v>
      </c>
      <c r="D259" s="17"/>
      <c r="E259" s="17"/>
      <c r="F259" s="17"/>
      <c r="G259" s="17"/>
      <c r="H259" s="17"/>
      <c r="I259" s="17"/>
      <c r="J259" s="17"/>
      <c r="K259" s="17"/>
      <c r="L259" s="17">
        <v>1</v>
      </c>
      <c r="M259" s="92">
        <v>277</v>
      </c>
      <c r="N259" s="17">
        <v>250</v>
      </c>
      <c r="O259" s="19">
        <v>100</v>
      </c>
      <c r="P259" s="15">
        <v>200</v>
      </c>
      <c r="Q259" s="16">
        <f t="shared" si="41"/>
        <v>570</v>
      </c>
      <c r="R259" s="11"/>
      <c r="S259" s="16">
        <f t="shared" si="43"/>
        <v>5415</v>
      </c>
    </row>
    <row r="260" spans="1:19" ht="20.100000000000001" customHeight="1" x14ac:dyDescent="0.2">
      <c r="A260" s="17" t="s">
        <v>164</v>
      </c>
      <c r="B260" s="13">
        <v>22</v>
      </c>
      <c r="C260" s="18">
        <v>13.15</v>
      </c>
      <c r="D260" s="17"/>
      <c r="E260" s="17"/>
      <c r="F260" s="17"/>
      <c r="G260" s="17"/>
      <c r="H260" s="17"/>
      <c r="I260" s="17"/>
      <c r="J260" s="17"/>
      <c r="K260" s="17"/>
      <c r="L260" s="17">
        <v>1</v>
      </c>
      <c r="M260" s="92">
        <v>267</v>
      </c>
      <c r="N260" s="17">
        <v>250</v>
      </c>
      <c r="O260" s="19">
        <v>100</v>
      </c>
      <c r="P260" s="15">
        <v>300</v>
      </c>
      <c r="Q260" s="16">
        <f t="shared" si="41"/>
        <v>570</v>
      </c>
      <c r="R260" s="11"/>
      <c r="S260" s="16">
        <f t="shared" si="43"/>
        <v>7495.5</v>
      </c>
    </row>
    <row r="261" spans="1:19" ht="20.100000000000001" customHeight="1" x14ac:dyDescent="0.2">
      <c r="A261" s="17" t="s">
        <v>426</v>
      </c>
      <c r="B261" s="13">
        <v>22</v>
      </c>
      <c r="C261" s="18">
        <v>5.26</v>
      </c>
      <c r="D261" s="17"/>
      <c r="E261" s="17"/>
      <c r="F261" s="17"/>
      <c r="G261" s="17"/>
      <c r="H261" s="17"/>
      <c r="I261" s="17"/>
      <c r="J261" s="17"/>
      <c r="K261" s="17"/>
      <c r="L261" s="17">
        <v>1</v>
      </c>
      <c r="M261" s="92">
        <v>280</v>
      </c>
      <c r="N261" s="17">
        <v>250</v>
      </c>
      <c r="O261" s="19"/>
      <c r="P261" s="15">
        <v>1111</v>
      </c>
      <c r="Q261" s="16">
        <f t="shared" si="41"/>
        <v>1411</v>
      </c>
      <c r="R261" s="11"/>
      <c r="S261" s="16">
        <f t="shared" si="43"/>
        <v>7421.86</v>
      </c>
    </row>
    <row r="262" spans="1:19" ht="20.100000000000001" customHeight="1" x14ac:dyDescent="0.2">
      <c r="A262" s="20" t="s">
        <v>165</v>
      </c>
      <c r="B262" s="13">
        <v>22</v>
      </c>
      <c r="C262" s="22">
        <v>8.83</v>
      </c>
      <c r="D262" s="17"/>
      <c r="E262" s="17"/>
      <c r="F262" s="17"/>
      <c r="G262" s="17"/>
      <c r="H262" s="17"/>
      <c r="I262" s="17"/>
      <c r="J262" s="17"/>
      <c r="K262" s="17"/>
      <c r="L262" s="17">
        <v>1.2</v>
      </c>
      <c r="M262" s="17"/>
      <c r="N262" s="17"/>
      <c r="O262" s="19"/>
      <c r="P262" s="15">
        <v>211</v>
      </c>
      <c r="Q262" s="16">
        <f t="shared" si="41"/>
        <v>211</v>
      </c>
      <c r="R262" s="11"/>
      <c r="S262" s="16">
        <f t="shared" si="43"/>
        <v>1863.13</v>
      </c>
    </row>
    <row r="263" spans="1:19" ht="20.100000000000001" customHeight="1" x14ac:dyDescent="0.2">
      <c r="A263" s="17" t="s">
        <v>480</v>
      </c>
      <c r="B263" s="13">
        <v>22</v>
      </c>
      <c r="C263" s="18">
        <v>7.54</v>
      </c>
      <c r="D263" s="17"/>
      <c r="E263" s="17"/>
      <c r="F263" s="17"/>
      <c r="G263" s="17"/>
      <c r="H263" s="17"/>
      <c r="I263" s="17"/>
      <c r="J263" s="17"/>
      <c r="K263" s="17"/>
      <c r="L263" s="17">
        <v>0</v>
      </c>
      <c r="M263" s="17"/>
      <c r="N263" s="19"/>
      <c r="O263" s="19"/>
      <c r="P263" s="15">
        <v>112</v>
      </c>
      <c r="Q263" s="16">
        <f t="shared" ref="Q263" si="45">SUM(O263:P263)</f>
        <v>112</v>
      </c>
      <c r="R263" s="11"/>
      <c r="S263" s="16">
        <f t="shared" si="43"/>
        <v>844.48</v>
      </c>
    </row>
    <row r="264" spans="1:19" ht="20.100000000000001" customHeight="1" x14ac:dyDescent="0.2">
      <c r="A264" s="17" t="s">
        <v>169</v>
      </c>
      <c r="B264" s="11">
        <v>22</v>
      </c>
      <c r="C264" s="18">
        <v>5.18</v>
      </c>
      <c r="D264" s="17">
        <v>4932</v>
      </c>
      <c r="E264" s="17">
        <v>1000</v>
      </c>
      <c r="F264" s="17">
        <v>4932</v>
      </c>
      <c r="G264" s="17">
        <v>1000</v>
      </c>
      <c r="H264" s="17"/>
      <c r="I264" s="17"/>
      <c r="J264" s="17"/>
      <c r="K264" s="17"/>
      <c r="L264" s="17">
        <v>1.2</v>
      </c>
      <c r="M264" s="17">
        <v>263</v>
      </c>
      <c r="N264" s="19">
        <v>250</v>
      </c>
      <c r="O264" s="19"/>
      <c r="P264" s="15">
        <v>280</v>
      </c>
      <c r="Q264" s="16">
        <f t="shared" si="41"/>
        <v>388.33333333333337</v>
      </c>
      <c r="R264" s="11"/>
      <c r="S264" s="16">
        <f t="shared" si="43"/>
        <v>2011.5666666666668</v>
      </c>
    </row>
    <row r="265" spans="1:19" ht="20.100000000000001" customHeight="1" x14ac:dyDescent="0.2">
      <c r="A265" s="17" t="s">
        <v>172</v>
      </c>
      <c r="B265" s="13">
        <v>22</v>
      </c>
      <c r="C265" s="18">
        <v>25.39</v>
      </c>
      <c r="D265" s="17">
        <v>30280</v>
      </c>
      <c r="E265" s="17">
        <v>1000</v>
      </c>
      <c r="F265" s="17">
        <v>30280</v>
      </c>
      <c r="G265" s="17">
        <v>1000</v>
      </c>
      <c r="H265" s="17"/>
      <c r="I265" s="17"/>
      <c r="J265" s="17"/>
      <c r="K265" s="17"/>
      <c r="L265" s="17">
        <v>1.6</v>
      </c>
      <c r="M265" s="17">
        <v>299</v>
      </c>
      <c r="N265" s="19">
        <v>250</v>
      </c>
      <c r="O265" s="19"/>
      <c r="P265" s="15">
        <v>700</v>
      </c>
      <c r="Q265" s="16">
        <f t="shared" si="41"/>
        <v>1006.25</v>
      </c>
      <c r="R265" s="11"/>
      <c r="S265" s="16">
        <f t="shared" si="43"/>
        <v>25548.6875</v>
      </c>
    </row>
    <row r="266" spans="1:19" ht="20.100000000000001" customHeight="1" x14ac:dyDescent="0.2">
      <c r="A266" s="53" t="s">
        <v>859</v>
      </c>
      <c r="B266" s="51">
        <v>22</v>
      </c>
      <c r="C266" s="52">
        <v>5.08</v>
      </c>
      <c r="D266" s="53"/>
      <c r="E266" s="53"/>
      <c r="F266" s="53"/>
      <c r="G266" s="53"/>
      <c r="H266" s="53"/>
      <c r="I266" s="53"/>
      <c r="J266" s="53"/>
      <c r="K266" s="53"/>
      <c r="L266" s="53">
        <v>1.4</v>
      </c>
      <c r="M266" s="53">
        <v>365</v>
      </c>
      <c r="N266" s="19">
        <v>250</v>
      </c>
      <c r="O266" s="19">
        <v>1000</v>
      </c>
      <c r="P266" s="15">
        <v>1114</v>
      </c>
      <c r="Q266" s="55">
        <f t="shared" si="41"/>
        <v>2935.4285714285716</v>
      </c>
      <c r="R266" s="11"/>
      <c r="S266" s="16">
        <f t="shared" si="43"/>
        <v>14911.977142857144</v>
      </c>
    </row>
    <row r="267" spans="1:19" ht="20.100000000000001" customHeight="1" x14ac:dyDescent="0.2">
      <c r="A267" s="57" t="s">
        <v>173</v>
      </c>
      <c r="B267" s="51">
        <v>22</v>
      </c>
      <c r="C267" s="58">
        <v>33.04</v>
      </c>
      <c r="D267" s="53"/>
      <c r="E267" s="53"/>
      <c r="F267" s="53"/>
      <c r="G267" s="53"/>
      <c r="H267" s="53"/>
      <c r="I267" s="53"/>
      <c r="J267" s="53"/>
      <c r="K267" s="53"/>
      <c r="L267" s="53">
        <v>2.2000000000000002</v>
      </c>
      <c r="M267" s="53">
        <v>288</v>
      </c>
      <c r="N267" s="19">
        <v>250</v>
      </c>
      <c r="O267" s="19"/>
      <c r="P267" s="15">
        <v>483</v>
      </c>
      <c r="Q267" s="16">
        <f>SUM((J267-K267))+(M267-N267)*10/L267+O267+P267</f>
        <v>655.72727272727275</v>
      </c>
      <c r="R267" s="11"/>
      <c r="S267" s="16">
        <f t="shared" si="43"/>
        <v>21665.229090909092</v>
      </c>
    </row>
    <row r="268" spans="1:19" ht="20.100000000000001" customHeight="1" x14ac:dyDescent="0.2">
      <c r="A268" s="53" t="s">
        <v>175</v>
      </c>
      <c r="B268" s="51">
        <v>22</v>
      </c>
      <c r="C268" s="69">
        <v>5.18</v>
      </c>
      <c r="D268" s="70">
        <v>4060</v>
      </c>
      <c r="E268" s="53" t="s">
        <v>124</v>
      </c>
      <c r="F268" s="53" t="s">
        <v>95</v>
      </c>
      <c r="G268" s="71" t="s">
        <v>176</v>
      </c>
      <c r="H268" s="53">
        <v>1200</v>
      </c>
      <c r="I268" s="53" t="s">
        <v>86</v>
      </c>
      <c r="J268" s="53"/>
      <c r="K268" s="53"/>
      <c r="L268" s="53">
        <v>1.9</v>
      </c>
      <c r="M268" s="53">
        <v>389</v>
      </c>
      <c r="N268" s="17">
        <v>250</v>
      </c>
      <c r="O268" s="19"/>
      <c r="P268" s="15">
        <v>1000</v>
      </c>
      <c r="Q268" s="16">
        <f>SUM((J268-K268))+(M268-N268)*10/L268+O268+P268</f>
        <v>1731.578947368421</v>
      </c>
      <c r="R268" s="11"/>
      <c r="S268" s="16">
        <f t="shared" si="43"/>
        <v>8969.5789473684199</v>
      </c>
    </row>
    <row r="269" spans="1:19" ht="20.100000000000001" customHeight="1" x14ac:dyDescent="0.2">
      <c r="A269" s="57" t="s">
        <v>177</v>
      </c>
      <c r="B269" s="51">
        <v>22</v>
      </c>
      <c r="C269" s="58">
        <v>42.05</v>
      </c>
      <c r="D269" s="53"/>
      <c r="E269" s="53"/>
      <c r="F269" s="53"/>
      <c r="G269" s="53"/>
      <c r="H269" s="53"/>
      <c r="I269" s="53"/>
      <c r="J269" s="53"/>
      <c r="K269" s="53"/>
      <c r="L269" s="53">
        <v>2.2999999999999998</v>
      </c>
      <c r="M269" s="53">
        <v>250</v>
      </c>
      <c r="N269" s="17">
        <v>250</v>
      </c>
      <c r="O269" s="19"/>
      <c r="P269" s="15">
        <v>177</v>
      </c>
      <c r="Q269" s="16">
        <f t="shared" ref="Q269:Q270" si="46">SUM(O269:P269)</f>
        <v>177</v>
      </c>
      <c r="R269" s="11"/>
      <c r="S269" s="16">
        <f t="shared" si="43"/>
        <v>7442.8499999999995</v>
      </c>
    </row>
    <row r="270" spans="1:19" ht="20.100000000000001" customHeight="1" x14ac:dyDescent="0.2">
      <c r="A270" s="57" t="s">
        <v>178</v>
      </c>
      <c r="B270" s="51">
        <v>22</v>
      </c>
      <c r="C270" s="58">
        <v>66.739999999999995</v>
      </c>
      <c r="D270" s="53"/>
      <c r="E270" s="53"/>
      <c r="F270" s="53"/>
      <c r="G270" s="53"/>
      <c r="H270" s="53"/>
      <c r="I270" s="53"/>
      <c r="J270" s="53"/>
      <c r="K270" s="53"/>
      <c r="L270" s="53">
        <v>0</v>
      </c>
      <c r="M270" s="53"/>
      <c r="N270" s="17"/>
      <c r="O270" s="19"/>
      <c r="P270" s="15">
        <v>123</v>
      </c>
      <c r="Q270" s="16">
        <f t="shared" si="46"/>
        <v>123</v>
      </c>
      <c r="R270" s="11"/>
      <c r="S270" s="16">
        <f t="shared" si="43"/>
        <v>8209.0199999999986</v>
      </c>
    </row>
    <row r="271" spans="1:19" ht="20.100000000000001" customHeight="1" x14ac:dyDescent="0.2">
      <c r="A271" s="57" t="s">
        <v>849</v>
      </c>
      <c r="B271" s="60">
        <v>22</v>
      </c>
      <c r="C271" s="58">
        <v>12.95</v>
      </c>
      <c r="D271" s="53"/>
      <c r="E271" s="53"/>
      <c r="F271" s="53"/>
      <c r="G271" s="53"/>
      <c r="H271" s="53"/>
      <c r="I271" s="53"/>
      <c r="J271" s="53"/>
      <c r="K271" s="53"/>
      <c r="L271" s="53">
        <v>1.3</v>
      </c>
      <c r="M271" s="53">
        <v>291</v>
      </c>
      <c r="N271" s="19">
        <v>250</v>
      </c>
      <c r="O271" s="19">
        <v>600</v>
      </c>
      <c r="P271" s="15">
        <v>1154</v>
      </c>
      <c r="Q271" s="16">
        <f>SUM((J271-K271))+(M271-N271)*10/L271+O271+P271</f>
        <v>2069.3846153846152</v>
      </c>
      <c r="R271" s="11"/>
      <c r="S271" s="16">
        <f t="shared" si="43"/>
        <v>26798.530769230765</v>
      </c>
    </row>
    <row r="272" spans="1:19" ht="20.100000000000001" customHeight="1" x14ac:dyDescent="0.2">
      <c r="A272" s="57" t="s">
        <v>183</v>
      </c>
      <c r="B272" s="60">
        <v>22</v>
      </c>
      <c r="C272" s="58">
        <v>10.87</v>
      </c>
      <c r="D272" s="53"/>
      <c r="E272" s="53"/>
      <c r="F272" s="53"/>
      <c r="G272" s="53"/>
      <c r="H272" s="53"/>
      <c r="I272" s="53"/>
      <c r="J272" s="53"/>
      <c r="K272" s="53"/>
      <c r="L272" s="53">
        <v>4.3</v>
      </c>
      <c r="M272" s="53">
        <v>507</v>
      </c>
      <c r="N272" s="19">
        <v>250</v>
      </c>
      <c r="O272" s="19"/>
      <c r="P272" s="15">
        <v>1007</v>
      </c>
      <c r="Q272" s="16">
        <f t="shared" ref="Q272:Q285" si="47">SUM((J272-K272))+(M272-N272)*10/L272+O272+P272</f>
        <v>1604.6744186046512</v>
      </c>
      <c r="R272" s="11"/>
      <c r="S272" s="16">
        <f t="shared" si="43"/>
        <v>17442.810930232557</v>
      </c>
    </row>
    <row r="273" spans="1:19" ht="20.100000000000001" customHeight="1" x14ac:dyDescent="0.2">
      <c r="A273" s="53" t="s">
        <v>184</v>
      </c>
      <c r="B273" s="51">
        <v>22</v>
      </c>
      <c r="C273" s="52">
        <v>4.79</v>
      </c>
      <c r="D273" s="53"/>
      <c r="E273" s="53"/>
      <c r="F273" s="53"/>
      <c r="G273" s="53"/>
      <c r="H273" s="53"/>
      <c r="I273" s="53"/>
      <c r="J273" s="53"/>
      <c r="K273" s="53"/>
      <c r="L273" s="53">
        <v>2.9</v>
      </c>
      <c r="M273" s="53">
        <v>448</v>
      </c>
      <c r="N273" s="19">
        <v>250</v>
      </c>
      <c r="O273" s="19"/>
      <c r="P273" s="15">
        <v>265</v>
      </c>
      <c r="Q273" s="16">
        <f t="shared" si="47"/>
        <v>947.75862068965523</v>
      </c>
      <c r="R273" s="11"/>
      <c r="S273" s="16">
        <f t="shared" si="43"/>
        <v>4539.7637931034487</v>
      </c>
    </row>
    <row r="274" spans="1:19" ht="20.100000000000001" customHeight="1" x14ac:dyDescent="0.2">
      <c r="A274" s="53" t="s">
        <v>642</v>
      </c>
      <c r="B274" s="56">
        <v>22</v>
      </c>
      <c r="C274" s="52">
        <v>72.400000000000006</v>
      </c>
      <c r="D274" s="53"/>
      <c r="E274" s="53"/>
      <c r="F274" s="53"/>
      <c r="G274" s="53"/>
      <c r="H274" s="53"/>
      <c r="I274" s="53"/>
      <c r="J274" s="53"/>
      <c r="K274" s="53"/>
      <c r="L274" s="53">
        <v>0</v>
      </c>
      <c r="M274" s="53"/>
      <c r="N274" s="19"/>
      <c r="O274" s="19"/>
      <c r="P274" s="15">
        <v>78</v>
      </c>
      <c r="Q274" s="16">
        <f t="shared" ref="Q274" si="48">SUM(O274:P274)</f>
        <v>78</v>
      </c>
      <c r="R274" s="11"/>
      <c r="S274" s="16">
        <f t="shared" si="43"/>
        <v>5647.2000000000007</v>
      </c>
    </row>
    <row r="275" spans="1:19" ht="20.100000000000001" customHeight="1" x14ac:dyDescent="0.2">
      <c r="A275" s="53" t="s">
        <v>521</v>
      </c>
      <c r="B275" s="56">
        <v>22</v>
      </c>
      <c r="C275" s="52">
        <v>5.24</v>
      </c>
      <c r="D275" s="53">
        <v>3200</v>
      </c>
      <c r="E275" s="53">
        <v>1000</v>
      </c>
      <c r="F275" s="53">
        <v>3200</v>
      </c>
      <c r="G275" s="53">
        <v>1000</v>
      </c>
      <c r="H275" s="53"/>
      <c r="I275" s="53"/>
      <c r="J275" s="53"/>
      <c r="K275" s="53"/>
      <c r="L275" s="53">
        <v>0.8</v>
      </c>
      <c r="M275" s="53">
        <v>261</v>
      </c>
      <c r="N275" s="19">
        <v>250</v>
      </c>
      <c r="O275" s="19"/>
      <c r="P275" s="15">
        <v>885</v>
      </c>
      <c r="Q275" s="16">
        <f t="shared" si="47"/>
        <v>1022.5</v>
      </c>
      <c r="R275" s="11"/>
      <c r="S275" s="16">
        <f t="shared" si="43"/>
        <v>5357.9000000000005</v>
      </c>
    </row>
    <row r="276" spans="1:19" ht="20.100000000000001" customHeight="1" x14ac:dyDescent="0.2">
      <c r="A276" s="53" t="s">
        <v>550</v>
      </c>
      <c r="B276" s="51">
        <v>22</v>
      </c>
      <c r="C276" s="52">
        <v>11.13</v>
      </c>
      <c r="D276" s="53"/>
      <c r="E276" s="53"/>
      <c r="F276" s="53"/>
      <c r="G276" s="53"/>
      <c r="H276" s="53"/>
      <c r="I276" s="53"/>
      <c r="J276" s="53"/>
      <c r="K276" s="53"/>
      <c r="L276" s="53">
        <v>0</v>
      </c>
      <c r="M276" s="53"/>
      <c r="N276" s="19"/>
      <c r="O276" s="19"/>
      <c r="P276" s="15">
        <v>140</v>
      </c>
      <c r="Q276" s="16">
        <f t="shared" ref="Q276" si="49">SUM(O276:P276)</f>
        <v>140</v>
      </c>
      <c r="R276" s="11"/>
      <c r="S276" s="16">
        <f t="shared" si="43"/>
        <v>1558.2</v>
      </c>
    </row>
    <row r="277" spans="1:19" ht="20.100000000000001" customHeight="1" x14ac:dyDescent="0.2">
      <c r="A277" s="53" t="s">
        <v>186</v>
      </c>
      <c r="B277" s="51">
        <v>22</v>
      </c>
      <c r="C277" s="52">
        <v>5.08</v>
      </c>
      <c r="D277" s="53"/>
      <c r="E277" s="53"/>
      <c r="F277" s="53"/>
      <c r="G277" s="53"/>
      <c r="H277" s="53"/>
      <c r="I277" s="53"/>
      <c r="J277" s="53"/>
      <c r="K277" s="53"/>
      <c r="L277" s="53">
        <v>1</v>
      </c>
      <c r="M277" s="93">
        <v>338</v>
      </c>
      <c r="N277" s="19">
        <v>250</v>
      </c>
      <c r="O277" s="19">
        <v>1000</v>
      </c>
      <c r="P277" s="15">
        <v>2248</v>
      </c>
      <c r="Q277" s="16">
        <f t="shared" si="47"/>
        <v>4128</v>
      </c>
      <c r="R277" s="11"/>
      <c r="S277" s="16">
        <f t="shared" si="43"/>
        <v>20970.240000000002</v>
      </c>
    </row>
    <row r="278" spans="1:19" ht="20.100000000000001" customHeight="1" x14ac:dyDescent="0.2">
      <c r="A278" s="57" t="s">
        <v>187</v>
      </c>
      <c r="B278" s="60">
        <v>22</v>
      </c>
      <c r="C278" s="58">
        <v>5</v>
      </c>
      <c r="D278" s="53"/>
      <c r="E278" s="53"/>
      <c r="F278" s="53"/>
      <c r="G278" s="53"/>
      <c r="H278" s="53"/>
      <c r="I278" s="53"/>
      <c r="J278" s="53"/>
      <c r="K278" s="53"/>
      <c r="L278" s="53">
        <v>2.2000000000000002</v>
      </c>
      <c r="M278" s="93">
        <v>330</v>
      </c>
      <c r="N278" s="19">
        <v>250</v>
      </c>
      <c r="O278" s="19">
        <v>1000</v>
      </c>
      <c r="P278" s="15">
        <v>1145</v>
      </c>
      <c r="Q278" s="16">
        <f t="shared" si="47"/>
        <v>2508.6363636363635</v>
      </c>
      <c r="R278" s="11"/>
      <c r="S278" s="16">
        <f t="shared" si="43"/>
        <v>12543.181818181818</v>
      </c>
    </row>
    <row r="279" spans="1:19" ht="20.100000000000001" customHeight="1" x14ac:dyDescent="0.2">
      <c r="A279" s="57" t="s">
        <v>582</v>
      </c>
      <c r="B279" s="60">
        <v>22</v>
      </c>
      <c r="C279" s="58">
        <v>5.08</v>
      </c>
      <c r="D279" s="53"/>
      <c r="E279" s="53"/>
      <c r="F279" s="53"/>
      <c r="G279" s="53"/>
      <c r="H279" s="53"/>
      <c r="I279" s="53"/>
      <c r="J279" s="53"/>
      <c r="K279" s="53"/>
      <c r="L279" s="53">
        <v>1.1000000000000001</v>
      </c>
      <c r="M279" s="53">
        <v>393</v>
      </c>
      <c r="N279" s="19">
        <v>250</v>
      </c>
      <c r="O279" s="19"/>
      <c r="P279" s="15">
        <v>418</v>
      </c>
      <c r="Q279" s="16">
        <f t="shared" si="47"/>
        <v>1718</v>
      </c>
      <c r="R279" s="11"/>
      <c r="S279" s="16">
        <f t="shared" si="43"/>
        <v>8727.44</v>
      </c>
    </row>
    <row r="280" spans="1:19" ht="20.100000000000001" customHeight="1" x14ac:dyDescent="0.2">
      <c r="A280" s="57" t="s">
        <v>581</v>
      </c>
      <c r="B280" s="60">
        <v>22</v>
      </c>
      <c r="C280" s="58">
        <v>5.08</v>
      </c>
      <c r="D280" s="53"/>
      <c r="E280" s="53"/>
      <c r="F280" s="53"/>
      <c r="G280" s="53"/>
      <c r="H280" s="53"/>
      <c r="I280" s="53"/>
      <c r="J280" s="53"/>
      <c r="K280" s="53"/>
      <c r="L280" s="53">
        <v>1.1000000000000001</v>
      </c>
      <c r="M280" s="53">
        <v>306</v>
      </c>
      <c r="N280" s="19">
        <v>250</v>
      </c>
      <c r="O280" s="19"/>
      <c r="P280" s="15">
        <v>1461</v>
      </c>
      <c r="Q280" s="16">
        <f t="shared" si="47"/>
        <v>1970.090909090909</v>
      </c>
      <c r="R280" s="11"/>
      <c r="S280" s="16">
        <f t="shared" si="43"/>
        <v>10008.061818181817</v>
      </c>
    </row>
    <row r="281" spans="1:19" ht="20.100000000000001" customHeight="1" x14ac:dyDescent="0.2">
      <c r="A281" s="20" t="s">
        <v>551</v>
      </c>
      <c r="B281" s="21">
        <v>22</v>
      </c>
      <c r="C281" s="25">
        <v>8.6</v>
      </c>
      <c r="D281" s="17"/>
      <c r="E281" s="17"/>
      <c r="F281" s="17"/>
      <c r="G281" s="17"/>
      <c r="H281" s="17"/>
      <c r="I281" s="17"/>
      <c r="J281" s="17"/>
      <c r="K281" s="17"/>
      <c r="L281" s="17">
        <v>2</v>
      </c>
      <c r="M281" s="17">
        <v>316</v>
      </c>
      <c r="N281" s="19">
        <v>250</v>
      </c>
      <c r="O281" s="19">
        <v>500</v>
      </c>
      <c r="P281" s="15">
        <v>347</v>
      </c>
      <c r="Q281" s="16">
        <f t="shared" si="47"/>
        <v>1177</v>
      </c>
      <c r="R281" s="11"/>
      <c r="S281" s="16">
        <f t="shared" si="43"/>
        <v>10122.199999999999</v>
      </c>
    </row>
    <row r="282" spans="1:19" ht="20.100000000000001" customHeight="1" x14ac:dyDescent="0.2">
      <c r="A282" s="17" t="s">
        <v>189</v>
      </c>
      <c r="B282" s="13">
        <v>22</v>
      </c>
      <c r="C282" s="18">
        <v>128.63999999999999</v>
      </c>
      <c r="D282" s="17"/>
      <c r="E282" s="17"/>
      <c r="F282" s="17"/>
      <c r="G282" s="17"/>
      <c r="H282" s="17"/>
      <c r="I282" s="17"/>
      <c r="J282" s="17"/>
      <c r="K282" s="17"/>
      <c r="L282" s="17">
        <v>0</v>
      </c>
      <c r="M282" s="17"/>
      <c r="N282" s="17"/>
      <c r="O282" s="19"/>
      <c r="P282" s="15">
        <v>100</v>
      </c>
      <c r="Q282" s="16">
        <f t="shared" ref="Q282" si="50">SUM(O282:P282)</f>
        <v>100</v>
      </c>
      <c r="R282" s="11"/>
      <c r="S282" s="16">
        <f t="shared" si="43"/>
        <v>12863.999999999998</v>
      </c>
    </row>
    <row r="283" spans="1:19" ht="20.100000000000001" customHeight="1" x14ac:dyDescent="0.2">
      <c r="A283" s="17" t="s">
        <v>584</v>
      </c>
      <c r="B283" s="13">
        <v>22</v>
      </c>
      <c r="C283" s="18">
        <v>169.29</v>
      </c>
      <c r="D283" s="17"/>
      <c r="E283" s="17"/>
      <c r="F283" s="17"/>
      <c r="G283" s="17"/>
      <c r="H283" s="17"/>
      <c r="I283" s="17"/>
      <c r="J283" s="17"/>
      <c r="K283" s="17"/>
      <c r="L283" s="17">
        <v>1</v>
      </c>
      <c r="M283" s="17">
        <v>272</v>
      </c>
      <c r="N283" s="17">
        <v>250</v>
      </c>
      <c r="O283" s="19"/>
      <c r="P283" s="15">
        <v>63</v>
      </c>
      <c r="Q283" s="16">
        <f t="shared" si="47"/>
        <v>283</v>
      </c>
      <c r="R283" s="11"/>
      <c r="S283" s="16">
        <f t="shared" si="43"/>
        <v>47909.07</v>
      </c>
    </row>
    <row r="284" spans="1:19" ht="20.100000000000001" customHeight="1" x14ac:dyDescent="0.2">
      <c r="A284" s="20" t="s">
        <v>585</v>
      </c>
      <c r="B284" s="21">
        <v>22</v>
      </c>
      <c r="C284" s="25">
        <v>4.93</v>
      </c>
      <c r="D284" s="17"/>
      <c r="E284" s="17"/>
      <c r="F284" s="17"/>
      <c r="G284" s="17"/>
      <c r="H284" s="17"/>
      <c r="I284" s="17"/>
      <c r="J284" s="17"/>
      <c r="K284" s="17"/>
      <c r="L284" s="17">
        <v>1.3</v>
      </c>
      <c r="M284" s="17">
        <v>277</v>
      </c>
      <c r="N284" s="17">
        <v>250</v>
      </c>
      <c r="O284" s="19"/>
      <c r="P284" s="15">
        <v>400</v>
      </c>
      <c r="Q284" s="16">
        <f t="shared" si="47"/>
        <v>607.69230769230762</v>
      </c>
      <c r="R284" s="11"/>
      <c r="S284" s="16">
        <f t="shared" si="43"/>
        <v>2995.9230769230762</v>
      </c>
    </row>
    <row r="285" spans="1:19" ht="20.100000000000001" customHeight="1" x14ac:dyDescent="0.2">
      <c r="A285" s="17" t="s">
        <v>586</v>
      </c>
      <c r="B285" s="13">
        <v>22</v>
      </c>
      <c r="C285" s="18">
        <v>10.61</v>
      </c>
      <c r="D285" s="17"/>
      <c r="E285" s="17"/>
      <c r="F285" s="17"/>
      <c r="G285" s="17"/>
      <c r="H285" s="17"/>
      <c r="I285" s="17"/>
      <c r="J285" s="17"/>
      <c r="K285" s="17"/>
      <c r="L285" s="17">
        <v>0.9</v>
      </c>
      <c r="M285" s="17">
        <v>268</v>
      </c>
      <c r="N285" s="17">
        <v>250</v>
      </c>
      <c r="O285" s="19"/>
      <c r="P285" s="15">
        <v>100</v>
      </c>
      <c r="Q285" s="16">
        <f t="shared" si="47"/>
        <v>300</v>
      </c>
      <c r="R285" s="11"/>
      <c r="S285" s="16">
        <f t="shared" si="43"/>
        <v>3183</v>
      </c>
    </row>
    <row r="286" spans="1:19" ht="20.100000000000001" customHeight="1" x14ac:dyDescent="0.2">
      <c r="A286" s="53" t="s">
        <v>852</v>
      </c>
      <c r="B286" s="51">
        <v>22</v>
      </c>
      <c r="C286" s="52">
        <v>5.44</v>
      </c>
      <c r="D286" s="53"/>
      <c r="E286" s="53"/>
      <c r="F286" s="53"/>
      <c r="G286" s="53"/>
      <c r="H286" s="53"/>
      <c r="I286" s="53"/>
      <c r="J286" s="53"/>
      <c r="K286" s="53"/>
      <c r="L286" s="53">
        <v>5.5</v>
      </c>
      <c r="M286" s="17">
        <v>443</v>
      </c>
      <c r="N286" s="17">
        <v>250</v>
      </c>
      <c r="O286" s="19"/>
      <c r="P286" s="15">
        <v>674</v>
      </c>
      <c r="Q286" s="16">
        <f t="shared" ref="Q286" si="51">SUM(O286:P286)</f>
        <v>674</v>
      </c>
      <c r="R286" s="11"/>
      <c r="S286" s="16">
        <f t="shared" si="43"/>
        <v>3666.5600000000004</v>
      </c>
    </row>
    <row r="287" spans="1:19" ht="20.100000000000001" customHeight="1" x14ac:dyDescent="0.2">
      <c r="A287" s="53" t="s">
        <v>587</v>
      </c>
      <c r="B287" s="51">
        <v>22</v>
      </c>
      <c r="C287" s="52">
        <v>145.18</v>
      </c>
      <c r="D287" s="53"/>
      <c r="E287" s="53"/>
      <c r="F287" s="53"/>
      <c r="G287" s="53"/>
      <c r="H287" s="53"/>
      <c r="I287" s="53"/>
      <c r="J287" s="53"/>
      <c r="K287" s="53"/>
      <c r="L287" s="53">
        <v>1.3</v>
      </c>
      <c r="M287" s="17">
        <v>273</v>
      </c>
      <c r="N287" s="17">
        <v>250</v>
      </c>
      <c r="O287" s="19"/>
      <c r="P287" s="15">
        <v>0</v>
      </c>
      <c r="Q287" s="16">
        <f t="shared" ref="Q287:Q335" si="52">SUM((J287-K287))+(M287-N287)*10/L287+O287+P287</f>
        <v>176.92307692307691</v>
      </c>
      <c r="R287" s="11"/>
      <c r="S287" s="16">
        <f t="shared" si="43"/>
        <v>25685.692307692305</v>
      </c>
    </row>
    <row r="288" spans="1:19" ht="20.100000000000001" customHeight="1" x14ac:dyDescent="0.2">
      <c r="A288" s="53" t="s">
        <v>827</v>
      </c>
      <c r="B288" s="51">
        <v>22</v>
      </c>
      <c r="C288" s="52">
        <v>8.1199999999999992</v>
      </c>
      <c r="D288" s="53"/>
      <c r="E288" s="53"/>
      <c r="F288" s="53"/>
      <c r="G288" s="53"/>
      <c r="H288" s="53"/>
      <c r="I288" s="53"/>
      <c r="J288" s="53"/>
      <c r="K288" s="53"/>
      <c r="L288" s="53">
        <v>0.9</v>
      </c>
      <c r="M288" s="17">
        <v>740.5</v>
      </c>
      <c r="N288" s="19">
        <v>250</v>
      </c>
      <c r="O288" s="19">
        <v>1000</v>
      </c>
      <c r="P288" s="15">
        <v>699</v>
      </c>
      <c r="Q288" s="55">
        <f t="shared" si="52"/>
        <v>7149</v>
      </c>
      <c r="R288" s="11"/>
      <c r="S288" s="16">
        <f t="shared" si="43"/>
        <v>58049.88</v>
      </c>
    </row>
    <row r="289" spans="1:19" ht="20.100000000000001" customHeight="1" x14ac:dyDescent="0.2">
      <c r="A289" s="53" t="s">
        <v>194</v>
      </c>
      <c r="B289" s="51">
        <v>22</v>
      </c>
      <c r="C289" s="52">
        <v>5</v>
      </c>
      <c r="D289" s="53"/>
      <c r="E289" s="53"/>
      <c r="F289" s="53"/>
      <c r="G289" s="53"/>
      <c r="H289" s="53"/>
      <c r="I289" s="53"/>
      <c r="J289" s="53"/>
      <c r="K289" s="53"/>
      <c r="L289" s="53">
        <v>1</v>
      </c>
      <c r="M289" s="92">
        <v>328</v>
      </c>
      <c r="N289" s="19">
        <v>250</v>
      </c>
      <c r="O289" s="19"/>
      <c r="P289" s="15">
        <v>962</v>
      </c>
      <c r="Q289" s="16">
        <f t="shared" si="52"/>
        <v>1742</v>
      </c>
      <c r="R289" s="11"/>
      <c r="S289" s="16">
        <f t="shared" si="43"/>
        <v>8710</v>
      </c>
    </row>
    <row r="290" spans="1:19" ht="20.100000000000001" customHeight="1" x14ac:dyDescent="0.2">
      <c r="A290" s="17" t="s">
        <v>428</v>
      </c>
      <c r="B290" s="13">
        <v>22</v>
      </c>
      <c r="C290" s="18">
        <v>5.2</v>
      </c>
      <c r="D290" s="17"/>
      <c r="E290" s="17"/>
      <c r="F290" s="17"/>
      <c r="G290" s="17"/>
      <c r="H290" s="17"/>
      <c r="I290" s="17"/>
      <c r="J290" s="17"/>
      <c r="K290" s="17"/>
      <c r="L290" s="17">
        <v>2</v>
      </c>
      <c r="M290" s="92">
        <v>283</v>
      </c>
      <c r="N290" s="19">
        <v>250</v>
      </c>
      <c r="O290" s="19"/>
      <c r="P290" s="15">
        <v>974</v>
      </c>
      <c r="Q290" s="16">
        <f t="shared" si="52"/>
        <v>1139</v>
      </c>
      <c r="R290" s="11"/>
      <c r="S290" s="16">
        <f t="shared" si="43"/>
        <v>5922.8</v>
      </c>
    </row>
    <row r="291" spans="1:19" ht="20.100000000000001" customHeight="1" x14ac:dyDescent="0.2">
      <c r="A291" s="53" t="s">
        <v>829</v>
      </c>
      <c r="B291" s="13">
        <v>22</v>
      </c>
      <c r="C291" s="18">
        <v>8.6999999999999993</v>
      </c>
      <c r="D291" s="17"/>
      <c r="E291" s="17"/>
      <c r="F291" s="17"/>
      <c r="G291" s="17"/>
      <c r="H291" s="17"/>
      <c r="I291" s="17"/>
      <c r="J291" s="17"/>
      <c r="K291" s="17"/>
      <c r="L291" s="17">
        <v>0.8</v>
      </c>
      <c r="M291" s="92">
        <v>273</v>
      </c>
      <c r="N291" s="19">
        <v>250</v>
      </c>
      <c r="O291" s="19"/>
      <c r="P291" s="15">
        <v>215</v>
      </c>
      <c r="Q291" s="16">
        <f t="shared" si="52"/>
        <v>502.5</v>
      </c>
      <c r="R291" s="11"/>
      <c r="S291" s="16">
        <f t="shared" si="43"/>
        <v>4371.75</v>
      </c>
    </row>
    <row r="292" spans="1:19" ht="20.100000000000001" customHeight="1" x14ac:dyDescent="0.2">
      <c r="A292" s="17" t="s">
        <v>200</v>
      </c>
      <c r="B292" s="26">
        <v>22</v>
      </c>
      <c r="C292" s="27">
        <v>8.08</v>
      </c>
      <c r="D292" s="28">
        <v>1976</v>
      </c>
      <c r="E292" s="17" t="s">
        <v>201</v>
      </c>
      <c r="F292" s="17" t="s">
        <v>95</v>
      </c>
      <c r="G292" s="29" t="s">
        <v>202</v>
      </c>
      <c r="H292" s="17">
        <v>500</v>
      </c>
      <c r="I292" s="17" t="s">
        <v>86</v>
      </c>
      <c r="J292" s="17"/>
      <c r="K292" s="17"/>
      <c r="L292" s="17">
        <v>1.5</v>
      </c>
      <c r="M292" s="17">
        <v>351</v>
      </c>
      <c r="N292" s="19">
        <v>250</v>
      </c>
      <c r="O292" s="19">
        <v>500</v>
      </c>
      <c r="P292" s="15">
        <v>1577</v>
      </c>
      <c r="Q292" s="16">
        <f t="shared" si="52"/>
        <v>2750.3333333333335</v>
      </c>
      <c r="R292" s="11"/>
      <c r="S292" s="16">
        <f t="shared" si="43"/>
        <v>22222.693333333336</v>
      </c>
    </row>
    <row r="293" spans="1:19" ht="20.100000000000001" customHeight="1" x14ac:dyDescent="0.2">
      <c r="A293" s="17" t="s">
        <v>588</v>
      </c>
      <c r="B293" s="26">
        <v>22</v>
      </c>
      <c r="C293" s="27">
        <v>8.2799999999999994</v>
      </c>
      <c r="D293" s="28"/>
      <c r="E293" s="17"/>
      <c r="F293" s="17"/>
      <c r="G293" s="29"/>
      <c r="H293" s="17"/>
      <c r="I293" s="17"/>
      <c r="J293" s="17"/>
      <c r="K293" s="17"/>
      <c r="L293" s="17">
        <v>0.6</v>
      </c>
      <c r="M293" s="92">
        <v>264</v>
      </c>
      <c r="N293" s="19">
        <v>250</v>
      </c>
      <c r="O293" s="19"/>
      <c r="P293" s="15">
        <v>443</v>
      </c>
      <c r="Q293" s="16">
        <f t="shared" si="52"/>
        <v>676.33333333333337</v>
      </c>
      <c r="R293" s="11"/>
      <c r="S293" s="16">
        <f t="shared" si="43"/>
        <v>5600.04</v>
      </c>
    </row>
    <row r="294" spans="1:19" ht="20.100000000000001" customHeight="1" x14ac:dyDescent="0.2">
      <c r="A294" s="17" t="s">
        <v>589</v>
      </c>
      <c r="B294" s="26">
        <v>22</v>
      </c>
      <c r="C294" s="27">
        <v>15.67</v>
      </c>
      <c r="D294" s="28"/>
      <c r="E294" s="17"/>
      <c r="F294" s="17"/>
      <c r="G294" s="29"/>
      <c r="H294" s="17"/>
      <c r="I294" s="17"/>
      <c r="J294" s="17"/>
      <c r="K294" s="17"/>
      <c r="L294" s="17">
        <v>1.2</v>
      </c>
      <c r="M294" s="92">
        <v>274</v>
      </c>
      <c r="N294" s="19">
        <v>250</v>
      </c>
      <c r="O294" s="19">
        <v>1000</v>
      </c>
      <c r="P294" s="15">
        <v>1664</v>
      </c>
      <c r="Q294" s="16">
        <f t="shared" si="52"/>
        <v>2864</v>
      </c>
      <c r="R294" s="11"/>
      <c r="S294" s="16">
        <f t="shared" si="43"/>
        <v>44878.879999999997</v>
      </c>
    </row>
    <row r="295" spans="1:19" ht="20.100000000000001" customHeight="1" x14ac:dyDescent="0.2">
      <c r="A295" s="17" t="s">
        <v>590</v>
      </c>
      <c r="B295" s="26">
        <v>22</v>
      </c>
      <c r="C295" s="27">
        <v>29.65</v>
      </c>
      <c r="D295" s="28"/>
      <c r="E295" s="17"/>
      <c r="F295" s="17"/>
      <c r="G295" s="29"/>
      <c r="H295" s="17"/>
      <c r="I295" s="17"/>
      <c r="J295" s="17"/>
      <c r="K295" s="17"/>
      <c r="L295" s="17">
        <v>2.4</v>
      </c>
      <c r="M295" s="92">
        <v>427</v>
      </c>
      <c r="N295" s="19">
        <v>250</v>
      </c>
      <c r="O295" s="19"/>
      <c r="P295" s="15">
        <v>1580</v>
      </c>
      <c r="Q295" s="16">
        <f t="shared" si="52"/>
        <v>2317.5</v>
      </c>
      <c r="R295" s="11"/>
      <c r="S295" s="16">
        <f t="shared" si="43"/>
        <v>68713.875</v>
      </c>
    </row>
    <row r="296" spans="1:19" ht="20.100000000000001" customHeight="1" x14ac:dyDescent="0.2">
      <c r="A296" s="20" t="s">
        <v>592</v>
      </c>
      <c r="B296" s="13">
        <v>22</v>
      </c>
      <c r="C296" s="22">
        <v>15.4</v>
      </c>
      <c r="D296" s="17"/>
      <c r="E296" s="17"/>
      <c r="F296" s="17"/>
      <c r="G296" s="17"/>
      <c r="H296" s="17"/>
      <c r="I296" s="17"/>
      <c r="J296" s="17"/>
      <c r="K296" s="17"/>
      <c r="L296" s="17">
        <v>1.3</v>
      </c>
      <c r="M296" s="17">
        <v>262</v>
      </c>
      <c r="N296" s="19">
        <v>250</v>
      </c>
      <c r="O296" s="19">
        <v>90</v>
      </c>
      <c r="P296" s="15">
        <v>140</v>
      </c>
      <c r="Q296" s="16">
        <f t="shared" si="52"/>
        <v>322.30769230769232</v>
      </c>
      <c r="R296" s="11"/>
      <c r="S296" s="16">
        <f t="shared" si="43"/>
        <v>4963.5384615384619</v>
      </c>
    </row>
    <row r="297" spans="1:19" ht="20.100000000000001" customHeight="1" x14ac:dyDescent="0.2">
      <c r="A297" s="20" t="s">
        <v>575</v>
      </c>
      <c r="B297" s="13">
        <v>22</v>
      </c>
      <c r="C297" s="22">
        <v>4.28</v>
      </c>
      <c r="D297" s="17"/>
      <c r="E297" s="17"/>
      <c r="F297" s="17"/>
      <c r="G297" s="17"/>
      <c r="H297" s="17"/>
      <c r="I297" s="17"/>
      <c r="J297" s="17"/>
      <c r="K297" s="53"/>
      <c r="L297" s="17">
        <v>1.2</v>
      </c>
      <c r="M297" s="17">
        <v>270</v>
      </c>
      <c r="N297" s="19">
        <v>250</v>
      </c>
      <c r="O297" s="19"/>
      <c r="P297" s="15">
        <v>1000</v>
      </c>
      <c r="Q297" s="16">
        <f t="shared" si="52"/>
        <v>1166.6666666666667</v>
      </c>
      <c r="R297" s="11"/>
      <c r="S297" s="16">
        <f t="shared" si="43"/>
        <v>4993.3333333333339</v>
      </c>
    </row>
    <row r="298" spans="1:19" ht="20.100000000000001" customHeight="1" x14ac:dyDescent="0.2">
      <c r="A298" s="17" t="s">
        <v>204</v>
      </c>
      <c r="B298" s="13">
        <v>22</v>
      </c>
      <c r="C298" s="18">
        <v>11.1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9"/>
      <c r="P298" s="15">
        <v>76</v>
      </c>
      <c r="Q298" s="16">
        <f t="shared" ref="Q298" si="53">SUM(O298:P298)</f>
        <v>76</v>
      </c>
      <c r="R298" s="11"/>
      <c r="S298" s="16">
        <f t="shared" si="43"/>
        <v>843.6</v>
      </c>
    </row>
    <row r="299" spans="1:19" ht="20.100000000000001" customHeight="1" x14ac:dyDescent="0.2">
      <c r="A299" s="17" t="s">
        <v>205</v>
      </c>
      <c r="B299" s="13">
        <v>22</v>
      </c>
      <c r="C299" s="18">
        <v>8.75</v>
      </c>
      <c r="D299" s="17"/>
      <c r="E299" s="17"/>
      <c r="F299" s="17"/>
      <c r="G299" s="17"/>
      <c r="H299" s="17"/>
      <c r="I299" s="17"/>
      <c r="J299" s="17"/>
      <c r="K299" s="17"/>
      <c r="L299" s="17">
        <v>3.3</v>
      </c>
      <c r="M299" s="92">
        <v>322</v>
      </c>
      <c r="N299" s="19">
        <v>250</v>
      </c>
      <c r="O299" s="19"/>
      <c r="P299" s="15">
        <v>392</v>
      </c>
      <c r="Q299" s="16">
        <f t="shared" si="52"/>
        <v>610.18181818181824</v>
      </c>
      <c r="R299" s="11"/>
      <c r="S299" s="16">
        <f t="shared" si="43"/>
        <v>5339.0909090909099</v>
      </c>
    </row>
    <row r="300" spans="1:19" ht="20.100000000000001" customHeight="1" x14ac:dyDescent="0.2">
      <c r="A300" s="17" t="s">
        <v>593</v>
      </c>
      <c r="B300" s="13">
        <v>22</v>
      </c>
      <c r="C300" s="18">
        <v>126.71</v>
      </c>
      <c r="D300" s="17"/>
      <c r="E300" s="17"/>
      <c r="F300" s="17"/>
      <c r="G300" s="17"/>
      <c r="H300" s="17"/>
      <c r="I300" s="17"/>
      <c r="J300" s="17"/>
      <c r="K300" s="17"/>
      <c r="L300" s="17">
        <v>2.5</v>
      </c>
      <c r="M300" s="92">
        <v>304</v>
      </c>
      <c r="N300" s="19">
        <v>250</v>
      </c>
      <c r="O300" s="19"/>
      <c r="P300" s="15">
        <v>300</v>
      </c>
      <c r="Q300" s="16">
        <f t="shared" si="52"/>
        <v>516</v>
      </c>
      <c r="R300" s="11"/>
      <c r="S300" s="16">
        <f t="shared" si="43"/>
        <v>65382.359999999993</v>
      </c>
    </row>
    <row r="301" spans="1:19" ht="20.100000000000001" customHeight="1" x14ac:dyDescent="0.2">
      <c r="A301" s="17" t="s">
        <v>210</v>
      </c>
      <c r="B301" s="13">
        <v>22</v>
      </c>
      <c r="C301" s="18">
        <v>77.63</v>
      </c>
      <c r="D301" s="17"/>
      <c r="E301" s="17"/>
      <c r="F301" s="17"/>
      <c r="G301" s="17"/>
      <c r="H301" s="17"/>
      <c r="I301" s="17"/>
      <c r="J301" s="17"/>
      <c r="K301" s="17"/>
      <c r="L301" s="17">
        <v>2</v>
      </c>
      <c r="M301" s="17"/>
      <c r="N301" s="17"/>
      <c r="O301" s="19"/>
      <c r="P301" s="15">
        <v>100</v>
      </c>
      <c r="Q301" s="16">
        <f t="shared" si="52"/>
        <v>100</v>
      </c>
      <c r="R301" s="11"/>
      <c r="S301" s="16">
        <f t="shared" si="43"/>
        <v>7763</v>
      </c>
    </row>
    <row r="302" spans="1:19" ht="20.100000000000001" customHeight="1" x14ac:dyDescent="0.2">
      <c r="A302" s="17" t="s">
        <v>211</v>
      </c>
      <c r="B302" s="13">
        <v>22</v>
      </c>
      <c r="C302" s="18">
        <v>93.96</v>
      </c>
      <c r="D302" s="17"/>
      <c r="E302" s="17"/>
      <c r="F302" s="17"/>
      <c r="G302" s="17"/>
      <c r="H302" s="17"/>
      <c r="I302" s="17"/>
      <c r="J302" s="17"/>
      <c r="K302" s="17"/>
      <c r="L302" s="17">
        <v>2.6</v>
      </c>
      <c r="M302" s="17"/>
      <c r="N302" s="17"/>
      <c r="O302" s="19"/>
      <c r="P302" s="15">
        <v>167</v>
      </c>
      <c r="Q302" s="16">
        <f t="shared" si="52"/>
        <v>167</v>
      </c>
      <c r="R302" s="11"/>
      <c r="S302" s="16">
        <f t="shared" si="43"/>
        <v>15691.32</v>
      </c>
    </row>
    <row r="303" spans="1:19" ht="20.100000000000001" customHeight="1" x14ac:dyDescent="0.2">
      <c r="A303" s="17" t="s">
        <v>595</v>
      </c>
      <c r="B303" s="13">
        <v>22</v>
      </c>
      <c r="C303" s="18">
        <v>7.49</v>
      </c>
      <c r="D303" s="17"/>
      <c r="E303" s="17"/>
      <c r="F303" s="17"/>
      <c r="G303" s="17"/>
      <c r="H303" s="17"/>
      <c r="I303" s="17"/>
      <c r="J303" s="17"/>
      <c r="K303" s="17"/>
      <c r="L303" s="17">
        <v>1.4</v>
      </c>
      <c r="M303" s="17">
        <v>357</v>
      </c>
      <c r="N303" s="19">
        <v>250</v>
      </c>
      <c r="O303" s="19">
        <v>1000</v>
      </c>
      <c r="P303" s="15">
        <v>167</v>
      </c>
      <c r="Q303" s="16">
        <f t="shared" si="52"/>
        <v>1931.2857142857142</v>
      </c>
      <c r="R303" s="11"/>
      <c r="S303" s="16">
        <f t="shared" si="43"/>
        <v>14465.33</v>
      </c>
    </row>
    <row r="304" spans="1:19" ht="20.100000000000001" customHeight="1" x14ac:dyDescent="0.2">
      <c r="A304" s="53" t="s">
        <v>785</v>
      </c>
      <c r="B304" s="51">
        <v>22</v>
      </c>
      <c r="C304" s="52">
        <v>8.5</v>
      </c>
      <c r="D304" s="53"/>
      <c r="E304" s="53"/>
      <c r="F304" s="53"/>
      <c r="G304" s="53"/>
      <c r="H304" s="53"/>
      <c r="I304" s="53"/>
      <c r="J304" s="53"/>
      <c r="K304" s="53"/>
      <c r="L304" s="53">
        <v>1.4</v>
      </c>
      <c r="M304" s="53">
        <v>329</v>
      </c>
      <c r="N304" s="19">
        <v>250</v>
      </c>
      <c r="O304" s="19">
        <v>500</v>
      </c>
      <c r="P304" s="15">
        <v>1950</v>
      </c>
      <c r="Q304" s="16">
        <f t="shared" si="52"/>
        <v>3014.2857142857142</v>
      </c>
      <c r="R304" s="11"/>
      <c r="S304" s="16">
        <f t="shared" si="43"/>
        <v>25621.428571428572</v>
      </c>
    </row>
    <row r="305" spans="1:19" ht="20.100000000000001" customHeight="1" x14ac:dyDescent="0.2">
      <c r="A305" s="57" t="s">
        <v>215</v>
      </c>
      <c r="B305" s="60">
        <v>22</v>
      </c>
      <c r="C305" s="58">
        <v>17</v>
      </c>
      <c r="D305" s="53"/>
      <c r="E305" s="53"/>
      <c r="F305" s="53"/>
      <c r="G305" s="53"/>
      <c r="H305" s="53"/>
      <c r="I305" s="53"/>
      <c r="J305" s="53"/>
      <c r="K305" s="53"/>
      <c r="L305" s="53">
        <v>0.9</v>
      </c>
      <c r="M305" s="93">
        <v>272</v>
      </c>
      <c r="N305" s="19">
        <v>250</v>
      </c>
      <c r="O305" s="19"/>
      <c r="P305" s="15">
        <v>263</v>
      </c>
      <c r="Q305" s="16">
        <f t="shared" si="52"/>
        <v>507.44444444444446</v>
      </c>
      <c r="R305" s="11"/>
      <c r="S305" s="16">
        <f t="shared" si="43"/>
        <v>8626.5555555555566</v>
      </c>
    </row>
    <row r="306" spans="1:19" ht="20.100000000000001" customHeight="1" x14ac:dyDescent="0.2">
      <c r="A306" s="53" t="s">
        <v>216</v>
      </c>
      <c r="B306" s="56">
        <v>22</v>
      </c>
      <c r="C306" s="52">
        <v>3.42</v>
      </c>
      <c r="D306" s="53">
        <v>2436</v>
      </c>
      <c r="E306" s="53">
        <v>500</v>
      </c>
      <c r="F306" s="53">
        <v>2436</v>
      </c>
      <c r="G306" s="53">
        <v>500</v>
      </c>
      <c r="H306" s="53"/>
      <c r="I306" s="53"/>
      <c r="J306" s="53"/>
      <c r="K306" s="53"/>
      <c r="L306" s="53">
        <v>3.8</v>
      </c>
      <c r="M306" s="93">
        <v>576</v>
      </c>
      <c r="N306" s="19">
        <v>250</v>
      </c>
      <c r="O306" s="19">
        <v>1000</v>
      </c>
      <c r="P306" s="15">
        <v>2225</v>
      </c>
      <c r="Q306" s="16">
        <f t="shared" si="52"/>
        <v>4082.8947368421054</v>
      </c>
      <c r="R306" s="11"/>
      <c r="S306" s="16">
        <f t="shared" si="43"/>
        <v>13963.5</v>
      </c>
    </row>
    <row r="307" spans="1:19" ht="20.100000000000001" customHeight="1" x14ac:dyDescent="0.2">
      <c r="A307" s="53" t="s">
        <v>217</v>
      </c>
      <c r="B307" s="56">
        <v>22</v>
      </c>
      <c r="C307" s="52">
        <v>3.42</v>
      </c>
      <c r="D307" s="53">
        <v>2436</v>
      </c>
      <c r="E307" s="53">
        <v>500</v>
      </c>
      <c r="F307" s="53">
        <v>2436</v>
      </c>
      <c r="G307" s="53">
        <v>500</v>
      </c>
      <c r="H307" s="53"/>
      <c r="I307" s="53"/>
      <c r="J307" s="53"/>
      <c r="K307" s="53"/>
      <c r="L307" s="53">
        <v>5.8</v>
      </c>
      <c r="M307" s="93">
        <v>533</v>
      </c>
      <c r="N307" s="19">
        <v>250</v>
      </c>
      <c r="O307" s="19">
        <v>1000</v>
      </c>
      <c r="P307" s="15">
        <v>1201</v>
      </c>
      <c r="Q307" s="16">
        <f t="shared" si="52"/>
        <v>2688.9310344827586</v>
      </c>
      <c r="R307" s="11"/>
      <c r="S307" s="16">
        <f t="shared" si="43"/>
        <v>9196.1441379310345</v>
      </c>
    </row>
    <row r="308" spans="1:19" ht="20.100000000000001" customHeight="1" x14ac:dyDescent="0.2">
      <c r="A308" s="53" t="s">
        <v>218</v>
      </c>
      <c r="B308" s="51">
        <v>22</v>
      </c>
      <c r="C308" s="52">
        <v>5.0999999999999996</v>
      </c>
      <c r="D308" s="53"/>
      <c r="E308" s="53"/>
      <c r="F308" s="53"/>
      <c r="G308" s="53"/>
      <c r="H308" s="53"/>
      <c r="I308" s="53"/>
      <c r="J308" s="53"/>
      <c r="K308" s="53"/>
      <c r="L308" s="53">
        <v>0.9</v>
      </c>
      <c r="M308" s="53"/>
      <c r="N308" s="19"/>
      <c r="O308" s="19"/>
      <c r="P308" s="15">
        <v>239</v>
      </c>
      <c r="Q308" s="16">
        <f t="shared" si="52"/>
        <v>239</v>
      </c>
      <c r="R308" s="11"/>
      <c r="S308" s="16">
        <f t="shared" ref="S308:S357" si="54">SUM(C:C*Q:Q)</f>
        <v>1218.8999999999999</v>
      </c>
    </row>
    <row r="309" spans="1:19" ht="20.100000000000001" customHeight="1" x14ac:dyDescent="0.2">
      <c r="A309" s="53" t="s">
        <v>219</v>
      </c>
      <c r="B309" s="51">
        <v>22</v>
      </c>
      <c r="C309" s="52">
        <v>8.4700000000000006</v>
      </c>
      <c r="D309" s="53"/>
      <c r="E309" s="53"/>
      <c r="F309" s="53"/>
      <c r="G309" s="53"/>
      <c r="H309" s="53"/>
      <c r="I309" s="53"/>
      <c r="J309" s="53"/>
      <c r="K309" s="53"/>
      <c r="L309" s="53">
        <v>0.9</v>
      </c>
      <c r="M309" s="53"/>
      <c r="N309" s="19"/>
      <c r="O309" s="19"/>
      <c r="P309" s="15">
        <v>496</v>
      </c>
      <c r="Q309" s="16">
        <f t="shared" si="52"/>
        <v>496</v>
      </c>
      <c r="R309" s="11"/>
      <c r="S309" s="16">
        <f t="shared" si="54"/>
        <v>4201.12</v>
      </c>
    </row>
    <row r="310" spans="1:19" ht="20.100000000000001" customHeight="1" x14ac:dyDescent="0.2">
      <c r="A310" s="53" t="s">
        <v>760</v>
      </c>
      <c r="B310" s="51">
        <v>22</v>
      </c>
      <c r="C310" s="52">
        <v>8.0500000000000007</v>
      </c>
      <c r="D310" s="53"/>
      <c r="E310" s="53"/>
      <c r="F310" s="53"/>
      <c r="G310" s="53"/>
      <c r="H310" s="53"/>
      <c r="I310" s="53"/>
      <c r="J310" s="53"/>
      <c r="K310" s="53"/>
      <c r="L310" s="53">
        <v>1.5</v>
      </c>
      <c r="M310" s="93">
        <v>272</v>
      </c>
      <c r="N310" s="19">
        <v>250</v>
      </c>
      <c r="O310" s="19"/>
      <c r="P310" s="15">
        <v>100</v>
      </c>
      <c r="Q310" s="16">
        <f t="shared" si="52"/>
        <v>246.66666666666666</v>
      </c>
      <c r="R310" s="11"/>
      <c r="S310" s="16">
        <f t="shared" si="54"/>
        <v>1985.6666666666667</v>
      </c>
    </row>
    <row r="311" spans="1:19" ht="20.100000000000001" customHeight="1" x14ac:dyDescent="0.2">
      <c r="A311" s="53" t="s">
        <v>455</v>
      </c>
      <c r="B311" s="51">
        <v>22</v>
      </c>
      <c r="C311" s="52">
        <v>7.39</v>
      </c>
      <c r="D311" s="53"/>
      <c r="E311" s="53"/>
      <c r="F311" s="53"/>
      <c r="G311" s="53"/>
      <c r="H311" s="53"/>
      <c r="I311" s="53"/>
      <c r="J311" s="53"/>
      <c r="K311" s="53"/>
      <c r="L311" s="53">
        <v>1</v>
      </c>
      <c r="M311" s="93">
        <v>576</v>
      </c>
      <c r="N311" s="19">
        <v>250</v>
      </c>
      <c r="O311" s="19"/>
      <c r="P311" s="15">
        <v>36</v>
      </c>
      <c r="Q311" s="16">
        <f t="shared" si="52"/>
        <v>3296</v>
      </c>
      <c r="R311" s="11"/>
      <c r="S311" s="16">
        <f t="shared" si="54"/>
        <v>24357.439999999999</v>
      </c>
    </row>
    <row r="312" spans="1:19" ht="20.100000000000001" customHeight="1" x14ac:dyDescent="0.2">
      <c r="A312" s="53" t="s">
        <v>830</v>
      </c>
      <c r="B312" s="51">
        <v>22</v>
      </c>
      <c r="C312" s="52">
        <v>15.94</v>
      </c>
      <c r="D312" s="53"/>
      <c r="E312" s="53"/>
      <c r="F312" s="53"/>
      <c r="G312" s="53"/>
      <c r="H312" s="53"/>
      <c r="I312" s="53"/>
      <c r="J312" s="53"/>
      <c r="K312" s="53"/>
      <c r="L312" s="53">
        <v>1.5</v>
      </c>
      <c r="M312" s="93">
        <v>575</v>
      </c>
      <c r="N312" s="19">
        <v>250</v>
      </c>
      <c r="O312" s="19"/>
      <c r="P312" s="15">
        <v>1559</v>
      </c>
      <c r="Q312" s="16">
        <f t="shared" si="52"/>
        <v>3725.6666666666665</v>
      </c>
      <c r="R312" s="11"/>
      <c r="S312" s="16">
        <f t="shared" si="54"/>
        <v>59387.126666666663</v>
      </c>
    </row>
    <row r="313" spans="1:19" ht="20.100000000000001" customHeight="1" x14ac:dyDescent="0.2">
      <c r="A313" s="53" t="s">
        <v>615</v>
      </c>
      <c r="B313" s="51">
        <v>22</v>
      </c>
      <c r="C313" s="52">
        <v>9.1</v>
      </c>
      <c r="D313" s="53"/>
      <c r="E313" s="53"/>
      <c r="F313" s="53"/>
      <c r="G313" s="53"/>
      <c r="H313" s="53"/>
      <c r="I313" s="53"/>
      <c r="J313" s="53"/>
      <c r="K313" s="53"/>
      <c r="L313" s="53">
        <v>1</v>
      </c>
      <c r="M313" s="53">
        <v>283</v>
      </c>
      <c r="N313" s="19">
        <v>250</v>
      </c>
      <c r="O313" s="19"/>
      <c r="P313" s="15">
        <v>370</v>
      </c>
      <c r="Q313" s="16">
        <f t="shared" si="52"/>
        <v>700</v>
      </c>
      <c r="R313" s="11"/>
      <c r="S313" s="16">
        <f t="shared" si="54"/>
        <v>6370</v>
      </c>
    </row>
    <row r="314" spans="1:19" ht="20.100000000000001" customHeight="1" x14ac:dyDescent="0.2">
      <c r="A314" s="17" t="s">
        <v>427</v>
      </c>
      <c r="B314" s="13">
        <v>22</v>
      </c>
      <c r="C314" s="18">
        <v>4.96</v>
      </c>
      <c r="D314" s="17"/>
      <c r="E314" s="17"/>
      <c r="F314" s="17"/>
      <c r="G314" s="17"/>
      <c r="H314" s="17"/>
      <c r="I314" s="17"/>
      <c r="J314" s="17"/>
      <c r="K314" s="17"/>
      <c r="L314" s="17">
        <v>1.4</v>
      </c>
      <c r="M314" s="17">
        <v>361</v>
      </c>
      <c r="N314" s="19">
        <v>250</v>
      </c>
      <c r="O314" s="19">
        <v>1000</v>
      </c>
      <c r="P314" s="15">
        <v>2544</v>
      </c>
      <c r="Q314" s="16">
        <f t="shared" si="52"/>
        <v>4336.8571428571431</v>
      </c>
      <c r="R314" s="11"/>
      <c r="S314" s="16">
        <f t="shared" si="54"/>
        <v>21510.811428571429</v>
      </c>
    </row>
    <row r="315" spans="1:19" ht="20.100000000000001" customHeight="1" x14ac:dyDescent="0.2">
      <c r="A315" s="20" t="s">
        <v>598</v>
      </c>
      <c r="B315" s="21">
        <v>22</v>
      </c>
      <c r="C315" s="22">
        <v>63.33</v>
      </c>
      <c r="D315" s="17"/>
      <c r="E315" s="17"/>
      <c r="F315" s="17"/>
      <c r="G315" s="17"/>
      <c r="H315" s="17"/>
      <c r="I315" s="17"/>
      <c r="J315" s="17"/>
      <c r="K315" s="17"/>
      <c r="L315" s="17">
        <v>2.8</v>
      </c>
      <c r="M315" s="17">
        <v>341</v>
      </c>
      <c r="N315" s="19">
        <v>250</v>
      </c>
      <c r="O315" s="19">
        <v>500</v>
      </c>
      <c r="P315" s="15">
        <v>980</v>
      </c>
      <c r="Q315" s="16">
        <f t="shared" si="52"/>
        <v>1805</v>
      </c>
      <c r="R315" s="11"/>
      <c r="S315" s="16">
        <f t="shared" si="54"/>
        <v>114310.65</v>
      </c>
    </row>
    <row r="316" spans="1:19" ht="20.100000000000001" customHeight="1" x14ac:dyDescent="0.2">
      <c r="A316" s="20" t="s">
        <v>599</v>
      </c>
      <c r="B316" s="21">
        <v>22</v>
      </c>
      <c r="C316" s="22">
        <v>20.57</v>
      </c>
      <c r="D316" s="17"/>
      <c r="E316" s="17"/>
      <c r="F316" s="17"/>
      <c r="G316" s="17"/>
      <c r="H316" s="17"/>
      <c r="I316" s="17"/>
      <c r="J316" s="17"/>
      <c r="K316" s="17"/>
      <c r="L316" s="17">
        <v>0.8</v>
      </c>
      <c r="M316" s="17">
        <v>250</v>
      </c>
      <c r="N316" s="19">
        <v>250</v>
      </c>
      <c r="O316" s="19">
        <v>500</v>
      </c>
      <c r="P316" s="15">
        <v>937</v>
      </c>
      <c r="Q316" s="16">
        <f t="shared" ref="Q316" si="55">SUM(O316:P316)</f>
        <v>1437</v>
      </c>
      <c r="R316" s="11"/>
      <c r="S316" s="16">
        <f t="shared" si="54"/>
        <v>29559.09</v>
      </c>
    </row>
    <row r="317" spans="1:19" ht="20.100000000000001" customHeight="1" x14ac:dyDescent="0.2">
      <c r="A317" s="20" t="s">
        <v>740</v>
      </c>
      <c r="B317" s="21">
        <v>22</v>
      </c>
      <c r="C317" s="22">
        <v>8.3000000000000007</v>
      </c>
      <c r="D317" s="17"/>
      <c r="E317" s="17"/>
      <c r="F317" s="17"/>
      <c r="G317" s="17"/>
      <c r="H317" s="17"/>
      <c r="I317" s="17"/>
      <c r="J317" s="17"/>
      <c r="K317" s="17"/>
      <c r="L317" s="53">
        <v>1.3</v>
      </c>
      <c r="M317" s="17">
        <v>471</v>
      </c>
      <c r="N317" s="19">
        <v>250</v>
      </c>
      <c r="O317" s="19"/>
      <c r="P317" s="15">
        <v>1417</v>
      </c>
      <c r="Q317" s="16">
        <f t="shared" si="52"/>
        <v>3117</v>
      </c>
      <c r="R317" s="11"/>
      <c r="S317" s="16">
        <f t="shared" si="54"/>
        <v>25871.100000000002</v>
      </c>
    </row>
    <row r="318" spans="1:19" ht="20.100000000000001" customHeight="1" x14ac:dyDescent="0.2">
      <c r="A318" s="20" t="s">
        <v>220</v>
      </c>
      <c r="B318" s="21">
        <v>22</v>
      </c>
      <c r="C318" s="22">
        <v>6.47</v>
      </c>
      <c r="D318" s="17"/>
      <c r="E318" s="17"/>
      <c r="F318" s="17"/>
      <c r="G318" s="17"/>
      <c r="H318" s="17"/>
      <c r="I318" s="17"/>
      <c r="J318" s="17"/>
      <c r="K318" s="17"/>
      <c r="L318" s="17">
        <v>4.5999999999999996</v>
      </c>
      <c r="M318" s="17">
        <v>358</v>
      </c>
      <c r="N318" s="19">
        <v>250</v>
      </c>
      <c r="O318" s="19"/>
      <c r="P318" s="15">
        <v>420</v>
      </c>
      <c r="Q318" s="16">
        <f t="shared" si="52"/>
        <v>654.78260869565224</v>
      </c>
      <c r="R318" s="11"/>
      <c r="S318" s="16">
        <f t="shared" si="54"/>
        <v>4236.4434782608696</v>
      </c>
    </row>
    <row r="319" spans="1:19" ht="20.100000000000001" customHeight="1" x14ac:dyDescent="0.2">
      <c r="A319" s="17" t="s">
        <v>221</v>
      </c>
      <c r="B319" s="13">
        <v>22</v>
      </c>
      <c r="C319" s="18">
        <v>8.07</v>
      </c>
      <c r="D319" s="17"/>
      <c r="E319" s="17"/>
      <c r="F319" s="17"/>
      <c r="G319" s="17"/>
      <c r="H319" s="17"/>
      <c r="I319" s="17"/>
      <c r="J319" s="17"/>
      <c r="K319" s="17"/>
      <c r="L319" s="17">
        <v>1.2</v>
      </c>
      <c r="M319" s="17">
        <v>268</v>
      </c>
      <c r="N319" s="19">
        <v>250</v>
      </c>
      <c r="O319" s="19"/>
      <c r="P319" s="15">
        <v>200</v>
      </c>
      <c r="Q319" s="16">
        <f t="shared" si="52"/>
        <v>350</v>
      </c>
      <c r="R319" s="11"/>
      <c r="S319" s="16">
        <f t="shared" si="54"/>
        <v>2824.5</v>
      </c>
    </row>
    <row r="320" spans="1:19" ht="20.100000000000001" customHeight="1" x14ac:dyDescent="0.2">
      <c r="A320" s="17" t="s">
        <v>738</v>
      </c>
      <c r="B320" s="13">
        <v>22</v>
      </c>
      <c r="C320" s="18">
        <v>143.27000000000001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9"/>
      <c r="O320" s="19"/>
      <c r="P320" s="15">
        <v>476</v>
      </c>
      <c r="Q320" s="55">
        <f t="shared" ref="Q320" si="56">SUM(O320:P320)</f>
        <v>476</v>
      </c>
      <c r="R320" s="11"/>
      <c r="S320" s="16">
        <f t="shared" si="54"/>
        <v>68196.52</v>
      </c>
    </row>
    <row r="321" spans="1:19" ht="20.100000000000001" customHeight="1" x14ac:dyDescent="0.2">
      <c r="A321" s="17" t="s">
        <v>739</v>
      </c>
      <c r="B321" s="13">
        <v>22</v>
      </c>
      <c r="C321" s="18">
        <v>265.98</v>
      </c>
      <c r="D321" s="17"/>
      <c r="E321" s="17"/>
      <c r="F321" s="17"/>
      <c r="G321" s="17"/>
      <c r="H321" s="17"/>
      <c r="I321" s="17"/>
      <c r="J321" s="17"/>
      <c r="K321" s="17"/>
      <c r="L321" s="17">
        <v>1.7</v>
      </c>
      <c r="M321" s="17">
        <v>302</v>
      </c>
      <c r="N321" s="19"/>
      <c r="O321" s="19"/>
      <c r="P321" s="15">
        <v>395</v>
      </c>
      <c r="Q321" s="16">
        <f t="shared" si="52"/>
        <v>2171.4705882352941</v>
      </c>
      <c r="R321" s="11"/>
      <c r="S321" s="16">
        <f t="shared" si="54"/>
        <v>577567.74705882359</v>
      </c>
    </row>
    <row r="322" spans="1:19" ht="20.100000000000001" customHeight="1" x14ac:dyDescent="0.2">
      <c r="A322" s="17" t="s">
        <v>600</v>
      </c>
      <c r="B322" s="13">
        <v>22</v>
      </c>
      <c r="C322" s="18">
        <v>16.43</v>
      </c>
      <c r="D322" s="17"/>
      <c r="E322" s="17"/>
      <c r="F322" s="17"/>
      <c r="G322" s="17"/>
      <c r="H322" s="17"/>
      <c r="I322" s="17"/>
      <c r="J322" s="17"/>
      <c r="K322" s="17"/>
      <c r="L322" s="17">
        <v>1.4</v>
      </c>
      <c r="M322" s="17">
        <v>342</v>
      </c>
      <c r="N322" s="19">
        <v>250</v>
      </c>
      <c r="O322" s="19"/>
      <c r="P322" s="15">
        <v>409</v>
      </c>
      <c r="Q322" s="16">
        <f t="shared" si="52"/>
        <v>1066.1428571428573</v>
      </c>
      <c r="R322" s="11"/>
      <c r="S322" s="16">
        <f t="shared" si="54"/>
        <v>17516.727142857148</v>
      </c>
    </row>
    <row r="323" spans="1:19" ht="20.100000000000001" customHeight="1" x14ac:dyDescent="0.2">
      <c r="A323" s="57" t="s">
        <v>601</v>
      </c>
      <c r="B323" s="51">
        <v>22</v>
      </c>
      <c r="C323" s="58">
        <v>26.72</v>
      </c>
      <c r="D323" s="53"/>
      <c r="E323" s="53"/>
      <c r="F323" s="53"/>
      <c r="G323" s="53"/>
      <c r="H323" s="53"/>
      <c r="I323" s="53"/>
      <c r="J323" s="53"/>
      <c r="K323" s="53"/>
      <c r="L323" s="53">
        <v>2.5</v>
      </c>
      <c r="M323" s="17">
        <v>304</v>
      </c>
      <c r="N323" s="19">
        <v>250</v>
      </c>
      <c r="O323" s="19"/>
      <c r="P323" s="15">
        <v>252</v>
      </c>
      <c r="Q323" s="16">
        <f t="shared" si="52"/>
        <v>468</v>
      </c>
      <c r="R323" s="11"/>
      <c r="S323" s="16">
        <f t="shared" si="54"/>
        <v>12504.96</v>
      </c>
    </row>
    <row r="324" spans="1:19" ht="20.100000000000001" customHeight="1" x14ac:dyDescent="0.2">
      <c r="A324" s="57" t="s">
        <v>602</v>
      </c>
      <c r="B324" s="51">
        <v>22</v>
      </c>
      <c r="C324" s="58">
        <v>10.78</v>
      </c>
      <c r="D324" s="53"/>
      <c r="E324" s="53"/>
      <c r="F324" s="53"/>
      <c r="G324" s="53"/>
      <c r="H324" s="53"/>
      <c r="I324" s="53"/>
      <c r="J324" s="53"/>
      <c r="K324" s="53"/>
      <c r="L324" s="53">
        <v>0.8</v>
      </c>
      <c r="M324" s="17"/>
      <c r="N324" s="19"/>
      <c r="O324" s="19"/>
      <c r="P324" s="15">
        <v>350</v>
      </c>
      <c r="Q324" s="16">
        <f t="shared" si="52"/>
        <v>350</v>
      </c>
      <c r="R324" s="11"/>
      <c r="S324" s="16">
        <f t="shared" si="54"/>
        <v>3773</v>
      </c>
    </row>
    <row r="325" spans="1:19" ht="20.100000000000001" customHeight="1" x14ac:dyDescent="0.2">
      <c r="A325" s="53" t="s">
        <v>222</v>
      </c>
      <c r="B325" s="51">
        <v>22</v>
      </c>
      <c r="C325" s="52">
        <v>9.92</v>
      </c>
      <c r="D325" s="53"/>
      <c r="E325" s="53"/>
      <c r="F325" s="53"/>
      <c r="G325" s="53"/>
      <c r="H325" s="53"/>
      <c r="I325" s="53"/>
      <c r="J325" s="53"/>
      <c r="K325" s="53"/>
      <c r="L325" s="53">
        <v>3</v>
      </c>
      <c r="M325" s="17">
        <v>305</v>
      </c>
      <c r="N325" s="19">
        <v>250</v>
      </c>
      <c r="O325" s="19"/>
      <c r="P325" s="15">
        <v>800</v>
      </c>
      <c r="Q325" s="16">
        <f t="shared" si="52"/>
        <v>983.33333333333337</v>
      </c>
      <c r="R325" s="11"/>
      <c r="S325" s="16">
        <f t="shared" si="54"/>
        <v>9754.6666666666679</v>
      </c>
    </row>
    <row r="326" spans="1:19" ht="20.100000000000001" customHeight="1" x14ac:dyDescent="0.2">
      <c r="A326" s="57" t="s">
        <v>223</v>
      </c>
      <c r="B326" s="51">
        <v>22</v>
      </c>
      <c r="C326" s="58">
        <v>5.63</v>
      </c>
      <c r="D326" s="53"/>
      <c r="E326" s="53"/>
      <c r="F326" s="53"/>
      <c r="G326" s="53"/>
      <c r="H326" s="53"/>
      <c r="I326" s="53"/>
      <c r="J326" s="53"/>
      <c r="K326" s="53"/>
      <c r="L326" s="53">
        <v>0.9</v>
      </c>
      <c r="M326" s="17">
        <v>278</v>
      </c>
      <c r="N326" s="19">
        <v>250</v>
      </c>
      <c r="O326" s="19"/>
      <c r="P326" s="15">
        <v>614</v>
      </c>
      <c r="Q326" s="16">
        <f t="shared" si="52"/>
        <v>925.11111111111109</v>
      </c>
      <c r="R326" s="11"/>
      <c r="S326" s="16">
        <f t="shared" si="54"/>
        <v>5208.3755555555554</v>
      </c>
    </row>
    <row r="327" spans="1:19" ht="20.100000000000001" customHeight="1" x14ac:dyDescent="0.2">
      <c r="A327" s="53" t="s">
        <v>224</v>
      </c>
      <c r="B327" s="51">
        <v>22</v>
      </c>
      <c r="C327" s="52">
        <v>12.37</v>
      </c>
      <c r="D327" s="53"/>
      <c r="E327" s="53"/>
      <c r="F327" s="53"/>
      <c r="G327" s="53"/>
      <c r="H327" s="53"/>
      <c r="I327" s="53"/>
      <c r="J327" s="53"/>
      <c r="K327" s="53"/>
      <c r="L327" s="53">
        <v>1</v>
      </c>
      <c r="M327" s="92">
        <v>338</v>
      </c>
      <c r="N327" s="19">
        <v>250</v>
      </c>
      <c r="O327" s="19">
        <v>1000</v>
      </c>
      <c r="P327" s="15">
        <v>225</v>
      </c>
      <c r="Q327" s="16">
        <f t="shared" si="52"/>
        <v>2105</v>
      </c>
      <c r="R327" s="11"/>
      <c r="S327" s="16">
        <f t="shared" si="54"/>
        <v>26038.85</v>
      </c>
    </row>
    <row r="328" spans="1:19" ht="20.100000000000001" customHeight="1" x14ac:dyDescent="0.2">
      <c r="A328" s="53" t="s">
        <v>225</v>
      </c>
      <c r="B328" s="51">
        <v>22</v>
      </c>
      <c r="C328" s="52">
        <v>19.510000000000002</v>
      </c>
      <c r="D328" s="53"/>
      <c r="E328" s="53"/>
      <c r="F328" s="53"/>
      <c r="G328" s="53"/>
      <c r="H328" s="53"/>
      <c r="I328" s="53"/>
      <c r="J328" s="53"/>
      <c r="K328" s="53"/>
      <c r="L328" s="53">
        <v>1.3</v>
      </c>
      <c r="M328" s="92">
        <v>266</v>
      </c>
      <c r="N328" s="19">
        <v>250</v>
      </c>
      <c r="O328" s="19">
        <v>1000</v>
      </c>
      <c r="P328" s="15">
        <v>505</v>
      </c>
      <c r="Q328" s="16">
        <f t="shared" si="52"/>
        <v>1628.0769230769231</v>
      </c>
      <c r="R328" s="11"/>
      <c r="S328" s="16">
        <f t="shared" si="54"/>
        <v>31763.780769230772</v>
      </c>
    </row>
    <row r="329" spans="1:19" ht="20.100000000000001" customHeight="1" x14ac:dyDescent="0.2">
      <c r="A329" s="53" t="s">
        <v>226</v>
      </c>
      <c r="B329" s="51">
        <v>22</v>
      </c>
      <c r="C329" s="52">
        <v>26.66</v>
      </c>
      <c r="D329" s="53"/>
      <c r="E329" s="53"/>
      <c r="F329" s="53"/>
      <c r="G329" s="53"/>
      <c r="H329" s="53"/>
      <c r="I329" s="53"/>
      <c r="J329" s="53"/>
      <c r="K329" s="53"/>
      <c r="L329" s="53">
        <v>2</v>
      </c>
      <c r="M329" s="92">
        <v>334</v>
      </c>
      <c r="N329" s="19">
        <v>250</v>
      </c>
      <c r="O329" s="19"/>
      <c r="P329" s="15">
        <v>320</v>
      </c>
      <c r="Q329" s="16">
        <f t="shared" si="52"/>
        <v>740</v>
      </c>
      <c r="R329" s="11"/>
      <c r="S329" s="16">
        <f t="shared" si="54"/>
        <v>19728.400000000001</v>
      </c>
    </row>
    <row r="330" spans="1:19" ht="20.100000000000001" customHeight="1" x14ac:dyDescent="0.2">
      <c r="A330" s="53" t="s">
        <v>227</v>
      </c>
      <c r="B330" s="51">
        <v>22</v>
      </c>
      <c r="C330" s="52">
        <v>5.96</v>
      </c>
      <c r="D330" s="53"/>
      <c r="E330" s="53"/>
      <c r="F330" s="53"/>
      <c r="G330" s="53"/>
      <c r="H330" s="53"/>
      <c r="I330" s="53"/>
      <c r="J330" s="53"/>
      <c r="K330" s="53"/>
      <c r="L330" s="53">
        <v>0.8</v>
      </c>
      <c r="M330" s="92">
        <v>337</v>
      </c>
      <c r="N330" s="19">
        <v>250</v>
      </c>
      <c r="O330" s="19"/>
      <c r="P330" s="15">
        <v>272</v>
      </c>
      <c r="Q330" s="16">
        <f t="shared" si="52"/>
        <v>1359.5</v>
      </c>
      <c r="R330" s="11"/>
      <c r="S330" s="16">
        <f t="shared" si="54"/>
        <v>8102.62</v>
      </c>
    </row>
    <row r="331" spans="1:19" ht="20.100000000000001" customHeight="1" x14ac:dyDescent="0.2">
      <c r="A331" s="53" t="s">
        <v>228</v>
      </c>
      <c r="B331" s="51">
        <v>22</v>
      </c>
      <c r="C331" s="52">
        <v>6.18</v>
      </c>
      <c r="D331" s="53"/>
      <c r="E331" s="53"/>
      <c r="F331" s="53"/>
      <c r="G331" s="53"/>
      <c r="H331" s="53"/>
      <c r="I331" s="53"/>
      <c r="J331" s="53"/>
      <c r="K331" s="53"/>
      <c r="L331" s="53">
        <v>1</v>
      </c>
      <c r="M331" s="92">
        <v>270</v>
      </c>
      <c r="N331" s="19">
        <v>250</v>
      </c>
      <c r="O331" s="19">
        <v>1000</v>
      </c>
      <c r="P331" s="15">
        <v>1267</v>
      </c>
      <c r="Q331" s="16">
        <f t="shared" si="52"/>
        <v>2467</v>
      </c>
      <c r="R331" s="11"/>
      <c r="S331" s="16">
        <f t="shared" si="54"/>
        <v>15246.06</v>
      </c>
    </row>
    <row r="332" spans="1:19" ht="20.100000000000001" customHeight="1" x14ac:dyDescent="0.2">
      <c r="A332" s="53" t="s">
        <v>713</v>
      </c>
      <c r="B332" s="51">
        <v>22</v>
      </c>
      <c r="C332" s="52">
        <v>8.24</v>
      </c>
      <c r="D332" s="53"/>
      <c r="E332" s="53"/>
      <c r="F332" s="53"/>
      <c r="G332" s="53"/>
      <c r="H332" s="53"/>
      <c r="I332" s="53"/>
      <c r="J332" s="53"/>
      <c r="K332" s="53"/>
      <c r="L332" s="53">
        <v>1.3</v>
      </c>
      <c r="M332" s="92">
        <v>269</v>
      </c>
      <c r="N332" s="54">
        <v>250</v>
      </c>
      <c r="O332" s="19">
        <v>1000</v>
      </c>
      <c r="P332" s="15">
        <v>204</v>
      </c>
      <c r="Q332" s="16">
        <f t="shared" si="52"/>
        <v>1350.1538461538462</v>
      </c>
      <c r="R332" s="56"/>
      <c r="S332" s="16">
        <f t="shared" si="54"/>
        <v>11125.267692307692</v>
      </c>
    </row>
    <row r="333" spans="1:19" ht="20.100000000000001" customHeight="1" x14ac:dyDescent="0.2">
      <c r="A333" s="53" t="s">
        <v>229</v>
      </c>
      <c r="B333" s="51">
        <v>22</v>
      </c>
      <c r="C333" s="52">
        <v>10.42</v>
      </c>
      <c r="D333" s="53"/>
      <c r="E333" s="53"/>
      <c r="F333" s="53"/>
      <c r="G333" s="53"/>
      <c r="H333" s="53"/>
      <c r="I333" s="53"/>
      <c r="J333" s="53"/>
      <c r="K333" s="53"/>
      <c r="L333" s="53">
        <v>1.9</v>
      </c>
      <c r="M333" s="92">
        <v>407</v>
      </c>
      <c r="N333" s="19">
        <v>250</v>
      </c>
      <c r="O333" s="19"/>
      <c r="P333" s="15">
        <v>293</v>
      </c>
      <c r="Q333" s="16">
        <f t="shared" si="52"/>
        <v>1119.3157894736842</v>
      </c>
      <c r="R333" s="11"/>
      <c r="S333" s="16">
        <f t="shared" si="54"/>
        <v>11663.27052631579</v>
      </c>
    </row>
    <row r="334" spans="1:19" ht="20.100000000000001" customHeight="1" x14ac:dyDescent="0.2">
      <c r="A334" s="53" t="s">
        <v>504</v>
      </c>
      <c r="B334" s="51">
        <v>22</v>
      </c>
      <c r="C334" s="52">
        <v>16.12</v>
      </c>
      <c r="D334" s="53"/>
      <c r="E334" s="53"/>
      <c r="F334" s="53"/>
      <c r="G334" s="53"/>
      <c r="H334" s="53"/>
      <c r="I334" s="53"/>
      <c r="J334" s="53"/>
      <c r="K334" s="53"/>
      <c r="L334" s="53">
        <v>1.2</v>
      </c>
      <c r="M334" s="17">
        <v>394</v>
      </c>
      <c r="N334" s="19">
        <v>250</v>
      </c>
      <c r="O334" s="19"/>
      <c r="P334" s="15">
        <v>284</v>
      </c>
      <c r="Q334" s="16">
        <f t="shared" si="52"/>
        <v>1484</v>
      </c>
      <c r="R334" s="11"/>
      <c r="S334" s="16">
        <f t="shared" si="54"/>
        <v>23922.080000000002</v>
      </c>
    </row>
    <row r="335" spans="1:19" ht="20.100000000000001" customHeight="1" x14ac:dyDescent="0.2">
      <c r="A335" s="57" t="s">
        <v>772</v>
      </c>
      <c r="B335" s="94">
        <v>21</v>
      </c>
      <c r="C335" s="58">
        <v>119.37</v>
      </c>
      <c r="D335" s="53"/>
      <c r="E335" s="53"/>
      <c r="F335" s="53"/>
      <c r="G335" s="53"/>
      <c r="H335" s="53"/>
      <c r="I335" s="53"/>
      <c r="J335" s="53"/>
      <c r="K335" s="53"/>
      <c r="L335" s="53">
        <v>0.8</v>
      </c>
      <c r="M335" s="17">
        <v>290</v>
      </c>
      <c r="N335" s="19">
        <v>250</v>
      </c>
      <c r="O335" s="19"/>
      <c r="P335" s="15">
        <v>0</v>
      </c>
      <c r="Q335" s="55">
        <f t="shared" si="52"/>
        <v>500</v>
      </c>
      <c r="R335" s="11"/>
      <c r="S335" s="16">
        <f t="shared" si="54"/>
        <v>59685</v>
      </c>
    </row>
    <row r="336" spans="1:19" ht="20.100000000000001" customHeight="1" x14ac:dyDescent="0.2">
      <c r="A336" s="57" t="s">
        <v>230</v>
      </c>
      <c r="B336" s="60">
        <v>22</v>
      </c>
      <c r="C336" s="58">
        <v>8.9600000000000009</v>
      </c>
      <c r="D336" s="53"/>
      <c r="E336" s="53"/>
      <c r="F336" s="53"/>
      <c r="G336" s="53"/>
      <c r="H336" s="53"/>
      <c r="I336" s="53"/>
      <c r="J336" s="53"/>
      <c r="K336" s="53"/>
      <c r="L336" s="53">
        <v>1.5</v>
      </c>
      <c r="M336" s="17">
        <v>381</v>
      </c>
      <c r="N336" s="19">
        <v>250</v>
      </c>
      <c r="O336" s="19">
        <v>1000</v>
      </c>
      <c r="P336" s="15">
        <v>448</v>
      </c>
      <c r="Q336" s="16">
        <f t="shared" ref="Q336:Q341" si="57">SUM((J336-K336))+(M336-N336)*10/L336+O336+P336</f>
        <v>2321.3333333333335</v>
      </c>
      <c r="R336" s="11"/>
      <c r="S336" s="16">
        <f t="shared" si="54"/>
        <v>20799.146666666671</v>
      </c>
    </row>
    <row r="337" spans="1:19" ht="20.100000000000001" customHeight="1" x14ac:dyDescent="0.2">
      <c r="A337" s="17" t="s">
        <v>231</v>
      </c>
      <c r="B337" s="13">
        <v>22</v>
      </c>
      <c r="C337" s="18">
        <v>8.25</v>
      </c>
      <c r="D337" s="17"/>
      <c r="E337" s="17"/>
      <c r="F337" s="17"/>
      <c r="G337" s="17"/>
      <c r="H337" s="17"/>
      <c r="I337" s="17"/>
      <c r="J337" s="17"/>
      <c r="K337" s="17"/>
      <c r="L337" s="17">
        <v>1.5</v>
      </c>
      <c r="M337" s="17">
        <v>490</v>
      </c>
      <c r="N337" s="19">
        <v>250</v>
      </c>
      <c r="O337" s="19"/>
      <c r="P337" s="15">
        <v>226</v>
      </c>
      <c r="Q337" s="16">
        <f t="shared" si="57"/>
        <v>1826</v>
      </c>
      <c r="R337" s="11"/>
      <c r="S337" s="16">
        <f t="shared" si="54"/>
        <v>15064.5</v>
      </c>
    </row>
    <row r="338" spans="1:19" ht="20.100000000000001" customHeight="1" x14ac:dyDescent="0.2">
      <c r="A338" s="17" t="s">
        <v>232</v>
      </c>
      <c r="B338" s="13">
        <v>22</v>
      </c>
      <c r="C338" s="27">
        <v>9.27</v>
      </c>
      <c r="D338" s="28"/>
      <c r="E338" s="17"/>
      <c r="F338" s="17"/>
      <c r="G338" s="29"/>
      <c r="H338" s="17"/>
      <c r="I338" s="17"/>
      <c r="J338" s="17"/>
      <c r="K338" s="17"/>
      <c r="L338" s="17">
        <v>1</v>
      </c>
      <c r="M338" s="17">
        <v>312</v>
      </c>
      <c r="N338" s="19">
        <v>250</v>
      </c>
      <c r="O338" s="19"/>
      <c r="P338" s="15">
        <v>200</v>
      </c>
      <c r="Q338" s="16">
        <f t="shared" si="57"/>
        <v>820</v>
      </c>
      <c r="R338" s="11"/>
      <c r="S338" s="16">
        <f t="shared" si="54"/>
        <v>7601.4</v>
      </c>
    </row>
    <row r="339" spans="1:19" ht="20.100000000000001" customHeight="1" x14ac:dyDescent="0.2">
      <c r="A339" s="17" t="s">
        <v>456</v>
      </c>
      <c r="B339" s="13">
        <v>22</v>
      </c>
      <c r="C339" s="27">
        <v>5.94</v>
      </c>
      <c r="D339" s="28"/>
      <c r="E339" s="17"/>
      <c r="F339" s="17"/>
      <c r="G339" s="29"/>
      <c r="H339" s="17"/>
      <c r="I339" s="17"/>
      <c r="J339" s="17"/>
      <c r="K339" s="17"/>
      <c r="L339" s="17">
        <v>0</v>
      </c>
      <c r="M339" s="17"/>
      <c r="N339" s="17"/>
      <c r="O339" s="19"/>
      <c r="P339" s="15">
        <v>476</v>
      </c>
      <c r="Q339" s="55">
        <f t="shared" ref="Q339" si="58">SUM(O339:P339)</f>
        <v>476</v>
      </c>
      <c r="R339" s="11"/>
      <c r="S339" s="16">
        <f t="shared" si="54"/>
        <v>2827.44</v>
      </c>
    </row>
    <row r="340" spans="1:19" ht="20.100000000000001" customHeight="1" x14ac:dyDescent="0.2">
      <c r="A340" s="17" t="s">
        <v>233</v>
      </c>
      <c r="B340" s="13">
        <v>22</v>
      </c>
      <c r="C340" s="18">
        <v>9.5</v>
      </c>
      <c r="D340" s="17"/>
      <c r="E340" s="17"/>
      <c r="F340" s="17"/>
      <c r="G340" s="17"/>
      <c r="H340" s="17"/>
      <c r="I340" s="17"/>
      <c r="J340" s="17"/>
      <c r="K340" s="17"/>
      <c r="L340" s="17">
        <v>1.2</v>
      </c>
      <c r="M340" s="92">
        <v>361</v>
      </c>
      <c r="N340" s="19">
        <v>250</v>
      </c>
      <c r="O340" s="19"/>
      <c r="P340" s="15">
        <v>0</v>
      </c>
      <c r="Q340" s="16">
        <f t="shared" si="57"/>
        <v>925</v>
      </c>
      <c r="R340" s="11"/>
      <c r="S340" s="16">
        <f t="shared" si="54"/>
        <v>8787.5</v>
      </c>
    </row>
    <row r="341" spans="1:19" ht="20.100000000000001" customHeight="1" x14ac:dyDescent="0.2">
      <c r="A341" s="17" t="s">
        <v>234</v>
      </c>
      <c r="B341" s="13">
        <v>22</v>
      </c>
      <c r="C341" s="18">
        <v>18.2</v>
      </c>
      <c r="D341" s="17"/>
      <c r="E341" s="17"/>
      <c r="F341" s="17"/>
      <c r="G341" s="17"/>
      <c r="H341" s="17"/>
      <c r="I341" s="17"/>
      <c r="J341" s="17"/>
      <c r="K341" s="17"/>
      <c r="L341" s="17">
        <v>1.2</v>
      </c>
      <c r="M341" s="92">
        <v>336</v>
      </c>
      <c r="N341" s="19">
        <v>250</v>
      </c>
      <c r="O341" s="19"/>
      <c r="P341" s="15">
        <v>0</v>
      </c>
      <c r="Q341" s="16">
        <f t="shared" si="57"/>
        <v>716.66666666666674</v>
      </c>
      <c r="R341" s="11"/>
      <c r="S341" s="16">
        <f t="shared" si="54"/>
        <v>13043.333333333334</v>
      </c>
    </row>
    <row r="342" spans="1:19" ht="20.100000000000001" customHeight="1" x14ac:dyDescent="0.2">
      <c r="A342" s="53" t="s">
        <v>769</v>
      </c>
      <c r="B342" s="51">
        <v>22</v>
      </c>
      <c r="C342" s="52">
        <v>112.6</v>
      </c>
      <c r="D342" s="53"/>
      <c r="E342" s="53"/>
      <c r="F342" s="53"/>
      <c r="G342" s="53"/>
      <c r="H342" s="53"/>
      <c r="I342" s="53"/>
      <c r="J342" s="53"/>
      <c r="K342" s="53"/>
      <c r="L342" s="53">
        <v>0.9</v>
      </c>
      <c r="M342" s="92">
        <v>265</v>
      </c>
      <c r="N342" s="19">
        <v>250</v>
      </c>
      <c r="O342" s="19"/>
      <c r="P342" s="15">
        <v>199</v>
      </c>
      <c r="Q342" s="16">
        <f t="shared" ref="Q342" si="59">SUM((J342-K342))+(M342-N342)*10/L342+O342+P342</f>
        <v>365.66666666666663</v>
      </c>
      <c r="R342" s="11"/>
      <c r="S342" s="16">
        <f t="shared" si="54"/>
        <v>41174.066666666658</v>
      </c>
    </row>
    <row r="343" spans="1:19" ht="20.100000000000001" customHeight="1" x14ac:dyDescent="0.2">
      <c r="A343" s="53" t="s">
        <v>608</v>
      </c>
      <c r="B343" s="51">
        <v>22</v>
      </c>
      <c r="C343" s="52">
        <v>211.58</v>
      </c>
      <c r="D343" s="53"/>
      <c r="E343" s="53"/>
      <c r="F343" s="53"/>
      <c r="G343" s="53"/>
      <c r="H343" s="53"/>
      <c r="I343" s="53"/>
      <c r="J343" s="53"/>
      <c r="K343" s="53"/>
      <c r="L343" s="53">
        <v>0.9</v>
      </c>
      <c r="M343" s="92">
        <v>264</v>
      </c>
      <c r="N343" s="19">
        <v>250</v>
      </c>
      <c r="O343" s="19"/>
      <c r="P343" s="15">
        <v>492</v>
      </c>
      <c r="Q343" s="16">
        <f t="shared" ref="Q343:Q357" si="60">SUM((J343-K343))+(M343-N343)*10/L343+O343+P343</f>
        <v>647.55555555555554</v>
      </c>
      <c r="R343" s="11"/>
      <c r="S343" s="16">
        <f t="shared" si="54"/>
        <v>137009.80444444445</v>
      </c>
    </row>
    <row r="344" spans="1:19" ht="20.100000000000001" customHeight="1" x14ac:dyDescent="0.2">
      <c r="A344" s="53" t="s">
        <v>609</v>
      </c>
      <c r="B344" s="51">
        <v>22</v>
      </c>
      <c r="C344" s="52">
        <v>404.16</v>
      </c>
      <c r="D344" s="53"/>
      <c r="E344" s="53"/>
      <c r="F344" s="53"/>
      <c r="G344" s="53"/>
      <c r="H344" s="53"/>
      <c r="I344" s="53"/>
      <c r="J344" s="53"/>
      <c r="K344" s="53"/>
      <c r="L344" s="53">
        <v>0.9</v>
      </c>
      <c r="M344" s="92">
        <v>277</v>
      </c>
      <c r="N344" s="19">
        <v>250</v>
      </c>
      <c r="O344" s="19"/>
      <c r="P344" s="15">
        <v>750</v>
      </c>
      <c r="Q344" s="16">
        <f t="shared" si="60"/>
        <v>1050</v>
      </c>
      <c r="R344" s="11"/>
      <c r="S344" s="16">
        <f t="shared" si="54"/>
        <v>424368</v>
      </c>
    </row>
    <row r="345" spans="1:19" ht="20.100000000000001" customHeight="1" x14ac:dyDescent="0.2">
      <c r="A345" s="57" t="s">
        <v>610</v>
      </c>
      <c r="B345" s="60">
        <v>22</v>
      </c>
      <c r="C345" s="58">
        <v>5.14</v>
      </c>
      <c r="D345" s="53"/>
      <c r="E345" s="53"/>
      <c r="F345" s="53"/>
      <c r="G345" s="53"/>
      <c r="H345" s="53"/>
      <c r="I345" s="53"/>
      <c r="J345" s="53"/>
      <c r="K345" s="53"/>
      <c r="L345" s="53">
        <v>1.5</v>
      </c>
      <c r="M345" s="17">
        <v>317</v>
      </c>
      <c r="N345" s="19">
        <v>250</v>
      </c>
      <c r="O345" s="19">
        <v>500</v>
      </c>
      <c r="P345" s="15">
        <v>682</v>
      </c>
      <c r="Q345" s="16">
        <f t="shared" si="60"/>
        <v>1628.6666666666667</v>
      </c>
      <c r="R345" s="11"/>
      <c r="S345" s="16">
        <f t="shared" si="54"/>
        <v>8371.3466666666664</v>
      </c>
    </row>
    <row r="346" spans="1:19" ht="20.100000000000001" customHeight="1" x14ac:dyDescent="0.2">
      <c r="A346" s="57" t="s">
        <v>611</v>
      </c>
      <c r="B346" s="60">
        <v>22</v>
      </c>
      <c r="C346" s="58">
        <v>6.95</v>
      </c>
      <c r="D346" s="53"/>
      <c r="E346" s="53"/>
      <c r="F346" s="53"/>
      <c r="G346" s="53"/>
      <c r="H346" s="53"/>
      <c r="I346" s="53"/>
      <c r="J346" s="53"/>
      <c r="K346" s="53"/>
      <c r="L346" s="53">
        <v>1.5</v>
      </c>
      <c r="M346" s="17">
        <v>309</v>
      </c>
      <c r="N346" s="19">
        <v>250</v>
      </c>
      <c r="O346" s="19"/>
      <c r="P346" s="15">
        <v>916</v>
      </c>
      <c r="Q346" s="16">
        <f t="shared" si="60"/>
        <v>1309.3333333333333</v>
      </c>
      <c r="R346" s="11"/>
      <c r="S346" s="16">
        <f t="shared" si="54"/>
        <v>9099.8666666666668</v>
      </c>
    </row>
    <row r="347" spans="1:19" ht="20.100000000000001" customHeight="1" x14ac:dyDescent="0.2">
      <c r="A347" s="57" t="s">
        <v>235</v>
      </c>
      <c r="B347" s="60">
        <v>22</v>
      </c>
      <c r="C347" s="58">
        <v>32.799999999999997</v>
      </c>
      <c r="D347" s="53"/>
      <c r="E347" s="53"/>
      <c r="F347" s="53"/>
      <c r="G347" s="53"/>
      <c r="H347" s="53"/>
      <c r="I347" s="53"/>
      <c r="J347" s="53"/>
      <c r="K347" s="53"/>
      <c r="L347" s="53">
        <v>5.4</v>
      </c>
      <c r="M347" s="17">
        <v>387</v>
      </c>
      <c r="N347" s="19">
        <v>250</v>
      </c>
      <c r="O347" s="19"/>
      <c r="P347" s="15">
        <v>432</v>
      </c>
      <c r="Q347" s="16">
        <f t="shared" si="60"/>
        <v>685.7037037037037</v>
      </c>
      <c r="R347" s="11"/>
      <c r="S347" s="16">
        <f t="shared" si="54"/>
        <v>22491.08148148148</v>
      </c>
    </row>
    <row r="348" spans="1:19" ht="20.100000000000001" customHeight="1" x14ac:dyDescent="0.2">
      <c r="A348" s="57" t="s">
        <v>236</v>
      </c>
      <c r="B348" s="51">
        <v>22</v>
      </c>
      <c r="C348" s="58">
        <v>9.5500000000000007</v>
      </c>
      <c r="D348" s="53"/>
      <c r="E348" s="53"/>
      <c r="F348" s="53"/>
      <c r="G348" s="53"/>
      <c r="H348" s="53"/>
      <c r="I348" s="53"/>
      <c r="J348" s="53"/>
      <c r="K348" s="53"/>
      <c r="L348" s="53">
        <v>2.1</v>
      </c>
      <c r="M348" s="17">
        <v>250</v>
      </c>
      <c r="N348" s="19">
        <v>250</v>
      </c>
      <c r="O348" s="19"/>
      <c r="P348" s="15">
        <v>379</v>
      </c>
      <c r="Q348" s="16">
        <f t="shared" ref="Q348" si="61">SUM(O348:P348)</f>
        <v>379</v>
      </c>
      <c r="R348" s="11"/>
      <c r="S348" s="16">
        <f t="shared" si="54"/>
        <v>3619.4500000000003</v>
      </c>
    </row>
    <row r="349" spans="1:19" ht="20.100000000000001" customHeight="1" x14ac:dyDescent="0.2">
      <c r="A349" s="53" t="s">
        <v>237</v>
      </c>
      <c r="B349" s="56">
        <v>22</v>
      </c>
      <c r="C349" s="52">
        <v>7.72</v>
      </c>
      <c r="D349" s="53">
        <v>6525</v>
      </c>
      <c r="E349" s="53">
        <v>500</v>
      </c>
      <c r="F349" s="53">
        <v>6525</v>
      </c>
      <c r="G349" s="53">
        <v>500</v>
      </c>
      <c r="H349" s="53"/>
      <c r="I349" s="53"/>
      <c r="J349" s="53"/>
      <c r="K349" s="53"/>
      <c r="L349" s="53">
        <v>1.7</v>
      </c>
      <c r="M349" s="17">
        <v>399</v>
      </c>
      <c r="N349" s="19">
        <v>250</v>
      </c>
      <c r="O349" s="19"/>
      <c r="P349" s="15">
        <v>1340</v>
      </c>
      <c r="Q349" s="16">
        <f t="shared" si="60"/>
        <v>2216.4705882352941</v>
      </c>
      <c r="R349" s="11"/>
      <c r="S349" s="16">
        <f t="shared" si="54"/>
        <v>17111.152941176471</v>
      </c>
    </row>
    <row r="350" spans="1:19" ht="20.100000000000001" customHeight="1" x14ac:dyDescent="0.2">
      <c r="A350" s="53" t="s">
        <v>241</v>
      </c>
      <c r="B350" s="51">
        <v>22</v>
      </c>
      <c r="C350" s="52">
        <v>32.96</v>
      </c>
      <c r="D350" s="53">
        <v>23128</v>
      </c>
      <c r="E350" s="53">
        <v>100</v>
      </c>
      <c r="F350" s="53">
        <v>23128</v>
      </c>
      <c r="G350" s="53">
        <v>100</v>
      </c>
      <c r="H350" s="53"/>
      <c r="I350" s="53"/>
      <c r="J350" s="53"/>
      <c r="K350" s="53"/>
      <c r="L350" s="53">
        <v>0</v>
      </c>
      <c r="M350" s="17"/>
      <c r="N350" s="19"/>
      <c r="O350" s="19"/>
      <c r="P350" s="15">
        <v>325</v>
      </c>
      <c r="Q350" s="16">
        <f t="shared" ref="Q350" si="62">SUM(O350:P350)</f>
        <v>325</v>
      </c>
      <c r="R350" s="11"/>
      <c r="S350" s="16">
        <f t="shared" si="54"/>
        <v>10712</v>
      </c>
    </row>
    <row r="351" spans="1:19" ht="20.100000000000001" customHeight="1" x14ac:dyDescent="0.2">
      <c r="A351" s="57" t="s">
        <v>242</v>
      </c>
      <c r="B351" s="60">
        <v>22</v>
      </c>
      <c r="C351" s="58">
        <v>8.6999999999999993</v>
      </c>
      <c r="D351" s="53"/>
      <c r="E351" s="53"/>
      <c r="F351" s="53"/>
      <c r="G351" s="53"/>
      <c r="H351" s="53"/>
      <c r="I351" s="53"/>
      <c r="J351" s="53"/>
      <c r="K351" s="53"/>
      <c r="L351" s="53">
        <v>1.9</v>
      </c>
      <c r="M351" s="17">
        <v>624</v>
      </c>
      <c r="N351" s="19">
        <v>250</v>
      </c>
      <c r="O351" s="19"/>
      <c r="P351" s="15">
        <v>1500</v>
      </c>
      <c r="Q351" s="16">
        <f t="shared" si="60"/>
        <v>3468.4210526315792</v>
      </c>
      <c r="R351" s="11"/>
      <c r="S351" s="16">
        <f t="shared" si="54"/>
        <v>30175.263157894737</v>
      </c>
    </row>
    <row r="352" spans="1:19" ht="20.100000000000001" customHeight="1" x14ac:dyDescent="0.2">
      <c r="A352" s="57" t="s">
        <v>786</v>
      </c>
      <c r="B352" s="60">
        <v>22</v>
      </c>
      <c r="C352" s="58">
        <v>8.9</v>
      </c>
      <c r="D352" s="53"/>
      <c r="E352" s="53"/>
      <c r="F352" s="53"/>
      <c r="G352" s="53"/>
      <c r="H352" s="53"/>
      <c r="I352" s="53"/>
      <c r="J352" s="53"/>
      <c r="K352" s="53"/>
      <c r="L352" s="53">
        <v>0.8</v>
      </c>
      <c r="M352" s="17">
        <v>281</v>
      </c>
      <c r="N352" s="19">
        <v>250</v>
      </c>
      <c r="O352" s="19"/>
      <c r="P352" s="15">
        <v>579</v>
      </c>
      <c r="Q352" s="16">
        <f t="shared" si="60"/>
        <v>966.5</v>
      </c>
      <c r="R352" s="11"/>
      <c r="S352" s="16">
        <f t="shared" si="54"/>
        <v>8601.85</v>
      </c>
    </row>
    <row r="353" spans="1:19" ht="20.100000000000001" customHeight="1" x14ac:dyDescent="0.2">
      <c r="A353" s="57" t="s">
        <v>613</v>
      </c>
      <c r="B353" s="60">
        <v>22</v>
      </c>
      <c r="C353" s="58">
        <v>9.5</v>
      </c>
      <c r="D353" s="53"/>
      <c r="E353" s="53"/>
      <c r="F353" s="53"/>
      <c r="G353" s="53"/>
      <c r="H353" s="53"/>
      <c r="I353" s="53"/>
      <c r="J353" s="53"/>
      <c r="K353" s="53"/>
      <c r="L353" s="53">
        <v>0.8</v>
      </c>
      <c r="M353" s="17">
        <v>282</v>
      </c>
      <c r="N353" s="19">
        <v>250</v>
      </c>
      <c r="O353" s="19">
        <v>1000</v>
      </c>
      <c r="P353" s="15">
        <v>376</v>
      </c>
      <c r="Q353" s="16">
        <f t="shared" si="60"/>
        <v>1776</v>
      </c>
      <c r="R353" s="11"/>
      <c r="S353" s="16">
        <f t="shared" si="54"/>
        <v>16872</v>
      </c>
    </row>
    <row r="354" spans="1:19" ht="20.100000000000001" customHeight="1" x14ac:dyDescent="0.2">
      <c r="A354" s="20" t="s">
        <v>614</v>
      </c>
      <c r="B354" s="21">
        <v>22</v>
      </c>
      <c r="C354" s="22">
        <v>17.25</v>
      </c>
      <c r="D354" s="17"/>
      <c r="E354" s="17"/>
      <c r="F354" s="17"/>
      <c r="G354" s="17"/>
      <c r="H354" s="17"/>
      <c r="I354" s="17"/>
      <c r="J354" s="17"/>
      <c r="K354" s="17"/>
      <c r="L354" s="17">
        <v>1.7</v>
      </c>
      <c r="M354" s="17">
        <v>330</v>
      </c>
      <c r="N354" s="19">
        <v>250</v>
      </c>
      <c r="O354" s="19">
        <v>1000</v>
      </c>
      <c r="P354" s="15">
        <v>300</v>
      </c>
      <c r="Q354" s="16">
        <f t="shared" si="60"/>
        <v>1770.5882352941176</v>
      </c>
      <c r="R354" s="11"/>
      <c r="S354" s="16">
        <f t="shared" si="54"/>
        <v>30542.647058823528</v>
      </c>
    </row>
    <row r="355" spans="1:19" ht="20.100000000000001" customHeight="1" x14ac:dyDescent="0.2">
      <c r="A355" s="20" t="s">
        <v>244</v>
      </c>
      <c r="B355" s="13">
        <v>22</v>
      </c>
      <c r="C355" s="22">
        <v>9.52</v>
      </c>
      <c r="D355" s="17"/>
      <c r="E355" s="17"/>
      <c r="F355" s="17"/>
      <c r="G355" s="17"/>
      <c r="H355" s="17"/>
      <c r="I355" s="17"/>
      <c r="J355" s="17"/>
      <c r="K355" s="17"/>
      <c r="L355" s="17">
        <v>2.2000000000000002</v>
      </c>
      <c r="M355" s="17"/>
      <c r="N355" s="19"/>
      <c r="O355" s="19"/>
      <c r="P355" s="15">
        <v>162</v>
      </c>
      <c r="Q355" s="16">
        <f t="shared" si="60"/>
        <v>162</v>
      </c>
      <c r="R355" s="11"/>
      <c r="S355" s="16">
        <f t="shared" si="54"/>
        <v>1542.24</v>
      </c>
    </row>
    <row r="356" spans="1:19" ht="20.100000000000001" customHeight="1" x14ac:dyDescent="0.2">
      <c r="A356" s="20" t="s">
        <v>245</v>
      </c>
      <c r="B356" s="21">
        <v>22</v>
      </c>
      <c r="C356" s="22">
        <v>4.3099999999999996</v>
      </c>
      <c r="D356" s="17"/>
      <c r="E356" s="17"/>
      <c r="F356" s="17"/>
      <c r="G356" s="17"/>
      <c r="H356" s="17"/>
      <c r="I356" s="17"/>
      <c r="J356" s="17"/>
      <c r="K356" s="17"/>
      <c r="L356" s="17">
        <v>0.5</v>
      </c>
      <c r="M356" s="17">
        <v>270</v>
      </c>
      <c r="N356" s="19">
        <v>250</v>
      </c>
      <c r="O356" s="19"/>
      <c r="P356" s="15">
        <v>500</v>
      </c>
      <c r="Q356" s="16">
        <f t="shared" si="60"/>
        <v>900</v>
      </c>
      <c r="R356" s="11"/>
      <c r="S356" s="16">
        <f t="shared" si="54"/>
        <v>3878.9999999999995</v>
      </c>
    </row>
    <row r="357" spans="1:19" ht="20.100000000000001" customHeight="1" x14ac:dyDescent="0.2">
      <c r="A357" s="17" t="s">
        <v>246</v>
      </c>
      <c r="B357" s="13">
        <v>22</v>
      </c>
      <c r="C357" s="18">
        <v>13.1</v>
      </c>
      <c r="D357" s="17"/>
      <c r="E357" s="17"/>
      <c r="F357" s="17"/>
      <c r="G357" s="17"/>
      <c r="H357" s="17"/>
      <c r="I357" s="17"/>
      <c r="J357" s="17"/>
      <c r="K357" s="17"/>
      <c r="L357" s="17">
        <v>1.2</v>
      </c>
      <c r="M357" s="17">
        <v>283</v>
      </c>
      <c r="N357" s="19">
        <v>250</v>
      </c>
      <c r="O357" s="19"/>
      <c r="P357" s="15">
        <v>1471</v>
      </c>
      <c r="Q357" s="16">
        <f t="shared" si="60"/>
        <v>1746</v>
      </c>
      <c r="R357" s="11"/>
      <c r="S357" s="16">
        <f t="shared" si="54"/>
        <v>22872.6</v>
      </c>
    </row>
    <row r="358" spans="1:19" ht="20.100000000000001" customHeight="1" x14ac:dyDescent="0.2">
      <c r="A358" s="17"/>
      <c r="B358" s="13"/>
      <c r="C358" s="18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9"/>
      <c r="P358" s="15"/>
      <c r="Q358" s="16"/>
      <c r="R358" s="11"/>
      <c r="S358" s="16">
        <f>SUM(S3:S357)</f>
        <v>7722280.725081956</v>
      </c>
    </row>
    <row r="359" spans="1:19" ht="20.100000000000001" customHeight="1" x14ac:dyDescent="0.2">
      <c r="A359" s="17"/>
      <c r="B359" s="13"/>
      <c r="C359" s="18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9"/>
      <c r="P359" s="15"/>
      <c r="Q359" s="16"/>
      <c r="R359" s="11"/>
      <c r="S359" s="16"/>
    </row>
    <row r="360" spans="1:19" ht="20.100000000000001" customHeight="1" x14ac:dyDescent="0.2">
      <c r="A360" s="17"/>
      <c r="B360" s="13"/>
      <c r="C360" s="18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9"/>
      <c r="P360" s="15"/>
      <c r="Q360" s="16"/>
      <c r="R360" s="11"/>
      <c r="S360" s="16"/>
    </row>
    <row r="361" spans="1:19" ht="20.100000000000001" customHeight="1" x14ac:dyDescent="0.2">
      <c r="A361" s="17"/>
      <c r="B361" s="13"/>
      <c r="C361" s="18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9"/>
      <c r="P361" s="15"/>
      <c r="Q361" s="16"/>
      <c r="R361" s="11"/>
      <c r="S361" s="16"/>
    </row>
    <row r="362" spans="1:19" ht="20.100000000000001" customHeight="1" x14ac:dyDescent="0.2">
      <c r="A362" s="17"/>
      <c r="B362" s="13"/>
      <c r="C362" s="18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9"/>
      <c r="P362" s="15"/>
      <c r="Q362" s="16"/>
      <c r="R362" s="11"/>
      <c r="S362" s="16"/>
    </row>
    <row r="363" spans="1:19" ht="20.100000000000001" customHeight="1" x14ac:dyDescent="0.2">
      <c r="A363" s="17"/>
      <c r="B363" s="13"/>
      <c r="C363" s="18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9"/>
      <c r="P363" s="15"/>
      <c r="Q363" s="16"/>
      <c r="R363" s="11"/>
      <c r="S363" s="16"/>
    </row>
    <row r="364" spans="1:19" ht="20.100000000000001" customHeight="1" x14ac:dyDescent="0.2">
      <c r="A364" s="17"/>
      <c r="B364" s="13"/>
      <c r="C364" s="18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9"/>
      <c r="P364" s="15"/>
      <c r="Q364" s="16"/>
      <c r="R364" s="11"/>
      <c r="S364" s="16"/>
    </row>
  </sheetData>
  <sortState xmlns:xlrd2="http://schemas.microsoft.com/office/spreadsheetml/2017/richdata2" ref="A3:S368">
    <sortCondition ref="B3:B368"/>
  </sortState>
  <phoneticPr fontId="2"/>
  <pageMargins left="0.7" right="0.7" top="0.75" bottom="0.75" header="0.3" footer="0.3"/>
  <pageSetup paperSize="9" scale="7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2"/>
  <sheetViews>
    <sheetView zoomScale="115" zoomScaleNormal="115" workbookViewId="0">
      <pane ySplit="2" topLeftCell="A3" activePane="bottomLeft" state="frozen"/>
      <selection pane="bottomLeft" activeCell="Q39" sqref="Q39"/>
    </sheetView>
  </sheetViews>
  <sheetFormatPr defaultRowHeight="13.2" x14ac:dyDescent="0.2"/>
  <cols>
    <col min="1" max="1" width="30" style="1" customWidth="1"/>
    <col min="2" max="2" width="3.6640625" style="2" customWidth="1"/>
    <col min="3" max="3" width="8.44140625" style="90" customWidth="1"/>
    <col min="4" max="9" width="0" style="1" hidden="1" customWidth="1"/>
    <col min="10" max="11" width="8.6640625" style="78" customWidth="1"/>
    <col min="12" max="12" width="5.21875" style="78" customWidth="1"/>
    <col min="13" max="13" width="8.6640625" style="9" customWidth="1"/>
    <col min="14" max="14" width="6.21875" style="36" customWidth="1"/>
    <col min="15" max="15" width="8.6640625" style="9" customWidth="1"/>
  </cols>
  <sheetData>
    <row r="1" spans="1:15" ht="20.100000000000001" customHeight="1" x14ac:dyDescent="0.2">
      <c r="A1" s="1" t="s">
        <v>770</v>
      </c>
      <c r="C1" s="83"/>
      <c r="J1" s="77" t="s">
        <v>877</v>
      </c>
      <c r="K1" s="79" t="s">
        <v>1</v>
      </c>
      <c r="L1" s="80"/>
    </row>
    <row r="2" spans="1:15" ht="20.100000000000001" customHeight="1" x14ac:dyDescent="0.2">
      <c r="A2" s="10" t="s">
        <v>4</v>
      </c>
      <c r="B2" s="11" t="s">
        <v>5</v>
      </c>
      <c r="C2" s="84" t="s">
        <v>6</v>
      </c>
      <c r="D2" s="13"/>
      <c r="E2" s="13"/>
      <c r="F2" s="13"/>
      <c r="G2" s="13"/>
      <c r="H2" s="13"/>
      <c r="I2" s="13"/>
      <c r="J2" s="73" t="s">
        <v>7</v>
      </c>
      <c r="K2" s="73" t="s">
        <v>10</v>
      </c>
      <c r="L2" s="81" t="s">
        <v>11</v>
      </c>
      <c r="M2" s="16" t="s">
        <v>14</v>
      </c>
      <c r="N2" s="11" t="s">
        <v>15</v>
      </c>
      <c r="O2" s="16" t="s">
        <v>16</v>
      </c>
    </row>
    <row r="3" spans="1:15" ht="20.100000000000001" customHeight="1" x14ac:dyDescent="0.2">
      <c r="A3" s="17" t="s">
        <v>466</v>
      </c>
      <c r="B3" s="11">
        <v>11</v>
      </c>
      <c r="C3" s="84">
        <v>20.23</v>
      </c>
      <c r="D3" s="13"/>
      <c r="E3" s="13"/>
      <c r="F3" s="13"/>
      <c r="G3" s="13"/>
      <c r="H3" s="13"/>
      <c r="I3" s="13"/>
      <c r="J3" s="73">
        <v>0</v>
      </c>
      <c r="K3" s="73">
        <v>0</v>
      </c>
      <c r="L3" s="81">
        <v>0</v>
      </c>
      <c r="M3" s="16">
        <f>SUM(K:K-L:L+J:J)</f>
        <v>0</v>
      </c>
      <c r="N3" s="11" t="s">
        <v>679</v>
      </c>
      <c r="O3" s="16">
        <f>SUM(C:C*M:M)</f>
        <v>0</v>
      </c>
    </row>
    <row r="4" spans="1:15" ht="20.100000000000001" customHeight="1" x14ac:dyDescent="0.2">
      <c r="A4" s="17" t="s">
        <v>475</v>
      </c>
      <c r="B4" s="11">
        <v>11</v>
      </c>
      <c r="C4" s="84">
        <v>5.79</v>
      </c>
      <c r="D4" s="13"/>
      <c r="E4" s="13"/>
      <c r="F4" s="13"/>
      <c r="G4" s="13"/>
      <c r="H4" s="13"/>
      <c r="I4" s="13"/>
      <c r="J4" s="73">
        <v>500</v>
      </c>
      <c r="K4" s="73">
        <v>172</v>
      </c>
      <c r="L4" s="73">
        <v>115</v>
      </c>
      <c r="M4" s="16">
        <f>SUM(K:K-L:L+J:J)</f>
        <v>557</v>
      </c>
      <c r="N4" s="11" t="s">
        <v>679</v>
      </c>
      <c r="O4" s="16">
        <f t="shared" ref="O4:O45" si="0">SUM(C:C*M:M)</f>
        <v>3225.03</v>
      </c>
    </row>
    <row r="5" spans="1:15" ht="20.100000000000001" customHeight="1" x14ac:dyDescent="0.2">
      <c r="A5" s="20" t="s">
        <v>17</v>
      </c>
      <c r="B5" s="21">
        <v>11</v>
      </c>
      <c r="C5" s="85">
        <v>30.2</v>
      </c>
      <c r="D5" s="17"/>
      <c r="E5" s="17"/>
      <c r="F5" s="17"/>
      <c r="G5" s="17"/>
      <c r="H5" s="17"/>
      <c r="I5" s="17"/>
      <c r="J5" s="73">
        <v>100</v>
      </c>
      <c r="K5" s="73">
        <v>0</v>
      </c>
      <c r="L5" s="73">
        <v>0</v>
      </c>
      <c r="M5" s="16">
        <f t="shared" ref="M5:M45" si="1">SUM(K:K-L:L+J:J)</f>
        <v>100</v>
      </c>
      <c r="N5" s="11" t="s">
        <v>416</v>
      </c>
      <c r="O5" s="16">
        <f t="shared" si="0"/>
        <v>3020</v>
      </c>
    </row>
    <row r="6" spans="1:15" ht="20.100000000000001" customHeight="1" x14ac:dyDescent="0.2">
      <c r="A6" s="23" t="s">
        <v>462</v>
      </c>
      <c r="B6" s="11">
        <v>11</v>
      </c>
      <c r="C6" s="86">
        <v>17.2</v>
      </c>
      <c r="D6" s="17"/>
      <c r="E6" s="17"/>
      <c r="F6" s="17"/>
      <c r="G6" s="17"/>
      <c r="H6" s="17"/>
      <c r="I6" s="17"/>
      <c r="J6" s="73">
        <v>0</v>
      </c>
      <c r="K6" s="73">
        <v>142</v>
      </c>
      <c r="L6" s="73">
        <v>40</v>
      </c>
      <c r="M6" s="16">
        <f t="shared" si="1"/>
        <v>102</v>
      </c>
      <c r="N6" s="11" t="s">
        <v>416</v>
      </c>
      <c r="O6" s="16">
        <f t="shared" si="0"/>
        <v>1754.3999999999999</v>
      </c>
    </row>
    <row r="7" spans="1:15" ht="20.100000000000001" customHeight="1" x14ac:dyDescent="0.2">
      <c r="A7" s="20" t="s">
        <v>18</v>
      </c>
      <c r="B7" s="21">
        <v>11</v>
      </c>
      <c r="C7" s="85">
        <v>10.79</v>
      </c>
      <c r="D7" s="17"/>
      <c r="E7" s="17"/>
      <c r="F7" s="17"/>
      <c r="G7" s="17"/>
      <c r="H7" s="17"/>
      <c r="I7" s="17"/>
      <c r="J7" s="73">
        <v>300</v>
      </c>
      <c r="K7" s="73">
        <v>276</v>
      </c>
      <c r="L7" s="73">
        <v>237</v>
      </c>
      <c r="M7" s="16">
        <f t="shared" si="1"/>
        <v>339</v>
      </c>
      <c r="N7" s="11" t="s">
        <v>416</v>
      </c>
      <c r="O7" s="16">
        <f t="shared" si="0"/>
        <v>3657.8099999999995</v>
      </c>
    </row>
    <row r="8" spans="1:15" ht="20.100000000000001" customHeight="1" x14ac:dyDescent="0.2">
      <c r="A8" s="20" t="s">
        <v>19</v>
      </c>
      <c r="B8" s="21">
        <v>11</v>
      </c>
      <c r="C8" s="85">
        <v>8.91</v>
      </c>
      <c r="D8" s="17"/>
      <c r="E8" s="17"/>
      <c r="F8" s="17"/>
      <c r="G8" s="17"/>
      <c r="H8" s="17"/>
      <c r="I8" s="17"/>
      <c r="J8" s="73">
        <v>0</v>
      </c>
      <c r="K8" s="73">
        <v>66</v>
      </c>
      <c r="L8" s="73">
        <v>42</v>
      </c>
      <c r="M8" s="16">
        <f t="shared" si="1"/>
        <v>24</v>
      </c>
      <c r="N8" s="11" t="s">
        <v>416</v>
      </c>
      <c r="O8" s="16">
        <f t="shared" si="0"/>
        <v>213.84</v>
      </c>
    </row>
    <row r="9" spans="1:15" ht="20.100000000000001" customHeight="1" x14ac:dyDescent="0.2">
      <c r="A9" s="24" t="s">
        <v>421</v>
      </c>
      <c r="B9" s="11">
        <v>11</v>
      </c>
      <c r="C9" s="86">
        <v>59.7</v>
      </c>
      <c r="D9" s="17"/>
      <c r="E9" s="17"/>
      <c r="F9" s="17"/>
      <c r="G9" s="17"/>
      <c r="H9" s="17"/>
      <c r="I9" s="17"/>
      <c r="J9" s="73">
        <v>100</v>
      </c>
      <c r="K9" s="73">
        <v>134</v>
      </c>
      <c r="L9" s="73">
        <v>43</v>
      </c>
      <c r="M9" s="16">
        <f t="shared" si="1"/>
        <v>191</v>
      </c>
      <c r="N9" s="11" t="s">
        <v>416</v>
      </c>
      <c r="O9" s="16">
        <f t="shared" si="0"/>
        <v>11402.7</v>
      </c>
    </row>
    <row r="10" spans="1:15" ht="20.100000000000001" customHeight="1" x14ac:dyDescent="0.2">
      <c r="A10" s="24" t="s">
        <v>874</v>
      </c>
      <c r="B10" s="11">
        <v>11</v>
      </c>
      <c r="C10" s="86">
        <v>20.18</v>
      </c>
      <c r="D10" s="17"/>
      <c r="E10" s="17"/>
      <c r="F10" s="17"/>
      <c r="G10" s="17"/>
      <c r="H10" s="17"/>
      <c r="I10" s="17"/>
      <c r="J10" s="73">
        <v>600</v>
      </c>
      <c r="K10" s="73">
        <v>236</v>
      </c>
      <c r="L10" s="82">
        <v>232</v>
      </c>
      <c r="M10" s="16">
        <f t="shared" si="1"/>
        <v>604</v>
      </c>
      <c r="N10" s="11" t="s">
        <v>416</v>
      </c>
      <c r="O10" s="16">
        <f t="shared" si="0"/>
        <v>12188.72</v>
      </c>
    </row>
    <row r="11" spans="1:15" ht="20.100000000000001" customHeight="1" x14ac:dyDescent="0.2">
      <c r="A11" s="23" t="s">
        <v>21</v>
      </c>
      <c r="B11" s="13">
        <v>11</v>
      </c>
      <c r="C11" s="86">
        <v>121.5</v>
      </c>
      <c r="D11" s="17"/>
      <c r="E11" s="17"/>
      <c r="F11" s="17"/>
      <c r="G11" s="17"/>
      <c r="H11" s="17"/>
      <c r="I11" s="17"/>
      <c r="J11" s="73">
        <v>100</v>
      </c>
      <c r="K11" s="73">
        <v>119</v>
      </c>
      <c r="L11" s="73">
        <v>50</v>
      </c>
      <c r="M11" s="16">
        <f t="shared" si="1"/>
        <v>169</v>
      </c>
      <c r="N11" s="11" t="s">
        <v>416</v>
      </c>
      <c r="O11" s="16">
        <f t="shared" si="0"/>
        <v>20533.5</v>
      </c>
    </row>
    <row r="12" spans="1:15" ht="20.100000000000001" customHeight="1" x14ac:dyDescent="0.2">
      <c r="A12" s="23" t="s">
        <v>468</v>
      </c>
      <c r="B12" s="13">
        <v>11</v>
      </c>
      <c r="C12" s="86">
        <v>18.97</v>
      </c>
      <c r="D12" s="17"/>
      <c r="E12" s="17"/>
      <c r="F12" s="17"/>
      <c r="G12" s="17"/>
      <c r="H12" s="17"/>
      <c r="I12" s="17"/>
      <c r="J12" s="73">
        <v>0</v>
      </c>
      <c r="K12" s="73">
        <v>101</v>
      </c>
      <c r="L12" s="73">
        <v>64</v>
      </c>
      <c r="M12" s="16">
        <f t="shared" si="1"/>
        <v>37</v>
      </c>
      <c r="N12" s="11" t="s">
        <v>416</v>
      </c>
      <c r="O12" s="16">
        <f t="shared" si="0"/>
        <v>701.89</v>
      </c>
    </row>
    <row r="13" spans="1:15" ht="20.100000000000001" customHeight="1" x14ac:dyDescent="0.2">
      <c r="A13" s="20" t="s">
        <v>22</v>
      </c>
      <c r="B13" s="21">
        <v>11</v>
      </c>
      <c r="C13" s="85">
        <v>6.5</v>
      </c>
      <c r="D13" s="17"/>
      <c r="E13" s="17"/>
      <c r="F13" s="17"/>
      <c r="G13" s="17"/>
      <c r="H13" s="17"/>
      <c r="I13" s="17"/>
      <c r="J13" s="73">
        <v>500</v>
      </c>
      <c r="K13" s="73">
        <v>249</v>
      </c>
      <c r="L13" s="73">
        <v>97</v>
      </c>
      <c r="M13" s="16">
        <f t="shared" si="1"/>
        <v>652</v>
      </c>
      <c r="N13" s="11" t="s">
        <v>416</v>
      </c>
      <c r="O13" s="16">
        <f t="shared" si="0"/>
        <v>4238</v>
      </c>
    </row>
    <row r="14" spans="1:15" ht="20.100000000000001" customHeight="1" x14ac:dyDescent="0.2">
      <c r="A14" s="53" t="s">
        <v>680</v>
      </c>
      <c r="B14" s="13">
        <v>11</v>
      </c>
      <c r="C14" s="86">
        <v>6.36</v>
      </c>
      <c r="D14" s="17"/>
      <c r="E14" s="17"/>
      <c r="F14" s="17"/>
      <c r="G14" s="17"/>
      <c r="H14" s="17"/>
      <c r="I14" s="17"/>
      <c r="J14" s="73">
        <v>500</v>
      </c>
      <c r="K14" s="73">
        <v>346</v>
      </c>
      <c r="L14" s="73">
        <v>116</v>
      </c>
      <c r="M14" s="16">
        <f t="shared" si="1"/>
        <v>730</v>
      </c>
      <c r="N14" s="11" t="s">
        <v>416</v>
      </c>
      <c r="O14" s="16">
        <f t="shared" si="0"/>
        <v>4642.8</v>
      </c>
    </row>
    <row r="15" spans="1:15" ht="20.100000000000001" customHeight="1" x14ac:dyDescent="0.2">
      <c r="A15" s="17" t="s">
        <v>465</v>
      </c>
      <c r="B15" s="13">
        <v>11</v>
      </c>
      <c r="C15" s="86">
        <v>34</v>
      </c>
      <c r="D15" s="17"/>
      <c r="E15" s="17"/>
      <c r="F15" s="17"/>
      <c r="G15" s="17"/>
      <c r="H15" s="17"/>
      <c r="I15" s="17"/>
      <c r="J15" s="73">
        <v>100</v>
      </c>
      <c r="K15" s="73">
        <v>206</v>
      </c>
      <c r="L15" s="73">
        <v>175</v>
      </c>
      <c r="M15" s="16">
        <f t="shared" si="1"/>
        <v>131</v>
      </c>
      <c r="N15" s="11" t="s">
        <v>416</v>
      </c>
      <c r="O15" s="16">
        <f t="shared" si="0"/>
        <v>4454</v>
      </c>
    </row>
    <row r="16" spans="1:15" ht="20.100000000000001" customHeight="1" x14ac:dyDescent="0.2">
      <c r="A16" s="57" t="s">
        <v>681</v>
      </c>
      <c r="B16" s="21">
        <v>11</v>
      </c>
      <c r="C16" s="85">
        <v>8.73</v>
      </c>
      <c r="D16" s="17"/>
      <c r="E16" s="17"/>
      <c r="F16" s="17"/>
      <c r="G16" s="17"/>
      <c r="H16" s="17"/>
      <c r="I16" s="17"/>
      <c r="J16" s="73">
        <v>300</v>
      </c>
      <c r="K16" s="73">
        <v>298</v>
      </c>
      <c r="L16" s="73">
        <v>285</v>
      </c>
      <c r="M16" s="16">
        <f t="shared" si="1"/>
        <v>313</v>
      </c>
      <c r="N16" s="11" t="s">
        <v>416</v>
      </c>
      <c r="O16" s="16">
        <f t="shared" si="0"/>
        <v>2732.4900000000002</v>
      </c>
    </row>
    <row r="17" spans="1:15" ht="20.100000000000001" customHeight="1" x14ac:dyDescent="0.2">
      <c r="A17" s="57" t="s">
        <v>463</v>
      </c>
      <c r="B17" s="60">
        <v>11</v>
      </c>
      <c r="C17" s="87">
        <v>22.3</v>
      </c>
      <c r="D17" s="53"/>
      <c r="E17" s="53"/>
      <c r="F17" s="53"/>
      <c r="G17" s="53"/>
      <c r="H17" s="53"/>
      <c r="I17" s="53"/>
      <c r="J17" s="73">
        <v>0</v>
      </c>
      <c r="K17" s="73">
        <v>0</v>
      </c>
      <c r="L17" s="82"/>
      <c r="M17" s="16">
        <f t="shared" si="1"/>
        <v>0</v>
      </c>
      <c r="N17" s="11" t="s">
        <v>416</v>
      </c>
      <c r="O17" s="16">
        <f t="shared" si="0"/>
        <v>0</v>
      </c>
    </row>
    <row r="18" spans="1:15" ht="20.100000000000001" customHeight="1" x14ac:dyDescent="0.2">
      <c r="A18" s="63" t="s">
        <v>464</v>
      </c>
      <c r="B18" s="11">
        <v>11</v>
      </c>
      <c r="C18" s="86">
        <v>68.239999999999995</v>
      </c>
      <c r="D18" s="17"/>
      <c r="E18" s="17"/>
      <c r="F18" s="17"/>
      <c r="G18" s="17"/>
      <c r="H18" s="17"/>
      <c r="I18" s="17"/>
      <c r="J18" s="73">
        <v>100</v>
      </c>
      <c r="K18" s="73">
        <v>151</v>
      </c>
      <c r="L18" s="73">
        <v>98</v>
      </c>
      <c r="M18" s="16">
        <f t="shared" si="1"/>
        <v>153</v>
      </c>
      <c r="N18" s="11" t="s">
        <v>416</v>
      </c>
      <c r="O18" s="16">
        <f t="shared" si="0"/>
        <v>10440.719999999999</v>
      </c>
    </row>
    <row r="19" spans="1:15" ht="20.100000000000001" customHeight="1" x14ac:dyDescent="0.2">
      <c r="A19" s="63" t="s">
        <v>23</v>
      </c>
      <c r="B19" s="11">
        <v>11</v>
      </c>
      <c r="C19" s="88">
        <v>10.7</v>
      </c>
      <c r="D19" s="17"/>
      <c r="E19" s="17"/>
      <c r="F19" s="17"/>
      <c r="G19" s="17"/>
      <c r="H19" s="17"/>
      <c r="I19" s="17"/>
      <c r="J19" s="73">
        <v>426</v>
      </c>
      <c r="K19" s="73">
        <v>0</v>
      </c>
      <c r="L19" s="73"/>
      <c r="M19" s="16">
        <f t="shared" si="1"/>
        <v>426</v>
      </c>
      <c r="N19" s="11" t="s">
        <v>416</v>
      </c>
      <c r="O19" s="16">
        <f t="shared" si="0"/>
        <v>4558.2</v>
      </c>
    </row>
    <row r="20" spans="1:15" ht="20.100000000000001" customHeight="1" x14ac:dyDescent="0.2">
      <c r="A20" s="17" t="s">
        <v>24</v>
      </c>
      <c r="B20" s="13">
        <v>11</v>
      </c>
      <c r="C20" s="86">
        <v>25.38</v>
      </c>
      <c r="D20" s="17"/>
      <c r="E20" s="17"/>
      <c r="F20" s="17"/>
      <c r="G20" s="17"/>
      <c r="H20" s="17"/>
      <c r="I20" s="17"/>
      <c r="J20" s="73">
        <v>1000</v>
      </c>
      <c r="K20" s="73">
        <v>472</v>
      </c>
      <c r="L20" s="73">
        <v>108</v>
      </c>
      <c r="M20" s="16">
        <f t="shared" si="1"/>
        <v>1364</v>
      </c>
      <c r="N20" s="11" t="s">
        <v>416</v>
      </c>
      <c r="O20" s="16">
        <f t="shared" si="0"/>
        <v>34618.32</v>
      </c>
    </row>
    <row r="21" spans="1:15" ht="20.100000000000001" customHeight="1" x14ac:dyDescent="0.2">
      <c r="A21" s="57" t="s">
        <v>682</v>
      </c>
      <c r="B21" s="21">
        <v>11</v>
      </c>
      <c r="C21" s="85">
        <v>9.99</v>
      </c>
      <c r="D21" s="17"/>
      <c r="E21" s="17"/>
      <c r="F21" s="17"/>
      <c r="G21" s="17"/>
      <c r="H21" s="17"/>
      <c r="I21" s="17"/>
      <c r="J21" s="73">
        <v>200</v>
      </c>
      <c r="K21" s="73">
        <v>149</v>
      </c>
      <c r="L21" s="73">
        <v>99</v>
      </c>
      <c r="M21" s="16">
        <f t="shared" si="1"/>
        <v>250</v>
      </c>
      <c r="N21" s="11" t="s">
        <v>416</v>
      </c>
      <c r="O21" s="16">
        <f t="shared" si="0"/>
        <v>2497.5</v>
      </c>
    </row>
    <row r="22" spans="1:15" ht="20.100000000000001" customHeight="1" x14ac:dyDescent="0.2">
      <c r="A22" s="57" t="s">
        <v>683</v>
      </c>
      <c r="B22" s="21">
        <v>11</v>
      </c>
      <c r="C22" s="85">
        <v>10.75</v>
      </c>
      <c r="D22" s="17"/>
      <c r="E22" s="17"/>
      <c r="F22" s="17"/>
      <c r="G22" s="17"/>
      <c r="H22" s="17"/>
      <c r="I22" s="17"/>
      <c r="J22" s="73">
        <v>200</v>
      </c>
      <c r="K22" s="73">
        <v>1223</v>
      </c>
      <c r="L22" s="73">
        <v>257</v>
      </c>
      <c r="M22" s="16">
        <f t="shared" si="1"/>
        <v>1166</v>
      </c>
      <c r="N22" s="11" t="s">
        <v>416</v>
      </c>
      <c r="O22" s="16">
        <f t="shared" si="0"/>
        <v>12534.5</v>
      </c>
    </row>
    <row r="23" spans="1:15" ht="20.100000000000001" customHeight="1" x14ac:dyDescent="0.2">
      <c r="A23" s="17" t="s">
        <v>25</v>
      </c>
      <c r="B23" s="13">
        <v>11</v>
      </c>
      <c r="C23" s="86">
        <v>5.26</v>
      </c>
      <c r="D23" s="17"/>
      <c r="E23" s="17"/>
      <c r="F23" s="17"/>
      <c r="G23" s="17"/>
      <c r="H23" s="17"/>
      <c r="I23" s="17"/>
      <c r="J23" s="73">
        <v>1200</v>
      </c>
      <c r="K23" s="73">
        <v>370</v>
      </c>
      <c r="L23" s="73">
        <v>284</v>
      </c>
      <c r="M23" s="16">
        <f t="shared" si="1"/>
        <v>1286</v>
      </c>
      <c r="N23" s="11" t="s">
        <v>416</v>
      </c>
      <c r="O23" s="16">
        <f t="shared" si="0"/>
        <v>6764.36</v>
      </c>
    </row>
    <row r="24" spans="1:15" ht="20.100000000000001" customHeight="1" x14ac:dyDescent="0.2">
      <c r="A24" s="20" t="s">
        <v>27</v>
      </c>
      <c r="B24" s="21">
        <v>11</v>
      </c>
      <c r="C24" s="89">
        <v>39.5</v>
      </c>
      <c r="D24" s="17"/>
      <c r="E24" s="17"/>
      <c r="F24" s="17"/>
      <c r="G24" s="17"/>
      <c r="H24" s="17"/>
      <c r="I24" s="17"/>
      <c r="J24" s="73">
        <v>100</v>
      </c>
      <c r="K24" s="73">
        <v>78</v>
      </c>
      <c r="L24" s="73">
        <v>39</v>
      </c>
      <c r="M24" s="16">
        <f t="shared" si="1"/>
        <v>139</v>
      </c>
      <c r="N24" s="11" t="s">
        <v>416</v>
      </c>
      <c r="O24" s="16">
        <f t="shared" si="0"/>
        <v>5490.5</v>
      </c>
    </row>
    <row r="25" spans="1:15" ht="20.100000000000001" customHeight="1" x14ac:dyDescent="0.2">
      <c r="A25" s="57" t="s">
        <v>684</v>
      </c>
      <c r="B25" s="21">
        <v>11</v>
      </c>
      <c r="C25" s="85">
        <v>6.5</v>
      </c>
      <c r="D25" s="17"/>
      <c r="E25" s="17"/>
      <c r="F25" s="17"/>
      <c r="G25" s="17"/>
      <c r="H25" s="17"/>
      <c r="I25" s="17"/>
      <c r="J25" s="73">
        <v>265</v>
      </c>
      <c r="K25" s="73">
        <v>193</v>
      </c>
      <c r="L25" s="73">
        <v>58</v>
      </c>
      <c r="M25" s="16">
        <f t="shared" si="1"/>
        <v>400</v>
      </c>
      <c r="N25" s="11" t="s">
        <v>416</v>
      </c>
      <c r="O25" s="16">
        <f t="shared" si="0"/>
        <v>2600</v>
      </c>
    </row>
    <row r="26" spans="1:15" ht="20.100000000000001" customHeight="1" x14ac:dyDescent="0.2">
      <c r="A26" s="57" t="s">
        <v>685</v>
      </c>
      <c r="B26" s="21">
        <v>11</v>
      </c>
      <c r="C26" s="85">
        <v>9.02</v>
      </c>
      <c r="D26" s="17"/>
      <c r="E26" s="17"/>
      <c r="F26" s="17"/>
      <c r="G26" s="17"/>
      <c r="H26" s="17"/>
      <c r="I26" s="17"/>
      <c r="J26" s="73">
        <v>500</v>
      </c>
      <c r="K26" s="73">
        <v>97</v>
      </c>
      <c r="L26" s="73">
        <v>74</v>
      </c>
      <c r="M26" s="16">
        <f t="shared" si="1"/>
        <v>523</v>
      </c>
      <c r="N26" s="11" t="s">
        <v>416</v>
      </c>
      <c r="O26" s="16">
        <f t="shared" si="0"/>
        <v>4717.46</v>
      </c>
    </row>
    <row r="27" spans="1:15" ht="20.100000000000001" customHeight="1" x14ac:dyDescent="0.2">
      <c r="A27" s="17" t="s">
        <v>28</v>
      </c>
      <c r="B27" s="13">
        <v>11</v>
      </c>
      <c r="C27" s="86">
        <v>0.72</v>
      </c>
      <c r="D27" s="17"/>
      <c r="E27" s="17"/>
      <c r="F27" s="17"/>
      <c r="G27" s="17"/>
      <c r="H27" s="17"/>
      <c r="I27" s="17"/>
      <c r="J27" s="73">
        <v>750</v>
      </c>
      <c r="K27" s="73">
        <v>230</v>
      </c>
      <c r="L27" s="73">
        <v>73</v>
      </c>
      <c r="M27" s="16">
        <f t="shared" si="1"/>
        <v>907</v>
      </c>
      <c r="N27" s="11" t="s">
        <v>416</v>
      </c>
      <c r="O27" s="16">
        <f t="shared" si="0"/>
        <v>653.04</v>
      </c>
    </row>
    <row r="28" spans="1:15" ht="20.100000000000001" customHeight="1" x14ac:dyDescent="0.2">
      <c r="A28" s="57" t="s">
        <v>686</v>
      </c>
      <c r="B28" s="21">
        <v>11</v>
      </c>
      <c r="C28" s="85">
        <v>12.45</v>
      </c>
      <c r="D28" s="17"/>
      <c r="E28" s="17"/>
      <c r="F28" s="17"/>
      <c r="G28" s="17"/>
      <c r="H28" s="17"/>
      <c r="I28" s="17"/>
      <c r="J28" s="73">
        <v>0</v>
      </c>
      <c r="K28" s="73">
        <v>250</v>
      </c>
      <c r="L28" s="73">
        <v>149</v>
      </c>
      <c r="M28" s="16">
        <f t="shared" si="1"/>
        <v>101</v>
      </c>
      <c r="N28" s="11" t="s">
        <v>416</v>
      </c>
      <c r="O28" s="16">
        <f t="shared" si="0"/>
        <v>1257.4499999999998</v>
      </c>
    </row>
    <row r="29" spans="1:15" ht="20.100000000000001" customHeight="1" x14ac:dyDescent="0.2">
      <c r="A29" s="57" t="s">
        <v>687</v>
      </c>
      <c r="B29" s="21">
        <v>11</v>
      </c>
      <c r="C29" s="85">
        <v>86.38</v>
      </c>
      <c r="D29" s="17"/>
      <c r="E29" s="17"/>
      <c r="F29" s="17"/>
      <c r="G29" s="17"/>
      <c r="H29" s="17"/>
      <c r="I29" s="17"/>
      <c r="J29" s="73">
        <v>200</v>
      </c>
      <c r="K29" s="73">
        <v>67</v>
      </c>
      <c r="L29" s="73">
        <v>49</v>
      </c>
      <c r="M29" s="16">
        <f t="shared" si="1"/>
        <v>218</v>
      </c>
      <c r="N29" s="11" t="s">
        <v>416</v>
      </c>
      <c r="O29" s="16">
        <f t="shared" si="0"/>
        <v>18830.84</v>
      </c>
    </row>
    <row r="30" spans="1:15" ht="20.100000000000001" customHeight="1" x14ac:dyDescent="0.2">
      <c r="A30" s="57" t="s">
        <v>29</v>
      </c>
      <c r="B30" s="21">
        <v>11</v>
      </c>
      <c r="C30" s="85">
        <v>25.1</v>
      </c>
      <c r="D30" s="17"/>
      <c r="E30" s="17"/>
      <c r="F30" s="17"/>
      <c r="G30" s="17"/>
      <c r="H30" s="17"/>
      <c r="I30" s="17"/>
      <c r="J30" s="73">
        <v>0</v>
      </c>
      <c r="K30" s="73">
        <v>174</v>
      </c>
      <c r="L30" s="73">
        <v>75</v>
      </c>
      <c r="M30" s="16">
        <f t="shared" si="1"/>
        <v>99</v>
      </c>
      <c r="N30" s="11" t="s">
        <v>416</v>
      </c>
      <c r="O30" s="16">
        <f t="shared" si="0"/>
        <v>2484.9</v>
      </c>
    </row>
    <row r="31" spans="1:15" ht="20.100000000000001" customHeight="1" x14ac:dyDescent="0.2">
      <c r="A31" s="20" t="s">
        <v>30</v>
      </c>
      <c r="B31" s="21">
        <v>11</v>
      </c>
      <c r="C31" s="85">
        <v>8.1</v>
      </c>
      <c r="D31" s="17"/>
      <c r="E31" s="17"/>
      <c r="F31" s="17"/>
      <c r="G31" s="17"/>
      <c r="H31" s="17"/>
      <c r="I31" s="17"/>
      <c r="J31" s="73">
        <v>100</v>
      </c>
      <c r="K31" s="73">
        <v>110</v>
      </c>
      <c r="L31" s="73">
        <v>40</v>
      </c>
      <c r="M31" s="16">
        <f t="shared" si="1"/>
        <v>170</v>
      </c>
      <c r="N31" s="11" t="s">
        <v>416</v>
      </c>
      <c r="O31" s="16">
        <f t="shared" si="0"/>
        <v>1377</v>
      </c>
    </row>
    <row r="32" spans="1:15" ht="20.100000000000001" customHeight="1" x14ac:dyDescent="0.2">
      <c r="A32" s="20" t="s">
        <v>461</v>
      </c>
      <c r="B32" s="21">
        <v>11</v>
      </c>
      <c r="C32" s="85">
        <v>14.79</v>
      </c>
      <c r="D32" s="17"/>
      <c r="E32" s="17"/>
      <c r="F32" s="17"/>
      <c r="G32" s="17"/>
      <c r="H32" s="17"/>
      <c r="I32" s="17"/>
      <c r="J32" s="73">
        <v>100</v>
      </c>
      <c r="K32" s="73">
        <v>109</v>
      </c>
      <c r="L32" s="73">
        <v>60</v>
      </c>
      <c r="M32" s="16">
        <f t="shared" si="1"/>
        <v>149</v>
      </c>
      <c r="N32" s="11" t="s">
        <v>416</v>
      </c>
      <c r="O32" s="16">
        <f t="shared" si="0"/>
        <v>2203.71</v>
      </c>
    </row>
    <row r="33" spans="1:15" ht="20.100000000000001" customHeight="1" x14ac:dyDescent="0.2">
      <c r="A33" s="20" t="s">
        <v>460</v>
      </c>
      <c r="B33" s="21">
        <v>11</v>
      </c>
      <c r="C33" s="86">
        <v>9.35</v>
      </c>
      <c r="D33" s="17"/>
      <c r="E33" s="17"/>
      <c r="F33" s="17"/>
      <c r="G33" s="17"/>
      <c r="H33" s="17"/>
      <c r="I33" s="17"/>
      <c r="J33" s="73">
        <v>1000</v>
      </c>
      <c r="K33" s="73">
        <v>437</v>
      </c>
      <c r="L33" s="73">
        <v>113</v>
      </c>
      <c r="M33" s="16">
        <f t="shared" si="1"/>
        <v>1324</v>
      </c>
      <c r="N33" s="11" t="s">
        <v>416</v>
      </c>
      <c r="O33" s="16">
        <f t="shared" si="0"/>
        <v>12379.4</v>
      </c>
    </row>
    <row r="34" spans="1:15" ht="20.100000000000001" customHeight="1" x14ac:dyDescent="0.2">
      <c r="A34" s="57" t="s">
        <v>688</v>
      </c>
      <c r="B34" s="21">
        <v>11</v>
      </c>
      <c r="C34" s="86">
        <v>9.4</v>
      </c>
      <c r="D34" s="17"/>
      <c r="E34" s="17"/>
      <c r="F34" s="17"/>
      <c r="G34" s="17"/>
      <c r="H34" s="17"/>
      <c r="I34" s="17"/>
      <c r="J34" s="73">
        <v>100</v>
      </c>
      <c r="K34" s="73">
        <v>164</v>
      </c>
      <c r="L34" s="73">
        <v>75</v>
      </c>
      <c r="M34" s="16">
        <f t="shared" si="1"/>
        <v>189</v>
      </c>
      <c r="N34" s="11" t="s">
        <v>416</v>
      </c>
      <c r="O34" s="16">
        <f t="shared" si="0"/>
        <v>1776.6000000000001</v>
      </c>
    </row>
    <row r="35" spans="1:15" ht="20.100000000000001" customHeight="1" x14ac:dyDescent="0.2">
      <c r="A35" s="23" t="s">
        <v>31</v>
      </c>
      <c r="B35" s="13">
        <v>11</v>
      </c>
      <c r="C35" s="86">
        <v>88.41</v>
      </c>
      <c r="D35" s="17"/>
      <c r="E35" s="17"/>
      <c r="F35" s="17"/>
      <c r="G35" s="17"/>
      <c r="H35" s="17"/>
      <c r="I35" s="17"/>
      <c r="J35" s="73">
        <v>0</v>
      </c>
      <c r="K35" s="73">
        <v>146</v>
      </c>
      <c r="L35" s="73">
        <v>68</v>
      </c>
      <c r="M35" s="16">
        <f t="shared" si="1"/>
        <v>78</v>
      </c>
      <c r="N35" s="11" t="s">
        <v>416</v>
      </c>
      <c r="O35" s="16">
        <f t="shared" si="0"/>
        <v>6895.98</v>
      </c>
    </row>
    <row r="36" spans="1:15" ht="20.100000000000001" customHeight="1" x14ac:dyDescent="0.2">
      <c r="A36" s="53" t="s">
        <v>689</v>
      </c>
      <c r="B36" s="11">
        <v>11</v>
      </c>
      <c r="C36" s="85">
        <v>56.75</v>
      </c>
      <c r="D36" s="17"/>
      <c r="E36" s="17"/>
      <c r="F36" s="17"/>
      <c r="G36" s="17"/>
      <c r="H36" s="17"/>
      <c r="I36" s="17"/>
      <c r="J36" s="73">
        <v>0</v>
      </c>
      <c r="K36" s="73">
        <v>76</v>
      </c>
      <c r="L36" s="73">
        <v>27</v>
      </c>
      <c r="M36" s="16">
        <f t="shared" si="1"/>
        <v>49</v>
      </c>
      <c r="N36" s="11" t="s">
        <v>416</v>
      </c>
      <c r="O36" s="16">
        <f t="shared" si="0"/>
        <v>2780.75</v>
      </c>
    </row>
    <row r="37" spans="1:15" ht="20.100000000000001" customHeight="1" x14ac:dyDescent="0.2">
      <c r="A37" s="57" t="s">
        <v>690</v>
      </c>
      <c r="B37" s="21">
        <v>11</v>
      </c>
      <c r="C37" s="85">
        <v>12.73</v>
      </c>
      <c r="D37" s="17"/>
      <c r="E37" s="17"/>
      <c r="F37" s="17"/>
      <c r="G37" s="17"/>
      <c r="H37" s="17"/>
      <c r="I37" s="17"/>
      <c r="J37" s="73">
        <v>300</v>
      </c>
      <c r="K37" s="73">
        <v>118</v>
      </c>
      <c r="L37" s="73">
        <v>99</v>
      </c>
      <c r="M37" s="16">
        <f t="shared" si="1"/>
        <v>319</v>
      </c>
      <c r="N37" s="11" t="s">
        <v>416</v>
      </c>
      <c r="O37" s="16">
        <f t="shared" si="0"/>
        <v>4060.8700000000003</v>
      </c>
    </row>
    <row r="38" spans="1:15" ht="20.100000000000001" customHeight="1" x14ac:dyDescent="0.2">
      <c r="A38" s="53" t="s">
        <v>691</v>
      </c>
      <c r="B38" s="11">
        <v>11</v>
      </c>
      <c r="C38" s="86">
        <v>26.63</v>
      </c>
      <c r="D38" s="17">
        <v>10600</v>
      </c>
      <c r="E38" s="17">
        <v>100</v>
      </c>
      <c r="F38" s="17">
        <v>10600</v>
      </c>
      <c r="G38" s="17">
        <v>100</v>
      </c>
      <c r="H38" s="17"/>
      <c r="I38" s="17"/>
      <c r="J38" s="73">
        <v>100</v>
      </c>
      <c r="K38" s="73">
        <v>79</v>
      </c>
      <c r="L38" s="73">
        <v>40</v>
      </c>
      <c r="M38" s="16">
        <f t="shared" si="1"/>
        <v>139</v>
      </c>
      <c r="N38" s="11" t="s">
        <v>416</v>
      </c>
      <c r="O38" s="16">
        <f t="shared" si="0"/>
        <v>3701.5699999999997</v>
      </c>
    </row>
    <row r="39" spans="1:15" ht="20.100000000000001" customHeight="1" x14ac:dyDescent="0.2">
      <c r="A39" s="57" t="s">
        <v>692</v>
      </c>
      <c r="B39" s="21">
        <v>11</v>
      </c>
      <c r="C39" s="85">
        <v>13.21</v>
      </c>
      <c r="D39" s="17"/>
      <c r="E39" s="17"/>
      <c r="F39" s="17"/>
      <c r="G39" s="17"/>
      <c r="H39" s="17"/>
      <c r="I39" s="17"/>
      <c r="J39" s="73">
        <v>500</v>
      </c>
      <c r="K39" s="73">
        <v>263</v>
      </c>
      <c r="L39" s="73">
        <v>244</v>
      </c>
      <c r="M39" s="16">
        <f t="shared" si="1"/>
        <v>519</v>
      </c>
      <c r="N39" s="11" t="s">
        <v>416</v>
      </c>
      <c r="O39" s="16">
        <f t="shared" si="0"/>
        <v>6855.9900000000007</v>
      </c>
    </row>
    <row r="40" spans="1:15" ht="20.100000000000001" customHeight="1" x14ac:dyDescent="0.2">
      <c r="A40" s="57" t="s">
        <v>693</v>
      </c>
      <c r="B40" s="21">
        <v>11</v>
      </c>
      <c r="C40" s="85">
        <v>173.1</v>
      </c>
      <c r="D40" s="17"/>
      <c r="E40" s="17"/>
      <c r="F40" s="17"/>
      <c r="G40" s="17"/>
      <c r="H40" s="17"/>
      <c r="I40" s="17"/>
      <c r="J40" s="73">
        <v>100</v>
      </c>
      <c r="K40" s="73">
        <v>179</v>
      </c>
      <c r="L40" s="73">
        <v>154</v>
      </c>
      <c r="M40" s="16">
        <f t="shared" si="1"/>
        <v>125</v>
      </c>
      <c r="N40" s="11" t="s">
        <v>416</v>
      </c>
      <c r="O40" s="16">
        <f t="shared" si="0"/>
        <v>21637.5</v>
      </c>
    </row>
    <row r="41" spans="1:15" ht="20.100000000000001" customHeight="1" x14ac:dyDescent="0.2">
      <c r="A41" s="17" t="s">
        <v>33</v>
      </c>
      <c r="B41" s="11">
        <v>11</v>
      </c>
      <c r="C41" s="86">
        <v>2.67</v>
      </c>
      <c r="D41" s="17">
        <v>380</v>
      </c>
      <c r="E41" s="17">
        <v>50</v>
      </c>
      <c r="F41" s="17">
        <v>380</v>
      </c>
      <c r="G41" s="17">
        <v>50</v>
      </c>
      <c r="H41" s="17"/>
      <c r="I41" s="17"/>
      <c r="J41" s="73">
        <v>325</v>
      </c>
      <c r="K41" s="73">
        <v>292</v>
      </c>
      <c r="L41" s="73">
        <v>243</v>
      </c>
      <c r="M41" s="16">
        <f t="shared" si="1"/>
        <v>374</v>
      </c>
      <c r="N41" s="11" t="s">
        <v>416</v>
      </c>
      <c r="O41" s="16">
        <f t="shared" si="0"/>
        <v>998.57999999999993</v>
      </c>
    </row>
    <row r="42" spans="1:15" ht="20.100000000000001" customHeight="1" x14ac:dyDescent="0.2">
      <c r="A42" s="17" t="s">
        <v>34</v>
      </c>
      <c r="B42" s="13">
        <v>11</v>
      </c>
      <c r="C42" s="86">
        <v>0.81</v>
      </c>
      <c r="D42" s="17"/>
      <c r="E42" s="17"/>
      <c r="F42" s="17"/>
      <c r="G42" s="17"/>
      <c r="H42" s="17"/>
      <c r="I42" s="17"/>
      <c r="J42" s="73">
        <v>500</v>
      </c>
      <c r="K42" s="73">
        <v>58</v>
      </c>
      <c r="L42" s="73">
        <v>68</v>
      </c>
      <c r="M42" s="16">
        <f t="shared" si="1"/>
        <v>490</v>
      </c>
      <c r="N42" s="11" t="s">
        <v>416</v>
      </c>
      <c r="O42" s="16">
        <f t="shared" si="0"/>
        <v>396.90000000000003</v>
      </c>
    </row>
    <row r="43" spans="1:15" ht="20.100000000000001" customHeight="1" x14ac:dyDescent="0.2">
      <c r="A43" s="17" t="s">
        <v>35</v>
      </c>
      <c r="B43" s="11">
        <v>11</v>
      </c>
      <c r="C43" s="86">
        <v>1.49</v>
      </c>
      <c r="D43" s="17">
        <v>5255</v>
      </c>
      <c r="E43" s="17">
        <v>500</v>
      </c>
      <c r="F43" s="17">
        <v>5255</v>
      </c>
      <c r="G43" s="17">
        <v>500</v>
      </c>
      <c r="H43" s="17"/>
      <c r="I43" s="17"/>
      <c r="J43" s="73">
        <v>9000</v>
      </c>
      <c r="K43" s="73">
        <v>668</v>
      </c>
      <c r="L43" s="73">
        <v>78</v>
      </c>
      <c r="M43" s="16">
        <f t="shared" si="1"/>
        <v>9590</v>
      </c>
      <c r="N43" s="11" t="s">
        <v>416</v>
      </c>
      <c r="O43" s="16">
        <f t="shared" si="0"/>
        <v>14289.1</v>
      </c>
    </row>
    <row r="44" spans="1:15" ht="20.100000000000001" customHeight="1" x14ac:dyDescent="0.2">
      <c r="A44" s="17" t="s">
        <v>36</v>
      </c>
      <c r="B44" s="11">
        <v>11</v>
      </c>
      <c r="C44" s="86">
        <v>0.66</v>
      </c>
      <c r="D44" s="17">
        <v>340</v>
      </c>
      <c r="E44" s="17">
        <v>50</v>
      </c>
      <c r="F44" s="17">
        <v>340</v>
      </c>
      <c r="G44" s="17">
        <v>50</v>
      </c>
      <c r="H44" s="17"/>
      <c r="I44" s="17"/>
      <c r="J44" s="73">
        <v>500</v>
      </c>
      <c r="K44" s="73">
        <v>131</v>
      </c>
      <c r="L44" s="73">
        <v>100</v>
      </c>
      <c r="M44" s="16">
        <f t="shared" si="1"/>
        <v>531</v>
      </c>
      <c r="N44" s="11" t="s">
        <v>416</v>
      </c>
      <c r="O44" s="16">
        <f t="shared" si="0"/>
        <v>350.46000000000004</v>
      </c>
    </row>
    <row r="45" spans="1:15" ht="20.100000000000001" customHeight="1" x14ac:dyDescent="0.2">
      <c r="A45" s="17" t="s">
        <v>37</v>
      </c>
      <c r="B45" s="11">
        <v>11</v>
      </c>
      <c r="C45" s="86">
        <v>1.39</v>
      </c>
      <c r="D45" s="17">
        <v>942</v>
      </c>
      <c r="E45" s="17">
        <v>50</v>
      </c>
      <c r="F45" s="17">
        <v>942</v>
      </c>
      <c r="G45" s="17">
        <v>50</v>
      </c>
      <c r="H45" s="17"/>
      <c r="I45" s="17"/>
      <c r="J45" s="73">
        <v>200</v>
      </c>
      <c r="K45" s="73">
        <v>210</v>
      </c>
      <c r="L45" s="73">
        <v>98</v>
      </c>
      <c r="M45" s="16">
        <f t="shared" si="1"/>
        <v>312</v>
      </c>
      <c r="N45" s="11" t="s">
        <v>416</v>
      </c>
      <c r="O45" s="16">
        <f t="shared" si="0"/>
        <v>433.67999999999995</v>
      </c>
    </row>
    <row r="46" spans="1:15" ht="20.100000000000001" customHeight="1" x14ac:dyDescent="0.2">
      <c r="A46" s="17"/>
      <c r="B46" s="13"/>
      <c r="C46" s="86"/>
      <c r="D46" s="17"/>
      <c r="E46" s="17"/>
      <c r="F46" s="17"/>
      <c r="G46" s="17"/>
      <c r="H46" s="17"/>
      <c r="I46" s="17"/>
      <c r="J46" s="73"/>
      <c r="K46" s="73"/>
      <c r="L46" s="73"/>
      <c r="M46" s="16"/>
      <c r="N46" s="11"/>
      <c r="O46" s="16">
        <f>SUM(O3:O45)</f>
        <v>260351.05999999997</v>
      </c>
    </row>
    <row r="47" spans="1:15" ht="20.100000000000001" customHeight="1" x14ac:dyDescent="0.2">
      <c r="A47" s="17"/>
      <c r="B47" s="13"/>
      <c r="C47" s="86"/>
      <c r="D47" s="17"/>
      <c r="E47" s="17"/>
      <c r="F47" s="17"/>
      <c r="G47" s="17"/>
      <c r="H47" s="17"/>
      <c r="I47" s="17"/>
      <c r="J47" s="73"/>
      <c r="K47" s="73"/>
      <c r="L47" s="73"/>
      <c r="M47" s="16"/>
      <c r="N47" s="11"/>
      <c r="O47" s="16"/>
    </row>
    <row r="48" spans="1:15" ht="20.100000000000001" customHeight="1" x14ac:dyDescent="0.2">
      <c r="A48" s="17"/>
      <c r="B48" s="13"/>
      <c r="C48" s="86"/>
      <c r="D48" s="17"/>
      <c r="E48" s="17"/>
      <c r="F48" s="17"/>
      <c r="G48" s="17"/>
      <c r="H48" s="17"/>
      <c r="I48" s="17"/>
      <c r="J48" s="73"/>
      <c r="K48" s="73"/>
      <c r="L48" s="73"/>
      <c r="M48" s="16"/>
      <c r="N48" s="11"/>
      <c r="O48" s="16"/>
    </row>
    <row r="49" spans="1:15" ht="20.100000000000001" customHeight="1" x14ac:dyDescent="0.2">
      <c r="A49" s="17"/>
      <c r="B49" s="13"/>
      <c r="C49" s="86"/>
      <c r="D49" s="17"/>
      <c r="E49" s="17"/>
      <c r="F49" s="17"/>
      <c r="G49" s="17"/>
      <c r="H49" s="17"/>
      <c r="I49" s="17"/>
      <c r="J49" s="73"/>
      <c r="K49" s="73"/>
      <c r="L49" s="73"/>
      <c r="M49" s="16"/>
      <c r="N49" s="11"/>
      <c r="O49" s="16"/>
    </row>
    <row r="50" spans="1:15" ht="20.100000000000001" customHeight="1" x14ac:dyDescent="0.2">
      <c r="A50" s="17"/>
      <c r="B50" s="13"/>
      <c r="C50" s="86"/>
      <c r="D50" s="17"/>
      <c r="E50" s="17"/>
      <c r="F50" s="17"/>
      <c r="G50" s="17"/>
      <c r="H50" s="17"/>
      <c r="I50" s="17"/>
      <c r="J50" s="73"/>
      <c r="K50" s="73"/>
      <c r="L50" s="73"/>
      <c r="M50" s="16"/>
      <c r="N50" s="11"/>
      <c r="O50" s="16"/>
    </row>
    <row r="51" spans="1:15" ht="20.100000000000001" customHeight="1" x14ac:dyDescent="0.2">
      <c r="A51" s="17"/>
      <c r="B51" s="13"/>
      <c r="C51" s="86"/>
      <c r="D51" s="17"/>
      <c r="E51" s="17"/>
      <c r="F51" s="17"/>
      <c r="G51" s="17"/>
      <c r="H51" s="17"/>
      <c r="I51" s="17"/>
      <c r="J51" s="73"/>
      <c r="K51" s="73"/>
      <c r="L51" s="73"/>
      <c r="M51" s="16"/>
      <c r="N51" s="11"/>
      <c r="O51" s="16"/>
    </row>
    <row r="52" spans="1:15" ht="20.100000000000001" customHeight="1" x14ac:dyDescent="0.2">
      <c r="A52" s="17"/>
      <c r="B52" s="13"/>
      <c r="C52" s="86"/>
      <c r="D52" s="17"/>
      <c r="E52" s="17"/>
      <c r="F52" s="17"/>
      <c r="G52" s="17"/>
      <c r="H52" s="17"/>
      <c r="I52" s="17"/>
      <c r="J52" s="73"/>
      <c r="K52" s="73"/>
      <c r="L52" s="73"/>
      <c r="M52" s="16"/>
      <c r="N52" s="11"/>
      <c r="O52" s="16"/>
    </row>
  </sheetData>
  <sortState xmlns:xlrd2="http://schemas.microsoft.com/office/spreadsheetml/2017/richdata2" ref="A3:Q52">
    <sortCondition ref="A3:A52"/>
  </sortState>
  <phoneticPr fontId="2"/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5"/>
  <sheetViews>
    <sheetView zoomScale="115" zoomScaleNormal="115" workbookViewId="0">
      <pane ySplit="2" topLeftCell="A3" activePane="bottomLeft" state="frozen"/>
      <selection pane="bottomLeft" activeCell="K29" sqref="K29"/>
    </sheetView>
  </sheetViews>
  <sheetFormatPr defaultRowHeight="13.2" x14ac:dyDescent="0.2"/>
  <cols>
    <col min="1" max="1" width="30" style="1" customWidth="1"/>
    <col min="2" max="2" width="3.6640625" style="2" customWidth="1"/>
    <col min="3" max="3" width="5.33203125" style="2" customWidth="1"/>
    <col min="4" max="4" width="8.44140625" style="35" customWidth="1"/>
    <col min="5" max="10" width="0" style="1" hidden="1" customWidth="1"/>
    <col min="11" max="11" width="8.6640625" style="34" customWidth="1"/>
    <col min="12" max="12" width="6.21875" style="36" customWidth="1"/>
    <col min="13" max="13" width="8.6640625" style="9" customWidth="1"/>
  </cols>
  <sheetData>
    <row r="1" spans="1:16" ht="20.100000000000001" customHeight="1" thickBot="1" x14ac:dyDescent="0.25">
      <c r="A1" s="1" t="s">
        <v>770</v>
      </c>
      <c r="D1" s="3"/>
      <c r="K1" s="8" t="s">
        <v>2</v>
      </c>
    </row>
    <row r="2" spans="1:16" ht="20.100000000000001" customHeight="1" x14ac:dyDescent="0.2">
      <c r="A2" s="10" t="s">
        <v>4</v>
      </c>
      <c r="B2" s="11" t="s">
        <v>5</v>
      </c>
      <c r="C2" s="11"/>
      <c r="D2" s="12" t="s">
        <v>6</v>
      </c>
      <c r="E2" s="13"/>
      <c r="F2" s="13"/>
      <c r="G2" s="13"/>
      <c r="H2" s="13"/>
      <c r="I2" s="13"/>
      <c r="J2" s="13"/>
      <c r="K2" s="14" t="s">
        <v>12</v>
      </c>
      <c r="L2" s="11" t="s">
        <v>15</v>
      </c>
      <c r="M2" s="16" t="s">
        <v>16</v>
      </c>
    </row>
    <row r="3" spans="1:16" ht="20.100000000000001" customHeight="1" x14ac:dyDescent="0.2">
      <c r="A3" s="17" t="s">
        <v>38</v>
      </c>
      <c r="B3" s="11">
        <v>12</v>
      </c>
      <c r="C3" s="11">
        <v>5</v>
      </c>
      <c r="D3" s="18">
        <v>395.23</v>
      </c>
      <c r="E3" s="17">
        <v>29152</v>
      </c>
      <c r="F3" s="17">
        <v>315</v>
      </c>
      <c r="G3" s="17">
        <v>29152</v>
      </c>
      <c r="H3" s="17">
        <v>315</v>
      </c>
      <c r="I3" s="17"/>
      <c r="J3" s="17"/>
      <c r="K3" s="19">
        <v>28</v>
      </c>
      <c r="L3" s="11" t="s">
        <v>40</v>
      </c>
      <c r="M3" s="16">
        <f>SUM(D:D*K:K)</f>
        <v>11066.44</v>
      </c>
    </row>
    <row r="4" spans="1:16" ht="20.100000000000001" customHeight="1" x14ac:dyDescent="0.2">
      <c r="A4" s="20" t="s">
        <v>471</v>
      </c>
      <c r="B4" s="11">
        <v>12</v>
      </c>
      <c r="C4" s="11">
        <v>1</v>
      </c>
      <c r="D4" s="22">
        <v>5.62</v>
      </c>
      <c r="E4" s="17"/>
      <c r="F4" s="17"/>
      <c r="G4" s="17"/>
      <c r="H4" s="17"/>
      <c r="I4" s="17"/>
      <c r="J4" s="17"/>
      <c r="K4" s="19">
        <v>767</v>
      </c>
      <c r="L4" s="11" t="s">
        <v>40</v>
      </c>
      <c r="M4" s="16">
        <f t="shared" ref="M4:M37" si="0">SUM(D:D*K:K)</f>
        <v>4310.54</v>
      </c>
    </row>
    <row r="5" spans="1:16" ht="20.100000000000001" customHeight="1" x14ac:dyDescent="0.2">
      <c r="A5" s="20" t="s">
        <v>472</v>
      </c>
      <c r="B5" s="11">
        <v>12</v>
      </c>
      <c r="C5" s="11">
        <v>2</v>
      </c>
      <c r="D5" s="22">
        <v>93.26</v>
      </c>
      <c r="E5" s="17"/>
      <c r="F5" s="17"/>
      <c r="G5" s="17"/>
      <c r="H5" s="17"/>
      <c r="I5" s="17"/>
      <c r="J5" s="17"/>
      <c r="K5" s="19">
        <v>84</v>
      </c>
      <c r="L5" s="11" t="s">
        <v>40</v>
      </c>
      <c r="M5" s="16">
        <f t="shared" si="0"/>
        <v>7833.84</v>
      </c>
    </row>
    <row r="6" spans="1:16" ht="20.100000000000001" customHeight="1" x14ac:dyDescent="0.2">
      <c r="A6" s="20" t="s">
        <v>44</v>
      </c>
      <c r="B6" s="11">
        <v>12</v>
      </c>
      <c r="C6" s="11">
        <v>1</v>
      </c>
      <c r="D6" s="22">
        <v>5.6</v>
      </c>
      <c r="E6" s="17"/>
      <c r="F6" s="17"/>
      <c r="G6" s="17"/>
      <c r="H6" s="17"/>
      <c r="I6" s="17"/>
      <c r="J6" s="17"/>
      <c r="K6" s="19">
        <v>654</v>
      </c>
      <c r="L6" s="11" t="s">
        <v>40</v>
      </c>
      <c r="M6" s="16">
        <f t="shared" si="0"/>
        <v>3662.3999999999996</v>
      </c>
    </row>
    <row r="7" spans="1:16" ht="20.100000000000001" customHeight="1" x14ac:dyDescent="0.2">
      <c r="A7" s="20" t="s">
        <v>477</v>
      </c>
      <c r="B7" s="11">
        <v>12</v>
      </c>
      <c r="C7" s="11">
        <v>1</v>
      </c>
      <c r="D7" s="22">
        <v>56.17</v>
      </c>
      <c r="E7" s="17"/>
      <c r="F7" s="17"/>
      <c r="G7" s="17"/>
      <c r="H7" s="17"/>
      <c r="I7" s="17"/>
      <c r="J7" s="17"/>
      <c r="K7" s="19">
        <v>172</v>
      </c>
      <c r="L7" s="11" t="s">
        <v>40</v>
      </c>
      <c r="M7" s="16">
        <f t="shared" si="0"/>
        <v>9661.24</v>
      </c>
      <c r="P7" s="62"/>
    </row>
    <row r="8" spans="1:16" ht="20.100000000000001" customHeight="1" x14ac:dyDescent="0.2">
      <c r="A8" s="17" t="s">
        <v>41</v>
      </c>
      <c r="B8" s="13">
        <v>12</v>
      </c>
      <c r="C8" s="13">
        <v>1</v>
      </c>
      <c r="D8" s="18">
        <v>5.14</v>
      </c>
      <c r="E8" s="17">
        <v>9301</v>
      </c>
      <c r="F8" s="17">
        <v>105</v>
      </c>
      <c r="G8" s="17">
        <v>9301</v>
      </c>
      <c r="H8" s="17">
        <v>105</v>
      </c>
      <c r="I8" s="17"/>
      <c r="J8" s="17"/>
      <c r="K8" s="19">
        <v>1056</v>
      </c>
      <c r="L8" s="11" t="s">
        <v>42</v>
      </c>
      <c r="M8" s="16">
        <f t="shared" si="0"/>
        <v>5427.8399999999992</v>
      </c>
    </row>
    <row r="9" spans="1:16" ht="20.100000000000001" customHeight="1" x14ac:dyDescent="0.2">
      <c r="A9" s="53" t="s">
        <v>790</v>
      </c>
      <c r="B9" s="13">
        <v>12</v>
      </c>
      <c r="C9" s="13">
        <v>1</v>
      </c>
      <c r="D9" s="18">
        <v>93.14</v>
      </c>
      <c r="E9" s="17"/>
      <c r="F9" s="17"/>
      <c r="G9" s="17"/>
      <c r="H9" s="17"/>
      <c r="I9" s="17"/>
      <c r="J9" s="17"/>
      <c r="K9" s="19">
        <v>62</v>
      </c>
      <c r="L9" s="11" t="s">
        <v>40</v>
      </c>
      <c r="M9" s="16">
        <f t="shared" si="0"/>
        <v>5774.68</v>
      </c>
    </row>
    <row r="10" spans="1:16" ht="20.100000000000001" customHeight="1" x14ac:dyDescent="0.2">
      <c r="A10" s="53" t="s">
        <v>791</v>
      </c>
      <c r="B10" s="11">
        <v>12</v>
      </c>
      <c r="C10" s="11">
        <v>1</v>
      </c>
      <c r="D10" s="18">
        <v>186.25</v>
      </c>
      <c r="E10" s="17"/>
      <c r="F10" s="17"/>
      <c r="G10" s="17"/>
      <c r="H10" s="17"/>
      <c r="I10" s="17"/>
      <c r="J10" s="17"/>
      <c r="K10" s="19">
        <v>58</v>
      </c>
      <c r="L10" s="11" t="s">
        <v>40</v>
      </c>
      <c r="M10" s="16">
        <f t="shared" si="0"/>
        <v>10802.5</v>
      </c>
    </row>
    <row r="11" spans="1:16" ht="20.100000000000001" customHeight="1" x14ac:dyDescent="0.2">
      <c r="A11" s="17" t="s">
        <v>792</v>
      </c>
      <c r="B11" s="11">
        <v>12</v>
      </c>
      <c r="C11" s="11">
        <v>1</v>
      </c>
      <c r="D11" s="18">
        <v>64.099999999999994</v>
      </c>
      <c r="E11" s="17"/>
      <c r="F11" s="17"/>
      <c r="G11" s="17"/>
      <c r="H11" s="17"/>
      <c r="I11" s="17"/>
      <c r="J11" s="17"/>
      <c r="K11" s="19">
        <v>63</v>
      </c>
      <c r="L11" s="11" t="s">
        <v>45</v>
      </c>
      <c r="M11" s="16">
        <f t="shared" si="0"/>
        <v>4038.2999999999997</v>
      </c>
    </row>
    <row r="12" spans="1:16" ht="20.100000000000001" customHeight="1" x14ac:dyDescent="0.2">
      <c r="A12" s="17" t="s">
        <v>48</v>
      </c>
      <c r="B12" s="13">
        <v>12</v>
      </c>
      <c r="C12" s="13">
        <v>1</v>
      </c>
      <c r="D12" s="18">
        <v>980</v>
      </c>
      <c r="E12" s="17"/>
      <c r="F12" s="17"/>
      <c r="G12" s="17"/>
      <c r="H12" s="17"/>
      <c r="I12" s="17"/>
      <c r="J12" s="17"/>
      <c r="K12" s="19">
        <v>0</v>
      </c>
      <c r="L12" s="11" t="s">
        <v>49</v>
      </c>
      <c r="M12" s="16">
        <f t="shared" si="0"/>
        <v>0</v>
      </c>
    </row>
    <row r="13" spans="1:16" ht="20.100000000000001" customHeight="1" x14ac:dyDescent="0.2">
      <c r="A13" s="20" t="s">
        <v>871</v>
      </c>
      <c r="B13" s="11">
        <v>12</v>
      </c>
      <c r="C13" s="11">
        <v>1</v>
      </c>
      <c r="D13" s="22">
        <v>16.68</v>
      </c>
      <c r="E13" s="17"/>
      <c r="F13" s="17"/>
      <c r="G13" s="17"/>
      <c r="H13" s="17"/>
      <c r="I13" s="17"/>
      <c r="J13" s="17"/>
      <c r="K13" s="19">
        <v>221</v>
      </c>
      <c r="L13" s="11" t="s">
        <v>40</v>
      </c>
      <c r="M13" s="16">
        <f t="shared" si="0"/>
        <v>3686.2799999999997</v>
      </c>
    </row>
    <row r="14" spans="1:16" ht="20.100000000000001" customHeight="1" x14ac:dyDescent="0.2">
      <c r="A14" s="20" t="s">
        <v>872</v>
      </c>
      <c r="B14" s="11">
        <v>12</v>
      </c>
      <c r="C14" s="11">
        <v>1</v>
      </c>
      <c r="D14" s="22">
        <v>32.68</v>
      </c>
      <c r="E14" s="17"/>
      <c r="F14" s="17"/>
      <c r="G14" s="17"/>
      <c r="H14" s="17"/>
      <c r="I14" s="17"/>
      <c r="J14" s="17"/>
      <c r="K14" s="19">
        <v>259</v>
      </c>
      <c r="L14" s="11" t="s">
        <v>40</v>
      </c>
      <c r="M14" s="16">
        <f t="shared" si="0"/>
        <v>8464.1200000000008</v>
      </c>
    </row>
    <row r="15" spans="1:16" ht="20.100000000000001" customHeight="1" x14ac:dyDescent="0.2">
      <c r="A15" s="20" t="s">
        <v>873</v>
      </c>
      <c r="B15" s="11">
        <v>12</v>
      </c>
      <c r="C15" s="11">
        <v>1</v>
      </c>
      <c r="D15" s="22">
        <v>1634</v>
      </c>
      <c r="E15" s="17"/>
      <c r="F15" s="17"/>
      <c r="G15" s="17"/>
      <c r="H15" s="17"/>
      <c r="I15" s="17"/>
      <c r="J15" s="17"/>
      <c r="K15" s="19">
        <v>0</v>
      </c>
      <c r="L15" s="11" t="s">
        <v>49</v>
      </c>
      <c r="M15" s="16">
        <f t="shared" si="0"/>
        <v>0</v>
      </c>
    </row>
    <row r="16" spans="1:16" ht="20.100000000000001" customHeight="1" x14ac:dyDescent="0.2">
      <c r="A16" s="20" t="s">
        <v>50</v>
      </c>
      <c r="B16" s="11">
        <v>12</v>
      </c>
      <c r="C16" s="11">
        <v>1</v>
      </c>
      <c r="D16" s="22">
        <v>13.18</v>
      </c>
      <c r="E16" s="17"/>
      <c r="F16" s="17"/>
      <c r="G16" s="17"/>
      <c r="H16" s="17"/>
      <c r="I16" s="17"/>
      <c r="J16" s="17"/>
      <c r="K16" s="19">
        <v>271</v>
      </c>
      <c r="L16" s="11" t="s">
        <v>40</v>
      </c>
      <c r="M16" s="16">
        <f t="shared" si="0"/>
        <v>3571.7799999999997</v>
      </c>
    </row>
    <row r="17" spans="1:13" ht="20.100000000000001" customHeight="1" x14ac:dyDescent="0.2">
      <c r="A17" s="20" t="s">
        <v>51</v>
      </c>
      <c r="B17" s="11">
        <v>12</v>
      </c>
      <c r="C17" s="11">
        <v>1</v>
      </c>
      <c r="D17" s="22">
        <v>27.04</v>
      </c>
      <c r="E17" s="17"/>
      <c r="F17" s="17"/>
      <c r="G17" s="17"/>
      <c r="H17" s="17"/>
      <c r="I17" s="17"/>
      <c r="J17" s="17"/>
      <c r="K17" s="19">
        <v>165</v>
      </c>
      <c r="L17" s="11" t="s">
        <v>40</v>
      </c>
      <c r="M17" s="16">
        <f t="shared" si="0"/>
        <v>4461.5999999999995</v>
      </c>
    </row>
    <row r="18" spans="1:13" ht="20.100000000000001" customHeight="1" x14ac:dyDescent="0.2">
      <c r="A18" s="20" t="s">
        <v>869</v>
      </c>
      <c r="B18" s="11">
        <v>13</v>
      </c>
      <c r="C18" s="11">
        <v>2.5</v>
      </c>
      <c r="D18" s="22">
        <v>22.26</v>
      </c>
      <c r="E18" s="17"/>
      <c r="F18" s="17"/>
      <c r="G18" s="17"/>
      <c r="H18" s="17"/>
      <c r="I18" s="17"/>
      <c r="J18" s="17"/>
      <c r="K18" s="19">
        <v>69</v>
      </c>
      <c r="L18" s="11" t="s">
        <v>40</v>
      </c>
      <c r="M18" s="16">
        <f t="shared" si="0"/>
        <v>1535.94</v>
      </c>
    </row>
    <row r="19" spans="1:13" ht="20.100000000000001" customHeight="1" x14ac:dyDescent="0.2">
      <c r="A19" s="20" t="s">
        <v>870</v>
      </c>
      <c r="B19" s="11">
        <v>13</v>
      </c>
      <c r="C19" s="11">
        <v>2.5</v>
      </c>
      <c r="D19" s="22">
        <v>45.2</v>
      </c>
      <c r="E19" s="17"/>
      <c r="F19" s="17"/>
      <c r="G19" s="17"/>
      <c r="H19" s="17"/>
      <c r="I19" s="17"/>
      <c r="J19" s="17"/>
      <c r="K19" s="19">
        <v>145</v>
      </c>
      <c r="L19" s="11" t="s">
        <v>40</v>
      </c>
      <c r="M19" s="16">
        <f t="shared" si="0"/>
        <v>6554</v>
      </c>
    </row>
    <row r="20" spans="1:13" ht="20.100000000000001" customHeight="1" x14ac:dyDescent="0.2">
      <c r="A20" s="20" t="s">
        <v>478</v>
      </c>
      <c r="B20" s="13">
        <v>13</v>
      </c>
      <c r="C20" s="13">
        <v>2.5</v>
      </c>
      <c r="D20" s="22">
        <v>32.86</v>
      </c>
      <c r="E20" s="17"/>
      <c r="F20" s="17"/>
      <c r="G20" s="17"/>
      <c r="H20" s="17"/>
      <c r="I20" s="17"/>
      <c r="J20" s="17"/>
      <c r="K20" s="19">
        <v>103</v>
      </c>
      <c r="L20" s="11" t="s">
        <v>40</v>
      </c>
      <c r="M20" s="16">
        <f t="shared" si="0"/>
        <v>3384.58</v>
      </c>
    </row>
    <row r="21" spans="1:13" ht="20.100000000000001" customHeight="1" x14ac:dyDescent="0.2">
      <c r="A21" s="17" t="s">
        <v>52</v>
      </c>
      <c r="B21" s="13">
        <v>13</v>
      </c>
      <c r="C21" s="13">
        <v>2.5</v>
      </c>
      <c r="D21" s="18">
        <v>30.3</v>
      </c>
      <c r="E21" s="17"/>
      <c r="F21" s="17"/>
      <c r="G21" s="17"/>
      <c r="H21" s="17"/>
      <c r="I21" s="17"/>
      <c r="J21" s="17"/>
      <c r="K21" s="19">
        <v>272</v>
      </c>
      <c r="L21" s="11" t="s">
        <v>40</v>
      </c>
      <c r="M21" s="16">
        <f t="shared" si="0"/>
        <v>8241.6</v>
      </c>
    </row>
    <row r="22" spans="1:13" ht="20.100000000000001" customHeight="1" x14ac:dyDescent="0.2">
      <c r="A22" s="17" t="s">
        <v>53</v>
      </c>
      <c r="B22" s="13">
        <v>13</v>
      </c>
      <c r="C22" s="13">
        <v>2.5</v>
      </c>
      <c r="D22" s="74">
        <v>21.39</v>
      </c>
      <c r="E22" s="17"/>
      <c r="F22" s="17"/>
      <c r="G22" s="17"/>
      <c r="H22" s="17"/>
      <c r="I22" s="17"/>
      <c r="J22" s="17"/>
      <c r="K22" s="19">
        <v>61</v>
      </c>
      <c r="L22" s="11" t="s">
        <v>40</v>
      </c>
      <c r="M22" s="16">
        <f t="shared" si="0"/>
        <v>1304.79</v>
      </c>
    </row>
    <row r="23" spans="1:13" ht="20.100000000000001" customHeight="1" x14ac:dyDescent="0.2">
      <c r="A23" s="17" t="s">
        <v>54</v>
      </c>
      <c r="B23" s="13">
        <v>13</v>
      </c>
      <c r="C23" s="13">
        <v>2.5</v>
      </c>
      <c r="D23" s="18">
        <v>40.08</v>
      </c>
      <c r="E23" s="17"/>
      <c r="F23" s="17"/>
      <c r="G23" s="17"/>
      <c r="H23" s="17"/>
      <c r="I23" s="17"/>
      <c r="J23" s="17"/>
      <c r="K23" s="19">
        <v>258</v>
      </c>
      <c r="L23" s="11" t="s">
        <v>40</v>
      </c>
      <c r="M23" s="16">
        <f t="shared" si="0"/>
        <v>10340.64</v>
      </c>
    </row>
    <row r="24" spans="1:13" ht="20.100000000000001" customHeight="1" x14ac:dyDescent="0.2">
      <c r="A24" s="17" t="s">
        <v>55</v>
      </c>
      <c r="B24" s="13">
        <v>13</v>
      </c>
      <c r="C24" s="13">
        <v>2.5</v>
      </c>
      <c r="D24" s="18">
        <v>41</v>
      </c>
      <c r="E24" s="17"/>
      <c r="F24" s="17"/>
      <c r="G24" s="17"/>
      <c r="H24" s="17"/>
      <c r="I24" s="17"/>
      <c r="J24" s="17"/>
      <c r="K24" s="19">
        <v>341</v>
      </c>
      <c r="L24" s="11" t="s">
        <v>40</v>
      </c>
      <c r="M24" s="16">
        <f t="shared" si="0"/>
        <v>13981</v>
      </c>
    </row>
    <row r="25" spans="1:13" ht="20.100000000000001" customHeight="1" x14ac:dyDescent="0.2">
      <c r="A25" s="17" t="s">
        <v>56</v>
      </c>
      <c r="B25" s="13">
        <v>13</v>
      </c>
      <c r="C25" s="13">
        <v>2.5</v>
      </c>
      <c r="D25" s="18">
        <v>36.24</v>
      </c>
      <c r="E25" s="17"/>
      <c r="F25" s="17"/>
      <c r="G25" s="17"/>
      <c r="H25" s="17"/>
      <c r="I25" s="17"/>
      <c r="J25" s="17"/>
      <c r="K25" s="19">
        <v>756</v>
      </c>
      <c r="L25" s="11" t="s">
        <v>40</v>
      </c>
      <c r="M25" s="16">
        <f t="shared" si="0"/>
        <v>27397.440000000002</v>
      </c>
    </row>
    <row r="26" spans="1:13" ht="20.100000000000001" customHeight="1" x14ac:dyDescent="0.2">
      <c r="A26" s="17" t="s">
        <v>57</v>
      </c>
      <c r="B26" s="13">
        <v>13</v>
      </c>
      <c r="C26" s="13">
        <v>2.5</v>
      </c>
      <c r="D26" s="18">
        <v>31.06</v>
      </c>
      <c r="E26" s="17"/>
      <c r="F26" s="17"/>
      <c r="G26" s="17"/>
      <c r="H26" s="17"/>
      <c r="I26" s="17"/>
      <c r="J26" s="17"/>
      <c r="K26" s="19">
        <v>510</v>
      </c>
      <c r="L26" s="11" t="s">
        <v>40</v>
      </c>
      <c r="M26" s="16">
        <f t="shared" si="0"/>
        <v>15840.599999999999</v>
      </c>
    </row>
    <row r="27" spans="1:13" ht="20.100000000000001" customHeight="1" x14ac:dyDescent="0.2">
      <c r="A27" s="17" t="s">
        <v>58</v>
      </c>
      <c r="B27" s="13">
        <v>13</v>
      </c>
      <c r="C27" s="13">
        <v>2.5</v>
      </c>
      <c r="D27" s="18">
        <v>23.62</v>
      </c>
      <c r="E27" s="17"/>
      <c r="F27" s="17"/>
      <c r="G27" s="17"/>
      <c r="H27" s="17"/>
      <c r="I27" s="17"/>
      <c r="J27" s="17"/>
      <c r="K27" s="19">
        <v>64</v>
      </c>
      <c r="L27" s="11" t="s">
        <v>40</v>
      </c>
      <c r="M27" s="16">
        <f t="shared" si="0"/>
        <v>1511.68</v>
      </c>
    </row>
    <row r="28" spans="1:13" ht="20.100000000000001" customHeight="1" x14ac:dyDescent="0.2">
      <c r="A28" s="17" t="s">
        <v>59</v>
      </c>
      <c r="B28" s="13">
        <v>13</v>
      </c>
      <c r="C28" s="13">
        <v>2.5</v>
      </c>
      <c r="D28" s="18">
        <v>32.090000000000003</v>
      </c>
      <c r="E28" s="17"/>
      <c r="F28" s="17"/>
      <c r="G28" s="17"/>
      <c r="H28" s="17"/>
      <c r="I28" s="17"/>
      <c r="J28" s="17"/>
      <c r="K28" s="19">
        <v>273</v>
      </c>
      <c r="L28" s="11" t="s">
        <v>40</v>
      </c>
      <c r="M28" s="16">
        <f t="shared" si="0"/>
        <v>8760.5700000000015</v>
      </c>
    </row>
    <row r="29" spans="1:13" ht="20.100000000000001" customHeight="1" x14ac:dyDescent="0.2">
      <c r="A29" s="17" t="s">
        <v>60</v>
      </c>
      <c r="B29" s="13">
        <v>13</v>
      </c>
      <c r="C29" s="13">
        <v>2.5</v>
      </c>
      <c r="D29" s="18">
        <v>30.84</v>
      </c>
      <c r="E29" s="17"/>
      <c r="F29" s="17"/>
      <c r="G29" s="17"/>
      <c r="H29" s="17"/>
      <c r="I29" s="17"/>
      <c r="J29" s="17"/>
      <c r="K29" s="19">
        <v>636</v>
      </c>
      <c r="L29" s="11" t="s">
        <v>40</v>
      </c>
      <c r="M29" s="16">
        <f t="shared" si="0"/>
        <v>19614.240000000002</v>
      </c>
    </row>
    <row r="30" spans="1:13" ht="20.100000000000001" customHeight="1" x14ac:dyDescent="0.2">
      <c r="A30" s="17" t="s">
        <v>479</v>
      </c>
      <c r="B30" s="13">
        <v>13</v>
      </c>
      <c r="C30" s="13">
        <v>2.5</v>
      </c>
      <c r="D30" s="18">
        <v>52.02</v>
      </c>
      <c r="E30" s="17"/>
      <c r="F30" s="17"/>
      <c r="G30" s="17"/>
      <c r="H30" s="17"/>
      <c r="I30" s="17"/>
      <c r="J30" s="17"/>
      <c r="K30" s="19">
        <v>46</v>
      </c>
      <c r="L30" s="11" t="s">
        <v>40</v>
      </c>
      <c r="M30" s="16">
        <f t="shared" si="0"/>
        <v>2392.92</v>
      </c>
    </row>
    <row r="31" spans="1:13" ht="20.100000000000001" customHeight="1" x14ac:dyDescent="0.2">
      <c r="A31" s="17" t="s">
        <v>61</v>
      </c>
      <c r="B31" s="13">
        <v>13</v>
      </c>
      <c r="C31" s="13">
        <v>2.5</v>
      </c>
      <c r="D31" s="18">
        <v>22.72</v>
      </c>
      <c r="E31" s="17"/>
      <c r="F31" s="17"/>
      <c r="G31" s="17"/>
      <c r="H31" s="17"/>
      <c r="I31" s="17"/>
      <c r="J31" s="17"/>
      <c r="K31" s="19">
        <v>454</v>
      </c>
      <c r="L31" s="11" t="s">
        <v>40</v>
      </c>
      <c r="M31" s="16">
        <f t="shared" si="0"/>
        <v>10314.879999999999</v>
      </c>
    </row>
    <row r="32" spans="1:13" ht="20.100000000000001" customHeight="1" x14ac:dyDescent="0.2">
      <c r="A32" s="17" t="s">
        <v>62</v>
      </c>
      <c r="B32" s="13">
        <v>13</v>
      </c>
      <c r="C32" s="13">
        <v>3</v>
      </c>
      <c r="D32" s="18">
        <v>24.17</v>
      </c>
      <c r="E32" s="17"/>
      <c r="F32" s="17"/>
      <c r="G32" s="17"/>
      <c r="H32" s="17"/>
      <c r="I32" s="17"/>
      <c r="J32" s="17"/>
      <c r="K32" s="19">
        <v>129</v>
      </c>
      <c r="L32" s="11" t="s">
        <v>40</v>
      </c>
      <c r="M32" s="16">
        <f t="shared" si="0"/>
        <v>3117.9300000000003</v>
      </c>
    </row>
    <row r="33" spans="1:13" ht="20.100000000000001" customHeight="1" x14ac:dyDescent="0.2">
      <c r="A33" s="17" t="s">
        <v>63</v>
      </c>
      <c r="B33" s="13">
        <v>13</v>
      </c>
      <c r="C33" s="13">
        <v>2.7</v>
      </c>
      <c r="D33" s="18">
        <v>111.83</v>
      </c>
      <c r="E33" s="17"/>
      <c r="F33" s="17"/>
      <c r="G33" s="17"/>
      <c r="H33" s="17"/>
      <c r="I33" s="17"/>
      <c r="J33" s="17"/>
      <c r="K33" s="19">
        <v>267</v>
      </c>
      <c r="L33" s="11" t="s">
        <v>40</v>
      </c>
      <c r="M33" s="16">
        <f t="shared" si="0"/>
        <v>29858.61</v>
      </c>
    </row>
    <row r="34" spans="1:13" ht="20.100000000000001" customHeight="1" x14ac:dyDescent="0.2">
      <c r="A34" s="17" t="s">
        <v>64</v>
      </c>
      <c r="B34" s="13">
        <v>13</v>
      </c>
      <c r="C34" s="13">
        <v>3.75</v>
      </c>
      <c r="D34" s="18">
        <v>45.43</v>
      </c>
      <c r="E34" s="17"/>
      <c r="F34" s="17"/>
      <c r="G34" s="17"/>
      <c r="H34" s="17"/>
      <c r="I34" s="17"/>
      <c r="J34" s="17"/>
      <c r="K34" s="19">
        <v>423</v>
      </c>
      <c r="L34" s="11" t="s">
        <v>40</v>
      </c>
      <c r="M34" s="16">
        <f t="shared" si="0"/>
        <v>19216.89</v>
      </c>
    </row>
    <row r="35" spans="1:13" ht="20.100000000000001" customHeight="1" x14ac:dyDescent="0.2">
      <c r="A35" s="17" t="s">
        <v>65</v>
      </c>
      <c r="B35" s="13">
        <v>13</v>
      </c>
      <c r="C35" s="13">
        <v>3</v>
      </c>
      <c r="D35" s="18">
        <v>33.26</v>
      </c>
      <c r="E35" s="17"/>
      <c r="F35" s="17"/>
      <c r="G35" s="17"/>
      <c r="H35" s="17"/>
      <c r="I35" s="17"/>
      <c r="J35" s="17"/>
      <c r="K35" s="19">
        <v>152</v>
      </c>
      <c r="L35" s="11" t="s">
        <v>40</v>
      </c>
      <c r="M35" s="16">
        <f t="shared" si="0"/>
        <v>5055.5199999999995</v>
      </c>
    </row>
    <row r="36" spans="1:13" ht="20.100000000000001" customHeight="1" x14ac:dyDescent="0.2">
      <c r="A36" s="17" t="s">
        <v>66</v>
      </c>
      <c r="B36" s="13">
        <v>13</v>
      </c>
      <c r="C36" s="13">
        <v>2</v>
      </c>
      <c r="D36" s="18">
        <v>43.81</v>
      </c>
      <c r="E36" s="17"/>
      <c r="F36" s="17"/>
      <c r="G36" s="17"/>
      <c r="H36" s="17"/>
      <c r="I36" s="17"/>
      <c r="J36" s="17"/>
      <c r="K36" s="19">
        <v>42</v>
      </c>
      <c r="L36" s="11" t="s">
        <v>40</v>
      </c>
      <c r="M36" s="16">
        <f t="shared" si="0"/>
        <v>1840.02</v>
      </c>
    </row>
    <row r="37" spans="1:13" ht="20.100000000000001" customHeight="1" x14ac:dyDescent="0.2">
      <c r="A37" s="17" t="s">
        <v>730</v>
      </c>
      <c r="B37" s="13">
        <v>13</v>
      </c>
      <c r="C37" s="13">
        <v>2</v>
      </c>
      <c r="D37" s="74">
        <v>26.9</v>
      </c>
      <c r="E37" s="17"/>
      <c r="F37" s="17"/>
      <c r="G37" s="17"/>
      <c r="H37" s="17"/>
      <c r="I37" s="17"/>
      <c r="J37" s="17"/>
      <c r="K37" s="19">
        <v>120</v>
      </c>
      <c r="L37" s="11" t="s">
        <v>40</v>
      </c>
      <c r="M37" s="16">
        <f t="shared" si="0"/>
        <v>3228</v>
      </c>
    </row>
    <row r="38" spans="1:13" ht="20.100000000000001" customHeight="1" x14ac:dyDescent="0.2">
      <c r="A38" s="17"/>
      <c r="B38" s="13"/>
      <c r="C38" s="13"/>
      <c r="D38" s="18"/>
      <c r="E38" s="17"/>
      <c r="F38" s="17"/>
      <c r="G38" s="17"/>
      <c r="H38" s="17"/>
      <c r="I38" s="17"/>
      <c r="J38" s="17"/>
      <c r="K38" s="19"/>
      <c r="L38" s="11"/>
      <c r="M38" s="16">
        <f>SUM(M3:M37)</f>
        <v>276253.41000000003</v>
      </c>
    </row>
    <row r="39" spans="1:13" ht="20.100000000000001" customHeight="1" x14ac:dyDescent="0.2">
      <c r="A39" s="17"/>
      <c r="B39" s="13"/>
      <c r="C39" s="13"/>
      <c r="D39" s="18"/>
      <c r="E39" s="17"/>
      <c r="F39" s="17"/>
      <c r="G39" s="17"/>
      <c r="H39" s="17"/>
      <c r="I39" s="17"/>
      <c r="J39" s="17"/>
      <c r="K39" s="19"/>
      <c r="L39" s="11"/>
      <c r="M39" s="16"/>
    </row>
    <row r="40" spans="1:13" ht="20.100000000000001" customHeight="1" x14ac:dyDescent="0.2">
      <c r="A40" s="17"/>
      <c r="B40" s="13"/>
      <c r="C40" s="13"/>
      <c r="D40" s="18"/>
      <c r="E40" s="17"/>
      <c r="F40" s="17"/>
      <c r="G40" s="17"/>
      <c r="H40" s="17"/>
      <c r="I40" s="17"/>
      <c r="J40" s="17"/>
      <c r="K40" s="19"/>
      <c r="L40" s="11"/>
      <c r="M40" s="16"/>
    </row>
    <row r="41" spans="1:13" ht="20.100000000000001" customHeight="1" x14ac:dyDescent="0.2">
      <c r="A41" s="17"/>
      <c r="B41" s="13"/>
      <c r="C41" s="13"/>
      <c r="D41" s="18"/>
      <c r="E41" s="17"/>
      <c r="F41" s="17"/>
      <c r="G41" s="17"/>
      <c r="H41" s="17"/>
      <c r="I41" s="17"/>
      <c r="J41" s="17"/>
      <c r="K41" s="19"/>
      <c r="L41" s="11"/>
      <c r="M41" s="16"/>
    </row>
    <row r="42" spans="1:13" ht="20.100000000000001" customHeight="1" x14ac:dyDescent="0.2">
      <c r="A42" s="17"/>
      <c r="B42" s="13"/>
      <c r="C42" s="13"/>
      <c r="D42" s="18"/>
      <c r="E42" s="17"/>
      <c r="F42" s="17"/>
      <c r="G42" s="17"/>
      <c r="H42" s="17"/>
      <c r="I42" s="17"/>
      <c r="J42" s="17"/>
      <c r="K42" s="19"/>
      <c r="L42" s="11"/>
      <c r="M42" s="16"/>
    </row>
    <row r="43" spans="1:13" ht="20.100000000000001" customHeight="1" x14ac:dyDescent="0.2">
      <c r="A43" s="17"/>
      <c r="B43" s="13"/>
      <c r="C43" s="13"/>
      <c r="D43" s="18"/>
      <c r="E43" s="17"/>
      <c r="F43" s="17"/>
      <c r="G43" s="17"/>
      <c r="H43" s="17"/>
      <c r="I43" s="17"/>
      <c r="J43" s="17"/>
      <c r="K43" s="19"/>
      <c r="L43" s="11"/>
      <c r="M43" s="16"/>
    </row>
    <row r="44" spans="1:13" ht="20.100000000000001" customHeight="1" x14ac:dyDescent="0.2">
      <c r="A44" s="17"/>
      <c r="B44" s="13"/>
      <c r="C44" s="13"/>
      <c r="D44" s="18"/>
      <c r="E44" s="17"/>
      <c r="F44" s="17"/>
      <c r="G44" s="17"/>
      <c r="H44" s="17"/>
      <c r="I44" s="17"/>
      <c r="J44" s="17"/>
      <c r="K44" s="19"/>
      <c r="L44" s="11"/>
      <c r="M44" s="16"/>
    </row>
    <row r="45" spans="1:13" ht="20.100000000000001" customHeight="1" x14ac:dyDescent="0.2">
      <c r="A45" s="17"/>
      <c r="B45" s="13"/>
      <c r="C45" s="13"/>
      <c r="D45" s="18"/>
      <c r="E45" s="17"/>
      <c r="F45" s="17"/>
      <c r="G45" s="17"/>
      <c r="H45" s="17"/>
      <c r="I45" s="17"/>
      <c r="J45" s="17"/>
      <c r="K45" s="19"/>
      <c r="L45" s="11"/>
      <c r="M45" s="16"/>
    </row>
  </sheetData>
  <phoneticPr fontId="2"/>
  <pageMargins left="0.7" right="0.7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98"/>
  <sheetViews>
    <sheetView zoomScale="115" zoomScaleNormal="115" workbookViewId="0">
      <pane ySplit="2" topLeftCell="A72" activePane="bottomLeft" state="frozen"/>
      <selection pane="bottomLeft" activeCell="M3" sqref="M3:M92"/>
    </sheetView>
  </sheetViews>
  <sheetFormatPr defaultRowHeight="13.2" x14ac:dyDescent="0.2"/>
  <cols>
    <col min="1" max="1" width="30" style="1" customWidth="1"/>
    <col min="2" max="2" width="3.6640625" style="2" customWidth="1"/>
    <col min="3" max="3" width="6.44140625" style="2" hidden="1" customWidth="1"/>
    <col min="4" max="4" width="8.44140625" style="35" customWidth="1"/>
    <col min="5" max="10" width="0" style="1" hidden="1" customWidth="1"/>
    <col min="11" max="11" width="8.6640625" style="9" customWidth="1"/>
    <col min="12" max="12" width="6.21875" style="36" customWidth="1"/>
    <col min="13" max="13" width="8.6640625" style="9" customWidth="1"/>
  </cols>
  <sheetData>
    <row r="1" spans="1:13" ht="20.100000000000001" customHeight="1" x14ac:dyDescent="0.2">
      <c r="A1" s="1" t="s">
        <v>770</v>
      </c>
      <c r="D1" s="3"/>
      <c r="M1" s="9">
        <f>SUM(D:D*K:K)</f>
        <v>0</v>
      </c>
    </row>
    <row r="2" spans="1:13" ht="20.100000000000001" customHeight="1" x14ac:dyDescent="0.2">
      <c r="A2" s="10" t="s">
        <v>4</v>
      </c>
      <c r="B2" s="11" t="s">
        <v>5</v>
      </c>
      <c r="C2" s="11"/>
      <c r="D2" s="12" t="s">
        <v>6</v>
      </c>
      <c r="E2" s="13"/>
      <c r="F2" s="13"/>
      <c r="G2" s="13"/>
      <c r="H2" s="13"/>
      <c r="I2" s="13"/>
      <c r="J2" s="13"/>
      <c r="K2" s="16" t="s">
        <v>14</v>
      </c>
      <c r="L2" s="11" t="s">
        <v>15</v>
      </c>
      <c r="M2" s="16" t="s">
        <v>16</v>
      </c>
    </row>
    <row r="3" spans="1:13" ht="20.100000000000001" customHeight="1" x14ac:dyDescent="0.2">
      <c r="A3" s="17" t="s">
        <v>248</v>
      </c>
      <c r="B3" s="11">
        <v>30</v>
      </c>
      <c r="C3" s="11">
        <v>10</v>
      </c>
      <c r="D3" s="18">
        <v>196.5</v>
      </c>
      <c r="E3" s="17">
        <v>3870</v>
      </c>
      <c r="F3" s="17">
        <v>100</v>
      </c>
      <c r="G3" s="17">
        <v>3870</v>
      </c>
      <c r="H3" s="17">
        <v>100</v>
      </c>
      <c r="I3" s="17"/>
      <c r="J3" s="17"/>
      <c r="K3" s="16">
        <v>15</v>
      </c>
      <c r="L3" s="11" t="s">
        <v>49</v>
      </c>
      <c r="M3" s="16">
        <f t="shared" ref="M3:M34" si="0">SUM(D:D*K:K)</f>
        <v>2947.5</v>
      </c>
    </row>
    <row r="4" spans="1:13" ht="20.100000000000001" customHeight="1" x14ac:dyDescent="0.2">
      <c r="A4" s="17" t="s">
        <v>250</v>
      </c>
      <c r="B4" s="11">
        <v>30</v>
      </c>
      <c r="C4" s="11">
        <v>2</v>
      </c>
      <c r="D4" s="18">
        <v>94.4</v>
      </c>
      <c r="E4" s="17"/>
      <c r="F4" s="17"/>
      <c r="G4" s="17"/>
      <c r="H4" s="17"/>
      <c r="I4" s="17"/>
      <c r="J4" s="17"/>
      <c r="K4" s="16">
        <v>57</v>
      </c>
      <c r="L4" s="11" t="s">
        <v>49</v>
      </c>
      <c r="M4" s="16">
        <f t="shared" si="0"/>
        <v>5380.8</v>
      </c>
    </row>
    <row r="5" spans="1:13" ht="20.100000000000001" customHeight="1" x14ac:dyDescent="0.2">
      <c r="A5" s="57" t="s">
        <v>251</v>
      </c>
      <c r="B5" s="21">
        <v>30</v>
      </c>
      <c r="C5" s="21">
        <v>1</v>
      </c>
      <c r="D5" s="22">
        <v>22.7</v>
      </c>
      <c r="E5" s="17"/>
      <c r="F5" s="17"/>
      <c r="G5" s="17"/>
      <c r="H5" s="17"/>
      <c r="I5" s="17"/>
      <c r="J5" s="17"/>
      <c r="K5" s="16">
        <v>85</v>
      </c>
      <c r="L5" s="11" t="s">
        <v>42</v>
      </c>
      <c r="M5" s="16">
        <f t="shared" si="0"/>
        <v>1929.5</v>
      </c>
    </row>
    <row r="6" spans="1:13" ht="20.100000000000001" customHeight="1" x14ac:dyDescent="0.2">
      <c r="A6" s="57" t="s">
        <v>787</v>
      </c>
      <c r="B6" s="21">
        <v>30</v>
      </c>
      <c r="C6" s="21"/>
      <c r="D6" s="22">
        <v>73</v>
      </c>
      <c r="E6" s="17"/>
      <c r="F6" s="17"/>
      <c r="G6" s="17"/>
      <c r="H6" s="17"/>
      <c r="I6" s="17"/>
      <c r="J6" s="17"/>
      <c r="K6" s="16">
        <v>5</v>
      </c>
      <c r="L6" s="11" t="s">
        <v>49</v>
      </c>
      <c r="M6" s="16">
        <f t="shared" si="0"/>
        <v>365</v>
      </c>
    </row>
    <row r="7" spans="1:13" ht="20.100000000000001" customHeight="1" x14ac:dyDescent="0.2">
      <c r="A7" s="20" t="s">
        <v>252</v>
      </c>
      <c r="B7" s="13">
        <v>30</v>
      </c>
      <c r="C7" s="13">
        <v>1</v>
      </c>
      <c r="D7" s="58">
        <v>73.7</v>
      </c>
      <c r="E7" s="17"/>
      <c r="F7" s="17"/>
      <c r="G7" s="17"/>
      <c r="H7" s="17"/>
      <c r="I7" s="17"/>
      <c r="J7" s="17"/>
      <c r="K7" s="16">
        <v>38</v>
      </c>
      <c r="L7" s="11" t="s">
        <v>49</v>
      </c>
      <c r="M7" s="16">
        <f t="shared" si="0"/>
        <v>2800.6</v>
      </c>
    </row>
    <row r="8" spans="1:13" ht="20.100000000000001" customHeight="1" x14ac:dyDescent="0.2">
      <c r="A8" s="20" t="s">
        <v>253</v>
      </c>
      <c r="B8" s="13">
        <v>30</v>
      </c>
      <c r="C8" s="13">
        <v>10</v>
      </c>
      <c r="D8" s="22">
        <v>488.7</v>
      </c>
      <c r="E8" s="17"/>
      <c r="F8" s="17"/>
      <c r="G8" s="17"/>
      <c r="H8" s="17"/>
      <c r="I8" s="17"/>
      <c r="J8" s="17"/>
      <c r="K8" s="16">
        <v>2</v>
      </c>
      <c r="L8" s="11" t="s">
        <v>49</v>
      </c>
      <c r="M8" s="16">
        <f t="shared" si="0"/>
        <v>977.4</v>
      </c>
    </row>
    <row r="9" spans="1:13" ht="20.100000000000001" customHeight="1" x14ac:dyDescent="0.2">
      <c r="A9" s="20" t="s">
        <v>741</v>
      </c>
      <c r="B9" s="13">
        <v>30</v>
      </c>
      <c r="C9" s="13"/>
      <c r="D9" s="22">
        <v>4497.2</v>
      </c>
      <c r="E9" s="17"/>
      <c r="F9" s="17"/>
      <c r="G9" s="17"/>
      <c r="H9" s="17"/>
      <c r="I9" s="17"/>
      <c r="J9" s="17"/>
      <c r="K9" s="16">
        <v>3</v>
      </c>
      <c r="L9" s="11" t="s">
        <v>49</v>
      </c>
      <c r="M9" s="16">
        <f t="shared" si="0"/>
        <v>13491.599999999999</v>
      </c>
    </row>
    <row r="10" spans="1:13" ht="20.100000000000001" customHeight="1" x14ac:dyDescent="0.2">
      <c r="A10" s="57" t="s">
        <v>742</v>
      </c>
      <c r="B10" s="13">
        <v>30</v>
      </c>
      <c r="C10" s="51"/>
      <c r="D10" s="58">
        <v>208.8</v>
      </c>
      <c r="E10" s="53"/>
      <c r="F10" s="53"/>
      <c r="G10" s="53"/>
      <c r="H10" s="53"/>
      <c r="I10" s="53"/>
      <c r="J10" s="53"/>
      <c r="K10" s="16">
        <v>7</v>
      </c>
      <c r="L10" s="56" t="s">
        <v>49</v>
      </c>
      <c r="M10" s="16">
        <f t="shared" si="0"/>
        <v>1461.6000000000001</v>
      </c>
    </row>
    <row r="11" spans="1:13" ht="20.100000000000001" customHeight="1" x14ac:dyDescent="0.2">
      <c r="A11" s="17" t="s">
        <v>254</v>
      </c>
      <c r="B11" s="11">
        <v>30</v>
      </c>
      <c r="C11" s="11">
        <v>10</v>
      </c>
      <c r="D11" s="18">
        <v>77.5</v>
      </c>
      <c r="E11" s="17"/>
      <c r="F11" s="17"/>
      <c r="G11" s="17"/>
      <c r="H11" s="17"/>
      <c r="I11" s="17"/>
      <c r="J11" s="17"/>
      <c r="K11" s="16">
        <v>36</v>
      </c>
      <c r="L11" s="11" t="s">
        <v>49</v>
      </c>
      <c r="M11" s="16">
        <f t="shared" si="0"/>
        <v>2790</v>
      </c>
    </row>
    <row r="12" spans="1:13" ht="20.100000000000001" customHeight="1" x14ac:dyDescent="0.2">
      <c r="A12" s="20" t="s">
        <v>255</v>
      </c>
      <c r="B12" s="13">
        <v>30</v>
      </c>
      <c r="C12" s="13">
        <v>15</v>
      </c>
      <c r="D12" s="22">
        <v>107.7</v>
      </c>
      <c r="E12" s="17"/>
      <c r="F12" s="17"/>
      <c r="G12" s="17"/>
      <c r="H12" s="17"/>
      <c r="I12" s="17"/>
      <c r="J12" s="17"/>
      <c r="K12" s="16">
        <v>14</v>
      </c>
      <c r="L12" s="11" t="s">
        <v>49</v>
      </c>
      <c r="M12" s="16">
        <f t="shared" si="0"/>
        <v>1507.8</v>
      </c>
    </row>
    <row r="13" spans="1:13" ht="20.100000000000001" customHeight="1" x14ac:dyDescent="0.2">
      <c r="A13" s="20" t="s">
        <v>256</v>
      </c>
      <c r="B13" s="13">
        <v>30</v>
      </c>
      <c r="C13" s="13">
        <v>1</v>
      </c>
      <c r="D13" s="22">
        <v>66</v>
      </c>
      <c r="E13" s="17"/>
      <c r="F13" s="17"/>
      <c r="G13" s="17"/>
      <c r="H13" s="17"/>
      <c r="I13" s="17"/>
      <c r="J13" s="17"/>
      <c r="K13" s="16">
        <v>7</v>
      </c>
      <c r="L13" s="11" t="s">
        <v>442</v>
      </c>
      <c r="M13" s="16">
        <f t="shared" si="0"/>
        <v>462</v>
      </c>
    </row>
    <row r="14" spans="1:13" ht="20.100000000000001" customHeight="1" x14ac:dyDescent="0.2">
      <c r="A14" s="57" t="s">
        <v>793</v>
      </c>
      <c r="B14" s="13">
        <v>30</v>
      </c>
      <c r="C14" s="13"/>
      <c r="D14" s="22">
        <v>1975</v>
      </c>
      <c r="E14" s="17"/>
      <c r="F14" s="17"/>
      <c r="G14" s="17"/>
      <c r="H14" s="17"/>
      <c r="I14" s="17"/>
      <c r="J14" s="17"/>
      <c r="K14" s="16">
        <v>9</v>
      </c>
      <c r="L14" s="11" t="s">
        <v>49</v>
      </c>
      <c r="M14" s="16">
        <f t="shared" si="0"/>
        <v>17775</v>
      </c>
    </row>
    <row r="15" spans="1:13" ht="20.100000000000001" customHeight="1" x14ac:dyDescent="0.2">
      <c r="A15" s="53" t="s">
        <v>257</v>
      </c>
      <c r="B15" s="11">
        <v>30</v>
      </c>
      <c r="C15" s="11">
        <v>1</v>
      </c>
      <c r="D15" s="18">
        <v>48.6</v>
      </c>
      <c r="E15" s="17"/>
      <c r="F15" s="17"/>
      <c r="G15" s="17"/>
      <c r="H15" s="17"/>
      <c r="I15" s="17"/>
      <c r="J15" s="17"/>
      <c r="K15" s="16">
        <v>7</v>
      </c>
      <c r="L15" s="11" t="s">
        <v>442</v>
      </c>
      <c r="M15" s="16">
        <f t="shared" si="0"/>
        <v>340.2</v>
      </c>
    </row>
    <row r="16" spans="1:13" ht="20.100000000000001" customHeight="1" x14ac:dyDescent="0.2">
      <c r="A16" s="20" t="s">
        <v>258</v>
      </c>
      <c r="B16" s="13">
        <v>30</v>
      </c>
      <c r="C16" s="13">
        <v>1</v>
      </c>
      <c r="D16" s="22">
        <v>49.18</v>
      </c>
      <c r="E16" s="17"/>
      <c r="F16" s="17"/>
      <c r="G16" s="17"/>
      <c r="H16" s="17"/>
      <c r="I16" s="17"/>
      <c r="J16" s="17"/>
      <c r="K16" s="16">
        <v>43</v>
      </c>
      <c r="L16" s="11" t="s">
        <v>45</v>
      </c>
      <c r="M16" s="16">
        <f t="shared" si="0"/>
        <v>2114.7399999999998</v>
      </c>
    </row>
    <row r="17" spans="1:13" ht="20.100000000000001" customHeight="1" x14ac:dyDescent="0.2">
      <c r="A17" s="17" t="s">
        <v>259</v>
      </c>
      <c r="B17" s="13">
        <v>30</v>
      </c>
      <c r="C17" s="13">
        <v>3.5</v>
      </c>
      <c r="D17" s="18">
        <v>345</v>
      </c>
      <c r="E17" s="17">
        <v>894</v>
      </c>
      <c r="F17" s="17">
        <v>10</v>
      </c>
      <c r="G17" s="17">
        <v>894</v>
      </c>
      <c r="H17" s="17">
        <v>10</v>
      </c>
      <c r="I17" s="17"/>
      <c r="J17" s="17"/>
      <c r="K17" s="16">
        <v>15</v>
      </c>
      <c r="L17" s="11" t="s">
        <v>49</v>
      </c>
      <c r="M17" s="16">
        <f t="shared" si="0"/>
        <v>5175</v>
      </c>
    </row>
    <row r="18" spans="1:13" ht="20.100000000000001" customHeight="1" x14ac:dyDescent="0.2">
      <c r="A18" s="20" t="s">
        <v>260</v>
      </c>
      <c r="B18" s="13">
        <v>30</v>
      </c>
      <c r="C18" s="13">
        <v>5</v>
      </c>
      <c r="D18" s="22">
        <v>495.4</v>
      </c>
      <c r="E18" s="17">
        <v>718</v>
      </c>
      <c r="F18" s="17">
        <v>100</v>
      </c>
      <c r="G18" s="17">
        <v>718</v>
      </c>
      <c r="H18" s="17">
        <v>100</v>
      </c>
      <c r="I18" s="17"/>
      <c r="J18" s="17"/>
      <c r="K18" s="16">
        <v>3</v>
      </c>
      <c r="L18" s="11" t="s">
        <v>49</v>
      </c>
      <c r="M18" s="16">
        <f t="shared" si="0"/>
        <v>1486.1999999999998</v>
      </c>
    </row>
    <row r="19" spans="1:13" ht="20.100000000000001" customHeight="1" x14ac:dyDescent="0.2">
      <c r="A19" s="53" t="s">
        <v>638</v>
      </c>
      <c r="B19" s="13">
        <v>30</v>
      </c>
      <c r="C19" s="13"/>
      <c r="D19" s="18">
        <v>195</v>
      </c>
      <c r="E19" s="17"/>
      <c r="F19" s="17"/>
      <c r="G19" s="17"/>
      <c r="H19" s="17"/>
      <c r="I19" s="17"/>
      <c r="J19" s="17"/>
      <c r="K19" s="16">
        <v>20</v>
      </c>
      <c r="L19" s="11" t="s">
        <v>49</v>
      </c>
      <c r="M19" s="16">
        <f t="shared" si="0"/>
        <v>3900</v>
      </c>
    </row>
    <row r="20" spans="1:13" ht="20.100000000000001" customHeight="1" x14ac:dyDescent="0.2">
      <c r="A20" s="57" t="s">
        <v>788</v>
      </c>
      <c r="B20" s="13">
        <v>30</v>
      </c>
      <c r="C20" s="13"/>
      <c r="D20" s="22">
        <v>172.8</v>
      </c>
      <c r="E20" s="17"/>
      <c r="F20" s="17"/>
      <c r="G20" s="17"/>
      <c r="H20" s="17"/>
      <c r="I20" s="17"/>
      <c r="J20" s="17"/>
      <c r="K20" s="16">
        <v>7</v>
      </c>
      <c r="L20" s="11" t="s">
        <v>49</v>
      </c>
      <c r="M20" s="16">
        <f t="shared" si="0"/>
        <v>1209.6000000000001</v>
      </c>
    </row>
    <row r="21" spans="1:13" ht="20.100000000000001" customHeight="1" x14ac:dyDescent="0.2">
      <c r="A21" s="17" t="s">
        <v>630</v>
      </c>
      <c r="B21" s="11">
        <v>30</v>
      </c>
      <c r="C21" s="11">
        <v>10</v>
      </c>
      <c r="D21" s="18">
        <v>89.9</v>
      </c>
      <c r="E21" s="17"/>
      <c r="F21" s="17"/>
      <c r="G21" s="17"/>
      <c r="H21" s="17"/>
      <c r="I21" s="17"/>
      <c r="J21" s="17"/>
      <c r="K21" s="16">
        <v>34</v>
      </c>
      <c r="L21" s="11" t="s">
        <v>49</v>
      </c>
      <c r="M21" s="16">
        <f t="shared" si="0"/>
        <v>3056.6000000000004</v>
      </c>
    </row>
    <row r="22" spans="1:13" ht="20.100000000000001" customHeight="1" x14ac:dyDescent="0.2">
      <c r="A22" s="17" t="s">
        <v>631</v>
      </c>
      <c r="B22" s="11">
        <v>30</v>
      </c>
      <c r="C22" s="11">
        <v>10</v>
      </c>
      <c r="D22" s="18">
        <v>90</v>
      </c>
      <c r="E22" s="17">
        <v>1000</v>
      </c>
      <c r="F22" s="17">
        <v>100</v>
      </c>
      <c r="G22" s="17">
        <v>1000</v>
      </c>
      <c r="H22" s="17">
        <v>100</v>
      </c>
      <c r="I22" s="17"/>
      <c r="J22" s="17"/>
      <c r="K22" s="16">
        <v>17</v>
      </c>
      <c r="L22" s="11" t="s">
        <v>49</v>
      </c>
      <c r="M22" s="16">
        <f t="shared" si="0"/>
        <v>1530</v>
      </c>
    </row>
    <row r="23" spans="1:13" ht="20.100000000000001" customHeight="1" x14ac:dyDescent="0.2">
      <c r="A23" s="53" t="s">
        <v>261</v>
      </c>
      <c r="B23" s="11">
        <v>30</v>
      </c>
      <c r="C23" s="11">
        <v>5</v>
      </c>
      <c r="D23" s="18">
        <v>123.38</v>
      </c>
      <c r="E23" s="17"/>
      <c r="F23" s="17"/>
      <c r="G23" s="17"/>
      <c r="H23" s="17"/>
      <c r="I23" s="17"/>
      <c r="J23" s="17"/>
      <c r="K23" s="16">
        <v>0</v>
      </c>
      <c r="L23" s="11" t="s">
        <v>49</v>
      </c>
      <c r="M23" s="16">
        <f t="shared" si="0"/>
        <v>0</v>
      </c>
    </row>
    <row r="24" spans="1:13" ht="20.100000000000001" customHeight="1" x14ac:dyDescent="0.2">
      <c r="A24" s="17" t="s">
        <v>262</v>
      </c>
      <c r="B24" s="11">
        <v>30</v>
      </c>
      <c r="C24" s="11">
        <v>5</v>
      </c>
      <c r="D24" s="18">
        <v>123.38</v>
      </c>
      <c r="E24" s="17"/>
      <c r="F24" s="17"/>
      <c r="G24" s="17"/>
      <c r="H24" s="17"/>
      <c r="I24" s="17"/>
      <c r="J24" s="17"/>
      <c r="K24" s="16">
        <v>351</v>
      </c>
      <c r="L24" s="11" t="s">
        <v>49</v>
      </c>
      <c r="M24" s="16">
        <f t="shared" si="0"/>
        <v>43306.38</v>
      </c>
    </row>
    <row r="25" spans="1:13" ht="20.100000000000001" customHeight="1" x14ac:dyDescent="0.2">
      <c r="A25" s="17" t="s">
        <v>263</v>
      </c>
      <c r="B25" s="13">
        <v>30</v>
      </c>
      <c r="C25" s="13">
        <v>5</v>
      </c>
      <c r="D25" s="18">
        <v>71</v>
      </c>
      <c r="E25" s="17"/>
      <c r="F25" s="17"/>
      <c r="G25" s="17"/>
      <c r="H25" s="17"/>
      <c r="I25" s="17"/>
      <c r="J25" s="17"/>
      <c r="K25" s="16">
        <v>34</v>
      </c>
      <c r="L25" s="11" t="s">
        <v>49</v>
      </c>
      <c r="M25" s="16">
        <f t="shared" si="0"/>
        <v>2414</v>
      </c>
    </row>
    <row r="26" spans="1:13" ht="20.100000000000001" customHeight="1" x14ac:dyDescent="0.2">
      <c r="A26" s="17" t="s">
        <v>264</v>
      </c>
      <c r="B26" s="13">
        <v>30</v>
      </c>
      <c r="C26" s="13">
        <v>10</v>
      </c>
      <c r="D26" s="18">
        <v>154.55000000000001</v>
      </c>
      <c r="E26" s="17"/>
      <c r="F26" s="17"/>
      <c r="G26" s="17"/>
      <c r="H26" s="17"/>
      <c r="I26" s="17"/>
      <c r="J26" s="17"/>
      <c r="K26" s="16">
        <v>31</v>
      </c>
      <c r="L26" s="11" t="s">
        <v>49</v>
      </c>
      <c r="M26" s="16">
        <f t="shared" si="0"/>
        <v>4791.05</v>
      </c>
    </row>
    <row r="27" spans="1:13" ht="20.100000000000001" customHeight="1" x14ac:dyDescent="0.2">
      <c r="A27" s="17" t="s">
        <v>265</v>
      </c>
      <c r="B27" s="13">
        <v>30</v>
      </c>
      <c r="C27" s="13">
        <v>10</v>
      </c>
      <c r="D27" s="18">
        <v>200.9</v>
      </c>
      <c r="E27" s="17"/>
      <c r="F27" s="17"/>
      <c r="G27" s="17"/>
      <c r="H27" s="17"/>
      <c r="I27" s="17"/>
      <c r="J27" s="17"/>
      <c r="K27" s="16">
        <v>3</v>
      </c>
      <c r="L27" s="11" t="s">
        <v>49</v>
      </c>
      <c r="M27" s="16">
        <f t="shared" si="0"/>
        <v>602.70000000000005</v>
      </c>
    </row>
    <row r="28" spans="1:13" ht="20.100000000000001" customHeight="1" x14ac:dyDescent="0.2">
      <c r="A28" s="20" t="s">
        <v>617</v>
      </c>
      <c r="B28" s="13">
        <v>30</v>
      </c>
      <c r="C28" s="13">
        <v>20</v>
      </c>
      <c r="D28" s="22">
        <v>58</v>
      </c>
      <c r="E28" s="17"/>
      <c r="F28" s="17"/>
      <c r="G28" s="17"/>
      <c r="H28" s="17"/>
      <c r="I28" s="17"/>
      <c r="J28" s="17"/>
      <c r="K28" s="16">
        <v>10</v>
      </c>
      <c r="L28" s="11" t="s">
        <v>49</v>
      </c>
      <c r="M28" s="16">
        <f t="shared" si="0"/>
        <v>580</v>
      </c>
    </row>
    <row r="29" spans="1:13" ht="20.100000000000001" customHeight="1" x14ac:dyDescent="0.2">
      <c r="A29" s="20" t="s">
        <v>863</v>
      </c>
      <c r="B29" s="13">
        <v>30</v>
      </c>
      <c r="C29" s="13"/>
      <c r="D29" s="22">
        <v>121.6</v>
      </c>
      <c r="E29" s="17"/>
      <c r="F29" s="17"/>
      <c r="G29" s="17"/>
      <c r="H29" s="17"/>
      <c r="I29" s="17"/>
      <c r="J29" s="17"/>
      <c r="K29" s="16">
        <v>9</v>
      </c>
      <c r="L29" s="11" t="s">
        <v>49</v>
      </c>
      <c r="M29" s="16">
        <f t="shared" si="0"/>
        <v>1094.3999999999999</v>
      </c>
    </row>
    <row r="30" spans="1:13" ht="20.100000000000001" customHeight="1" x14ac:dyDescent="0.2">
      <c r="A30" s="17" t="s">
        <v>267</v>
      </c>
      <c r="B30" s="11">
        <v>30</v>
      </c>
      <c r="C30" s="11">
        <v>5</v>
      </c>
      <c r="D30" s="18">
        <v>348</v>
      </c>
      <c r="E30" s="17">
        <v>168</v>
      </c>
      <c r="F30" s="17">
        <v>50</v>
      </c>
      <c r="G30" s="17">
        <v>168</v>
      </c>
      <c r="H30" s="17">
        <v>50</v>
      </c>
      <c r="I30" s="17"/>
      <c r="J30" s="17"/>
      <c r="K30" s="16">
        <v>7</v>
      </c>
      <c r="L30" s="11" t="s">
        <v>49</v>
      </c>
      <c r="M30" s="16">
        <f t="shared" si="0"/>
        <v>2436</v>
      </c>
    </row>
    <row r="31" spans="1:13" ht="20.100000000000001" customHeight="1" x14ac:dyDescent="0.2">
      <c r="A31" s="17" t="s">
        <v>268</v>
      </c>
      <c r="B31" s="13">
        <v>30</v>
      </c>
      <c r="C31" s="13">
        <v>25</v>
      </c>
      <c r="D31" s="18">
        <v>412</v>
      </c>
      <c r="E31" s="17">
        <v>701</v>
      </c>
      <c r="F31" s="17">
        <v>100</v>
      </c>
      <c r="G31" s="17">
        <v>701</v>
      </c>
      <c r="H31" s="17">
        <v>100</v>
      </c>
      <c r="I31" s="17"/>
      <c r="J31" s="17"/>
      <c r="K31" s="16">
        <v>21</v>
      </c>
      <c r="L31" s="11" t="s">
        <v>49</v>
      </c>
      <c r="M31" s="16">
        <f t="shared" si="0"/>
        <v>8652</v>
      </c>
    </row>
    <row r="32" spans="1:13" ht="20.100000000000001" customHeight="1" x14ac:dyDescent="0.2">
      <c r="A32" s="17" t="s">
        <v>269</v>
      </c>
      <c r="B32" s="11">
        <v>30</v>
      </c>
      <c r="C32" s="11">
        <v>30</v>
      </c>
      <c r="D32" s="18">
        <v>1002</v>
      </c>
      <c r="E32" s="17">
        <v>1998</v>
      </c>
      <c r="F32" s="17">
        <v>250</v>
      </c>
      <c r="G32" s="17">
        <v>1998</v>
      </c>
      <c r="H32" s="17">
        <v>250</v>
      </c>
      <c r="I32" s="17"/>
      <c r="J32" s="17"/>
      <c r="K32" s="16">
        <v>1</v>
      </c>
      <c r="L32" s="11" t="s">
        <v>49</v>
      </c>
      <c r="M32" s="16">
        <f t="shared" si="0"/>
        <v>1002</v>
      </c>
    </row>
    <row r="33" spans="1:13" ht="20.100000000000001" customHeight="1" x14ac:dyDescent="0.2">
      <c r="A33" s="20" t="s">
        <v>639</v>
      </c>
      <c r="B33" s="13">
        <v>30</v>
      </c>
      <c r="C33" s="13">
        <v>10</v>
      </c>
      <c r="D33" s="22">
        <v>77.2</v>
      </c>
      <c r="E33" s="17"/>
      <c r="F33" s="17"/>
      <c r="G33" s="17"/>
      <c r="H33" s="17"/>
      <c r="I33" s="17"/>
      <c r="J33" s="17"/>
      <c r="K33" s="16">
        <v>10</v>
      </c>
      <c r="L33" s="11" t="s">
        <v>49</v>
      </c>
      <c r="M33" s="16">
        <f t="shared" si="0"/>
        <v>772</v>
      </c>
    </row>
    <row r="34" spans="1:13" ht="20.100000000000001" customHeight="1" x14ac:dyDescent="0.2">
      <c r="A34" s="17" t="s">
        <v>271</v>
      </c>
      <c r="B34" s="13">
        <v>30</v>
      </c>
      <c r="C34" s="13">
        <v>2</v>
      </c>
      <c r="D34" s="18">
        <v>37.94</v>
      </c>
      <c r="E34" s="17"/>
      <c r="F34" s="17"/>
      <c r="G34" s="17"/>
      <c r="H34" s="17"/>
      <c r="I34" s="17"/>
      <c r="J34" s="17"/>
      <c r="K34" s="16">
        <v>151</v>
      </c>
      <c r="L34" s="11" t="s">
        <v>49</v>
      </c>
      <c r="M34" s="16">
        <f t="shared" si="0"/>
        <v>5728.94</v>
      </c>
    </row>
    <row r="35" spans="1:13" ht="20.100000000000001" customHeight="1" x14ac:dyDescent="0.2">
      <c r="A35" s="17" t="s">
        <v>763</v>
      </c>
      <c r="B35" s="13">
        <v>30</v>
      </c>
      <c r="C35" s="13">
        <v>5</v>
      </c>
      <c r="D35" s="74">
        <v>53.4</v>
      </c>
      <c r="E35" s="17"/>
      <c r="F35" s="17"/>
      <c r="G35" s="17"/>
      <c r="H35" s="17"/>
      <c r="I35" s="17"/>
      <c r="J35" s="17"/>
      <c r="K35" s="16">
        <v>44</v>
      </c>
      <c r="L35" s="11" t="s">
        <v>49</v>
      </c>
      <c r="M35" s="16">
        <f t="shared" ref="M35:M66" si="1">SUM(D:D*K:K)</f>
        <v>2349.6</v>
      </c>
    </row>
    <row r="36" spans="1:13" ht="20.100000000000001" customHeight="1" x14ac:dyDescent="0.2">
      <c r="A36" s="17" t="s">
        <v>868</v>
      </c>
      <c r="B36" s="11">
        <v>30</v>
      </c>
      <c r="C36" s="11"/>
      <c r="D36" s="18">
        <v>147</v>
      </c>
      <c r="E36" s="17"/>
      <c r="F36" s="17"/>
      <c r="G36" s="17"/>
      <c r="H36" s="17"/>
      <c r="I36" s="17"/>
      <c r="J36" s="17"/>
      <c r="K36" s="16">
        <v>7</v>
      </c>
      <c r="L36" s="11" t="s">
        <v>49</v>
      </c>
      <c r="M36" s="16">
        <f t="shared" si="1"/>
        <v>1029</v>
      </c>
    </row>
    <row r="37" spans="1:13" ht="20.100000000000001" customHeight="1" x14ac:dyDescent="0.2">
      <c r="A37" s="17" t="s">
        <v>272</v>
      </c>
      <c r="B37" s="11">
        <v>30</v>
      </c>
      <c r="C37" s="11">
        <v>5</v>
      </c>
      <c r="D37" s="18">
        <v>82.3</v>
      </c>
      <c r="E37" s="17"/>
      <c r="F37" s="17"/>
      <c r="G37" s="17"/>
      <c r="H37" s="17"/>
      <c r="I37" s="17"/>
      <c r="J37" s="17"/>
      <c r="K37" s="16">
        <v>36</v>
      </c>
      <c r="L37" s="11" t="s">
        <v>49</v>
      </c>
      <c r="M37" s="16">
        <f t="shared" si="1"/>
        <v>2962.7999999999997</v>
      </c>
    </row>
    <row r="38" spans="1:13" ht="20.100000000000001" customHeight="1" x14ac:dyDescent="0.2">
      <c r="A38" s="17" t="s">
        <v>864</v>
      </c>
      <c r="B38" s="11">
        <v>30</v>
      </c>
      <c r="C38" s="11"/>
      <c r="D38" s="74">
        <v>66.3</v>
      </c>
      <c r="E38" s="17"/>
      <c r="F38" s="17"/>
      <c r="G38" s="17"/>
      <c r="H38" s="17"/>
      <c r="I38" s="17"/>
      <c r="J38" s="17"/>
      <c r="K38" s="16">
        <v>37</v>
      </c>
      <c r="L38" s="11" t="s">
        <v>49</v>
      </c>
      <c r="M38" s="16">
        <f t="shared" si="1"/>
        <v>2453.1</v>
      </c>
    </row>
    <row r="39" spans="1:13" ht="20.100000000000001" customHeight="1" x14ac:dyDescent="0.2">
      <c r="A39" s="57" t="s">
        <v>281</v>
      </c>
      <c r="B39" s="11">
        <v>31</v>
      </c>
      <c r="C39" s="11">
        <v>50</v>
      </c>
      <c r="D39" s="22">
        <v>36.6</v>
      </c>
      <c r="E39" s="17"/>
      <c r="F39" s="17"/>
      <c r="G39" s="17"/>
      <c r="H39" s="17"/>
      <c r="I39" s="17"/>
      <c r="J39" s="17"/>
      <c r="K39" s="16">
        <v>290</v>
      </c>
      <c r="L39" s="11" t="s">
        <v>416</v>
      </c>
      <c r="M39" s="16">
        <f t="shared" si="1"/>
        <v>10614</v>
      </c>
    </row>
    <row r="40" spans="1:13" ht="20.100000000000001" customHeight="1" x14ac:dyDescent="0.2">
      <c r="A40" s="20" t="s">
        <v>275</v>
      </c>
      <c r="B40" s="11">
        <v>31</v>
      </c>
      <c r="C40" s="11">
        <v>1</v>
      </c>
      <c r="D40" s="22">
        <v>3641</v>
      </c>
      <c r="E40" s="17">
        <v>10857</v>
      </c>
      <c r="F40" s="17">
        <v>500</v>
      </c>
      <c r="G40" s="17">
        <v>10857</v>
      </c>
      <c r="H40" s="17">
        <v>500</v>
      </c>
      <c r="I40" s="17"/>
      <c r="J40" s="17"/>
      <c r="K40" s="16">
        <v>2</v>
      </c>
      <c r="L40" s="11" t="s">
        <v>45</v>
      </c>
      <c r="M40" s="16">
        <f t="shared" si="1"/>
        <v>7282</v>
      </c>
    </row>
    <row r="41" spans="1:13" ht="20.100000000000001" customHeight="1" x14ac:dyDescent="0.2">
      <c r="A41" s="17" t="s">
        <v>875</v>
      </c>
      <c r="B41" s="11">
        <v>31</v>
      </c>
      <c r="C41" s="11"/>
      <c r="D41" s="18">
        <v>106.66</v>
      </c>
      <c r="E41" s="17"/>
      <c r="F41" s="17"/>
      <c r="G41" s="17"/>
      <c r="H41" s="17"/>
      <c r="I41" s="17"/>
      <c r="J41" s="17"/>
      <c r="K41" s="16">
        <v>50</v>
      </c>
      <c r="L41" s="11" t="s">
        <v>445</v>
      </c>
      <c r="M41" s="16">
        <f t="shared" si="1"/>
        <v>5333</v>
      </c>
    </row>
    <row r="42" spans="1:13" ht="20.100000000000001" customHeight="1" x14ac:dyDescent="0.2">
      <c r="A42" s="57" t="s">
        <v>628</v>
      </c>
      <c r="B42" s="21">
        <v>31</v>
      </c>
      <c r="C42" s="21"/>
      <c r="D42" s="22">
        <v>249.96</v>
      </c>
      <c r="E42" s="17"/>
      <c r="F42" s="17"/>
      <c r="G42" s="17"/>
      <c r="H42" s="17"/>
      <c r="I42" s="17"/>
      <c r="J42" s="17"/>
      <c r="K42" s="16">
        <v>133</v>
      </c>
      <c r="L42" s="11" t="s">
        <v>442</v>
      </c>
      <c r="M42" s="16">
        <f t="shared" si="1"/>
        <v>33244.68</v>
      </c>
    </row>
    <row r="43" spans="1:13" ht="20.100000000000001" customHeight="1" x14ac:dyDescent="0.2">
      <c r="A43" s="17" t="s">
        <v>276</v>
      </c>
      <c r="B43" s="13">
        <v>31</v>
      </c>
      <c r="C43" s="13">
        <v>50</v>
      </c>
      <c r="D43" s="18">
        <v>164.8</v>
      </c>
      <c r="E43" s="17"/>
      <c r="F43" s="17"/>
      <c r="G43" s="17"/>
      <c r="H43" s="17"/>
      <c r="I43" s="17"/>
      <c r="J43" s="17"/>
      <c r="K43" s="16">
        <v>33</v>
      </c>
      <c r="L43" s="11" t="s">
        <v>49</v>
      </c>
      <c r="M43" s="16">
        <f t="shared" si="1"/>
        <v>5438.4000000000005</v>
      </c>
    </row>
    <row r="44" spans="1:13" ht="20.100000000000001" customHeight="1" x14ac:dyDescent="0.2">
      <c r="A44" s="17" t="s">
        <v>277</v>
      </c>
      <c r="B44" s="13">
        <v>31</v>
      </c>
      <c r="C44" s="13">
        <v>25</v>
      </c>
      <c r="D44" s="18">
        <v>82.4</v>
      </c>
      <c r="E44" s="17"/>
      <c r="F44" s="17"/>
      <c r="G44" s="17"/>
      <c r="H44" s="17"/>
      <c r="I44" s="17"/>
      <c r="J44" s="17"/>
      <c r="K44" s="16">
        <v>13</v>
      </c>
      <c r="L44" s="11" t="s">
        <v>49</v>
      </c>
      <c r="M44" s="16">
        <f t="shared" si="1"/>
        <v>1071.2</v>
      </c>
    </row>
    <row r="45" spans="1:13" ht="20.100000000000001" customHeight="1" x14ac:dyDescent="0.2">
      <c r="A45" s="20" t="s">
        <v>278</v>
      </c>
      <c r="B45" s="11">
        <v>31</v>
      </c>
      <c r="C45" s="11">
        <v>1</v>
      </c>
      <c r="D45" s="22">
        <v>1702</v>
      </c>
      <c r="E45" s="17"/>
      <c r="F45" s="17"/>
      <c r="G45" s="17"/>
      <c r="H45" s="17"/>
      <c r="I45" s="17"/>
      <c r="J45" s="17"/>
      <c r="K45" s="16">
        <v>1</v>
      </c>
      <c r="L45" s="11" t="s">
        <v>45</v>
      </c>
      <c r="M45" s="16">
        <f t="shared" si="1"/>
        <v>1702</v>
      </c>
    </row>
    <row r="46" spans="1:13" ht="20.100000000000001" customHeight="1" x14ac:dyDescent="0.2">
      <c r="A46" s="53" t="s">
        <v>714</v>
      </c>
      <c r="B46" s="11">
        <v>31</v>
      </c>
      <c r="C46" s="11">
        <v>1</v>
      </c>
      <c r="D46" s="18">
        <v>100.7</v>
      </c>
      <c r="E46" s="17"/>
      <c r="F46" s="17"/>
      <c r="G46" s="17"/>
      <c r="H46" s="17"/>
      <c r="I46" s="17"/>
      <c r="J46" s="17"/>
      <c r="K46" s="16">
        <v>228</v>
      </c>
      <c r="L46" s="11" t="s">
        <v>49</v>
      </c>
      <c r="M46" s="16">
        <f t="shared" si="1"/>
        <v>22959.600000000002</v>
      </c>
    </row>
    <row r="47" spans="1:13" ht="20.100000000000001" customHeight="1" x14ac:dyDescent="0.2">
      <c r="A47" s="20" t="s">
        <v>279</v>
      </c>
      <c r="B47" s="11">
        <v>31</v>
      </c>
      <c r="C47" s="11">
        <v>1</v>
      </c>
      <c r="D47" s="22">
        <v>63.88</v>
      </c>
      <c r="E47" s="17"/>
      <c r="F47" s="17"/>
      <c r="G47" s="17"/>
      <c r="H47" s="17"/>
      <c r="I47" s="17"/>
      <c r="J47" s="17"/>
      <c r="K47" s="16">
        <v>53</v>
      </c>
      <c r="L47" s="11" t="s">
        <v>42</v>
      </c>
      <c r="M47" s="16">
        <f t="shared" si="1"/>
        <v>3385.6400000000003</v>
      </c>
    </row>
    <row r="48" spans="1:13" ht="20.100000000000001" customHeight="1" x14ac:dyDescent="0.2">
      <c r="A48" s="53" t="s">
        <v>280</v>
      </c>
      <c r="B48" s="56">
        <v>31</v>
      </c>
      <c r="C48" s="56">
        <v>100</v>
      </c>
      <c r="D48" s="52">
        <v>1140</v>
      </c>
      <c r="E48" s="53"/>
      <c r="F48" s="53"/>
      <c r="G48" s="53"/>
      <c r="H48" s="53"/>
      <c r="I48" s="53"/>
      <c r="J48" s="53"/>
      <c r="K48" s="16">
        <v>220</v>
      </c>
      <c r="L48" s="56" t="s">
        <v>45</v>
      </c>
      <c r="M48" s="16">
        <f t="shared" si="1"/>
        <v>250800</v>
      </c>
    </row>
    <row r="49" spans="1:13" ht="20.100000000000001" customHeight="1" x14ac:dyDescent="0.2">
      <c r="A49" s="17" t="s">
        <v>282</v>
      </c>
      <c r="B49" s="11">
        <v>31</v>
      </c>
      <c r="C49" s="11">
        <v>100</v>
      </c>
      <c r="D49" s="18">
        <v>864</v>
      </c>
      <c r="E49" s="17"/>
      <c r="F49" s="17"/>
      <c r="G49" s="17"/>
      <c r="H49" s="17"/>
      <c r="I49" s="17"/>
      <c r="J49" s="17"/>
      <c r="K49" s="16">
        <v>330</v>
      </c>
      <c r="L49" s="11" t="s">
        <v>416</v>
      </c>
      <c r="M49" s="16">
        <f t="shared" si="1"/>
        <v>285120</v>
      </c>
    </row>
    <row r="50" spans="1:13" ht="20.100000000000001" customHeight="1" x14ac:dyDescent="0.2">
      <c r="A50" s="20" t="s">
        <v>284</v>
      </c>
      <c r="B50" s="13">
        <v>31</v>
      </c>
      <c r="C50" s="13">
        <v>1</v>
      </c>
      <c r="D50" s="22">
        <v>20.6</v>
      </c>
      <c r="E50" s="17"/>
      <c r="F50" s="17"/>
      <c r="G50" s="17"/>
      <c r="H50" s="17"/>
      <c r="I50" s="17"/>
      <c r="J50" s="17"/>
      <c r="K50" s="16">
        <v>258</v>
      </c>
      <c r="L50" s="11" t="s">
        <v>442</v>
      </c>
      <c r="M50" s="16">
        <f t="shared" si="1"/>
        <v>5314.8</v>
      </c>
    </row>
    <row r="51" spans="1:13" ht="20.100000000000001" customHeight="1" x14ac:dyDescent="0.2">
      <c r="A51" s="17" t="s">
        <v>619</v>
      </c>
      <c r="B51" s="13">
        <v>31</v>
      </c>
      <c r="C51" s="13">
        <v>1</v>
      </c>
      <c r="D51" s="18">
        <v>285.36</v>
      </c>
      <c r="E51" s="17"/>
      <c r="F51" s="17"/>
      <c r="G51" s="17"/>
      <c r="H51" s="17"/>
      <c r="I51" s="17"/>
      <c r="J51" s="17"/>
      <c r="K51" s="16">
        <v>6</v>
      </c>
      <c r="L51" s="11" t="s">
        <v>442</v>
      </c>
      <c r="M51" s="16">
        <f t="shared" si="1"/>
        <v>1712.16</v>
      </c>
    </row>
    <row r="52" spans="1:13" ht="20.100000000000001" customHeight="1" x14ac:dyDescent="0.2">
      <c r="A52" s="20" t="s">
        <v>636</v>
      </c>
      <c r="B52" s="13">
        <v>31</v>
      </c>
      <c r="C52" s="13">
        <v>0.1</v>
      </c>
      <c r="D52" s="58">
        <v>2.1800000000000002</v>
      </c>
      <c r="E52" s="17"/>
      <c r="F52" s="17"/>
      <c r="G52" s="17"/>
      <c r="H52" s="17"/>
      <c r="I52" s="17"/>
      <c r="J52" s="17"/>
      <c r="K52" s="16">
        <v>1210</v>
      </c>
      <c r="L52" s="56" t="s">
        <v>416</v>
      </c>
      <c r="M52" s="16">
        <f t="shared" si="1"/>
        <v>2637.8</v>
      </c>
    </row>
    <row r="53" spans="1:13" ht="20.100000000000001" customHeight="1" x14ac:dyDescent="0.2">
      <c r="A53" s="17" t="s">
        <v>544</v>
      </c>
      <c r="B53" s="13">
        <v>31</v>
      </c>
      <c r="C53" s="13">
        <v>1</v>
      </c>
      <c r="D53" s="18">
        <v>53.54</v>
      </c>
      <c r="E53" s="17"/>
      <c r="F53" s="17"/>
      <c r="G53" s="17"/>
      <c r="H53" s="17"/>
      <c r="I53" s="17"/>
      <c r="J53" s="17"/>
      <c r="K53" s="16">
        <v>56</v>
      </c>
      <c r="L53" s="56" t="s">
        <v>442</v>
      </c>
      <c r="M53" s="16">
        <f t="shared" si="1"/>
        <v>2998.24</v>
      </c>
    </row>
    <row r="54" spans="1:13" ht="20.100000000000001" customHeight="1" x14ac:dyDescent="0.2">
      <c r="A54" s="17" t="s">
        <v>285</v>
      </c>
      <c r="B54" s="11">
        <v>31</v>
      </c>
      <c r="C54" s="11">
        <v>1</v>
      </c>
      <c r="D54" s="18">
        <v>38.200000000000003</v>
      </c>
      <c r="E54" s="17">
        <v>8685</v>
      </c>
      <c r="F54" s="17">
        <v>10</v>
      </c>
      <c r="G54" s="17">
        <v>8685</v>
      </c>
      <c r="H54" s="17">
        <v>10</v>
      </c>
      <c r="I54" s="17"/>
      <c r="J54" s="17"/>
      <c r="K54" s="16">
        <v>83</v>
      </c>
      <c r="L54" s="11" t="s">
        <v>442</v>
      </c>
      <c r="M54" s="16">
        <f t="shared" si="1"/>
        <v>3170.6000000000004</v>
      </c>
    </row>
    <row r="55" spans="1:13" ht="20.100000000000001" customHeight="1" x14ac:dyDescent="0.2">
      <c r="A55" s="20" t="s">
        <v>643</v>
      </c>
      <c r="B55" s="11">
        <v>31</v>
      </c>
      <c r="C55" s="11">
        <v>1</v>
      </c>
      <c r="D55" s="18">
        <v>235</v>
      </c>
      <c r="E55" s="17"/>
      <c r="F55" s="17"/>
      <c r="G55" s="17"/>
      <c r="H55" s="17"/>
      <c r="I55" s="17"/>
      <c r="J55" s="17"/>
      <c r="K55" s="16">
        <v>1</v>
      </c>
      <c r="L55" s="11" t="s">
        <v>49</v>
      </c>
      <c r="M55" s="16">
        <f t="shared" si="1"/>
        <v>235</v>
      </c>
    </row>
    <row r="56" spans="1:13" ht="20.100000000000001" customHeight="1" x14ac:dyDescent="0.2">
      <c r="A56" s="17" t="s">
        <v>633</v>
      </c>
      <c r="B56" s="11">
        <v>31</v>
      </c>
      <c r="C56" s="11">
        <v>100</v>
      </c>
      <c r="D56" s="18">
        <v>730.5</v>
      </c>
      <c r="E56" s="17"/>
      <c r="F56" s="17"/>
      <c r="G56" s="17"/>
      <c r="H56" s="17"/>
      <c r="I56" s="17"/>
      <c r="J56" s="17"/>
      <c r="K56" s="16">
        <v>9</v>
      </c>
      <c r="L56" s="11" t="s">
        <v>49</v>
      </c>
      <c r="M56" s="16">
        <f t="shared" si="1"/>
        <v>6574.5</v>
      </c>
    </row>
    <row r="57" spans="1:13" ht="20.100000000000001" customHeight="1" x14ac:dyDescent="0.2">
      <c r="A57" s="17" t="s">
        <v>632</v>
      </c>
      <c r="B57" s="11">
        <v>31</v>
      </c>
      <c r="C57" s="11">
        <v>100</v>
      </c>
      <c r="D57" s="18">
        <v>730.5</v>
      </c>
      <c r="E57" s="17"/>
      <c r="F57" s="17"/>
      <c r="G57" s="17"/>
      <c r="H57" s="17"/>
      <c r="I57" s="17"/>
      <c r="J57" s="17"/>
      <c r="K57" s="16">
        <v>93</v>
      </c>
      <c r="L57" s="11" t="s">
        <v>49</v>
      </c>
      <c r="M57" s="16">
        <f t="shared" si="1"/>
        <v>67936.5</v>
      </c>
    </row>
    <row r="58" spans="1:13" ht="20.100000000000001" customHeight="1" x14ac:dyDescent="0.2">
      <c r="A58" s="17" t="s">
        <v>634</v>
      </c>
      <c r="B58" s="11">
        <v>31</v>
      </c>
      <c r="C58" s="11">
        <v>100</v>
      </c>
      <c r="D58" s="18">
        <v>357</v>
      </c>
      <c r="E58" s="17"/>
      <c r="F58" s="17"/>
      <c r="G58" s="17"/>
      <c r="H58" s="17"/>
      <c r="I58" s="17"/>
      <c r="J58" s="17"/>
      <c r="K58" s="76">
        <v>3.5</v>
      </c>
      <c r="L58" s="11" t="s">
        <v>45</v>
      </c>
      <c r="M58" s="16">
        <f t="shared" si="1"/>
        <v>1249.5</v>
      </c>
    </row>
    <row r="59" spans="1:13" ht="20.100000000000001" customHeight="1" x14ac:dyDescent="0.2">
      <c r="A59" s="17" t="s">
        <v>641</v>
      </c>
      <c r="B59" s="11">
        <v>31</v>
      </c>
      <c r="C59" s="11">
        <v>100</v>
      </c>
      <c r="D59" s="18">
        <v>1098</v>
      </c>
      <c r="E59" s="17"/>
      <c r="F59" s="17"/>
      <c r="G59" s="17"/>
      <c r="H59" s="17"/>
      <c r="I59" s="17"/>
      <c r="J59" s="17"/>
      <c r="K59" s="76">
        <v>3.5</v>
      </c>
      <c r="L59" s="11" t="s">
        <v>45</v>
      </c>
      <c r="M59" s="16">
        <f t="shared" si="1"/>
        <v>3843</v>
      </c>
    </row>
    <row r="60" spans="1:13" ht="20.100000000000001" customHeight="1" x14ac:dyDescent="0.2">
      <c r="A60" s="17" t="s">
        <v>287</v>
      </c>
      <c r="B60" s="13">
        <v>31</v>
      </c>
      <c r="C60" s="13">
        <v>30</v>
      </c>
      <c r="D60" s="18">
        <v>84.66</v>
      </c>
      <c r="E60" s="17"/>
      <c r="F60" s="17"/>
      <c r="G60" s="17"/>
      <c r="H60" s="17"/>
      <c r="I60" s="17"/>
      <c r="J60" s="17"/>
      <c r="K60" s="16">
        <v>31</v>
      </c>
      <c r="L60" s="11" t="s">
        <v>49</v>
      </c>
      <c r="M60" s="16">
        <f t="shared" si="1"/>
        <v>2624.46</v>
      </c>
    </row>
    <row r="61" spans="1:13" ht="20.100000000000001" customHeight="1" x14ac:dyDescent="0.2">
      <c r="A61" s="17" t="s">
        <v>288</v>
      </c>
      <c r="B61" s="11">
        <v>31</v>
      </c>
      <c r="C61" s="11">
        <v>1</v>
      </c>
      <c r="D61" s="18">
        <v>797.3</v>
      </c>
      <c r="E61" s="17"/>
      <c r="F61" s="17"/>
      <c r="G61" s="17"/>
      <c r="H61" s="17"/>
      <c r="I61" s="17"/>
      <c r="J61" s="17"/>
      <c r="K61" s="16">
        <v>3</v>
      </c>
      <c r="L61" s="11" t="s">
        <v>45</v>
      </c>
      <c r="M61" s="16">
        <f t="shared" si="1"/>
        <v>2391.8999999999996</v>
      </c>
    </row>
    <row r="62" spans="1:13" ht="20.100000000000001" customHeight="1" x14ac:dyDescent="0.2">
      <c r="A62" s="20" t="s">
        <v>540</v>
      </c>
      <c r="B62" s="11">
        <v>31</v>
      </c>
      <c r="C62" s="11">
        <v>1</v>
      </c>
      <c r="D62" s="22">
        <v>77.099999999999994</v>
      </c>
      <c r="E62" s="17"/>
      <c r="F62" s="17"/>
      <c r="G62" s="17"/>
      <c r="H62" s="17"/>
      <c r="I62" s="17"/>
      <c r="J62" s="17"/>
      <c r="K62" s="16">
        <v>118</v>
      </c>
      <c r="L62" s="11" t="s">
        <v>442</v>
      </c>
      <c r="M62" s="16">
        <f t="shared" si="1"/>
        <v>9097.7999999999993</v>
      </c>
    </row>
    <row r="63" spans="1:13" ht="20.100000000000001" customHeight="1" x14ac:dyDescent="0.2">
      <c r="A63" s="20" t="s">
        <v>537</v>
      </c>
      <c r="B63" s="11">
        <v>31</v>
      </c>
      <c r="C63" s="11">
        <v>1</v>
      </c>
      <c r="D63" s="22">
        <v>82.61</v>
      </c>
      <c r="E63" s="17"/>
      <c r="F63" s="17"/>
      <c r="G63" s="17"/>
      <c r="H63" s="17"/>
      <c r="I63" s="17"/>
      <c r="J63" s="17"/>
      <c r="K63" s="16">
        <v>98</v>
      </c>
      <c r="L63" s="11" t="s">
        <v>442</v>
      </c>
      <c r="M63" s="16">
        <f t="shared" si="1"/>
        <v>8095.78</v>
      </c>
    </row>
    <row r="64" spans="1:13" ht="20.100000000000001" customHeight="1" x14ac:dyDescent="0.2">
      <c r="A64" s="20" t="s">
        <v>538</v>
      </c>
      <c r="B64" s="11">
        <v>31</v>
      </c>
      <c r="C64" s="11">
        <v>1</v>
      </c>
      <c r="D64" s="22">
        <v>86.71</v>
      </c>
      <c r="E64" s="17">
        <v>1362</v>
      </c>
      <c r="F64" s="17">
        <v>50</v>
      </c>
      <c r="G64" s="17">
        <v>1362</v>
      </c>
      <c r="H64" s="17">
        <v>50</v>
      </c>
      <c r="I64" s="17"/>
      <c r="J64" s="17"/>
      <c r="K64" s="16">
        <v>117</v>
      </c>
      <c r="L64" s="11" t="s">
        <v>442</v>
      </c>
      <c r="M64" s="16">
        <f t="shared" si="1"/>
        <v>10145.07</v>
      </c>
    </row>
    <row r="65" spans="1:13" ht="20.100000000000001" customHeight="1" x14ac:dyDescent="0.2">
      <c r="A65" s="20" t="s">
        <v>539</v>
      </c>
      <c r="B65" s="11">
        <v>31</v>
      </c>
      <c r="C65" s="11">
        <v>1</v>
      </c>
      <c r="D65" s="22">
        <v>68.53</v>
      </c>
      <c r="E65" s="17"/>
      <c r="F65" s="17"/>
      <c r="G65" s="17"/>
      <c r="H65" s="17"/>
      <c r="I65" s="17"/>
      <c r="J65" s="17"/>
      <c r="K65" s="16">
        <v>108</v>
      </c>
      <c r="L65" s="11" t="s">
        <v>442</v>
      </c>
      <c r="M65" s="16">
        <f t="shared" si="1"/>
        <v>7401.24</v>
      </c>
    </row>
    <row r="66" spans="1:13" ht="20.100000000000001" customHeight="1" x14ac:dyDescent="0.2">
      <c r="A66" s="20" t="s">
        <v>745</v>
      </c>
      <c r="B66" s="11">
        <v>31</v>
      </c>
      <c r="C66" s="11">
        <v>10</v>
      </c>
      <c r="D66" s="22">
        <v>1034</v>
      </c>
      <c r="E66" s="17"/>
      <c r="F66" s="17"/>
      <c r="G66" s="17"/>
      <c r="H66" s="17"/>
      <c r="I66" s="17"/>
      <c r="J66" s="17"/>
      <c r="K66" s="16">
        <v>1130</v>
      </c>
      <c r="L66" s="11" t="s">
        <v>45</v>
      </c>
      <c r="M66" s="16">
        <f t="shared" si="1"/>
        <v>1168420</v>
      </c>
    </row>
    <row r="67" spans="1:13" ht="20.100000000000001" customHeight="1" x14ac:dyDescent="0.2">
      <c r="A67" s="17" t="s">
        <v>528</v>
      </c>
      <c r="B67" s="11">
        <v>31</v>
      </c>
      <c r="C67" s="11">
        <v>1</v>
      </c>
      <c r="D67" s="22">
        <v>4226</v>
      </c>
      <c r="E67" s="17"/>
      <c r="F67" s="17"/>
      <c r="G67" s="17"/>
      <c r="H67" s="17"/>
      <c r="I67" s="17"/>
      <c r="J67" s="17"/>
      <c r="K67" s="16">
        <v>1</v>
      </c>
      <c r="L67" s="11" t="s">
        <v>45</v>
      </c>
      <c r="M67" s="16">
        <f t="shared" ref="M67:M92" si="2">SUM(D:D*K:K)</f>
        <v>4226</v>
      </c>
    </row>
    <row r="68" spans="1:13" ht="20.100000000000001" customHeight="1" x14ac:dyDescent="0.2">
      <c r="A68" s="17" t="s">
        <v>289</v>
      </c>
      <c r="B68" s="11">
        <v>31</v>
      </c>
      <c r="C68" s="11">
        <v>1</v>
      </c>
      <c r="D68" s="18">
        <v>4700</v>
      </c>
      <c r="E68" s="17"/>
      <c r="F68" s="17"/>
      <c r="G68" s="17"/>
      <c r="H68" s="17"/>
      <c r="I68" s="17"/>
      <c r="J68" s="17"/>
      <c r="K68" s="16">
        <v>2</v>
      </c>
      <c r="L68" s="11" t="s">
        <v>45</v>
      </c>
      <c r="M68" s="16">
        <f t="shared" si="2"/>
        <v>9400</v>
      </c>
    </row>
    <row r="69" spans="1:13" ht="20.100000000000001" customHeight="1" x14ac:dyDescent="0.2">
      <c r="A69" s="17" t="s">
        <v>729</v>
      </c>
      <c r="B69" s="11">
        <v>31</v>
      </c>
      <c r="C69" s="11">
        <v>1</v>
      </c>
      <c r="D69" s="74">
        <v>207.14</v>
      </c>
      <c r="E69" s="17"/>
      <c r="F69" s="17"/>
      <c r="G69" s="17"/>
      <c r="H69" s="17"/>
      <c r="I69" s="17"/>
      <c r="J69" s="17"/>
      <c r="K69" s="16">
        <v>119</v>
      </c>
      <c r="L69" s="11" t="s">
        <v>442</v>
      </c>
      <c r="M69" s="16">
        <f t="shared" si="2"/>
        <v>24649.66</v>
      </c>
    </row>
    <row r="70" spans="1:13" ht="20.100000000000001" customHeight="1" x14ac:dyDescent="0.2">
      <c r="A70" s="17" t="s">
        <v>541</v>
      </c>
      <c r="B70" s="11">
        <v>31</v>
      </c>
      <c r="C70" s="11">
        <v>1</v>
      </c>
      <c r="D70" s="18">
        <v>385.71</v>
      </c>
      <c r="E70" s="17"/>
      <c r="F70" s="17"/>
      <c r="G70" s="17"/>
      <c r="H70" s="17"/>
      <c r="I70" s="17"/>
      <c r="J70" s="17"/>
      <c r="K70" s="16">
        <v>98</v>
      </c>
      <c r="L70" s="11" t="s">
        <v>442</v>
      </c>
      <c r="M70" s="16">
        <f t="shared" si="2"/>
        <v>37799.579999999994</v>
      </c>
    </row>
    <row r="71" spans="1:13" ht="20.100000000000001" customHeight="1" x14ac:dyDescent="0.2">
      <c r="A71" s="17" t="s">
        <v>290</v>
      </c>
      <c r="B71" s="11">
        <v>31</v>
      </c>
      <c r="C71" s="11">
        <v>50</v>
      </c>
      <c r="D71" s="18">
        <v>2.94</v>
      </c>
      <c r="E71" s="17"/>
      <c r="F71" s="17"/>
      <c r="G71" s="17"/>
      <c r="H71" s="17"/>
      <c r="I71" s="17"/>
      <c r="J71" s="17"/>
      <c r="K71" s="16">
        <v>490</v>
      </c>
      <c r="L71" s="11" t="s">
        <v>416</v>
      </c>
      <c r="M71" s="16">
        <f t="shared" si="2"/>
        <v>1440.6</v>
      </c>
    </row>
    <row r="72" spans="1:13" ht="20.100000000000001" customHeight="1" x14ac:dyDescent="0.2">
      <c r="A72" s="20" t="s">
        <v>618</v>
      </c>
      <c r="B72" s="11">
        <v>32</v>
      </c>
      <c r="C72" s="11">
        <v>1</v>
      </c>
      <c r="D72" s="22">
        <v>80</v>
      </c>
      <c r="E72" s="17"/>
      <c r="F72" s="17"/>
      <c r="G72" s="17"/>
      <c r="H72" s="17"/>
      <c r="I72" s="17"/>
      <c r="J72" s="17"/>
      <c r="K72" s="16">
        <v>19</v>
      </c>
      <c r="L72" s="11" t="s">
        <v>49</v>
      </c>
      <c r="M72" s="16">
        <f t="shared" si="2"/>
        <v>1520</v>
      </c>
    </row>
    <row r="73" spans="1:13" ht="20.100000000000001" customHeight="1" x14ac:dyDescent="0.2">
      <c r="A73" s="17" t="s">
        <v>291</v>
      </c>
      <c r="B73" s="13">
        <v>32</v>
      </c>
      <c r="C73" s="13">
        <v>1</v>
      </c>
      <c r="D73" s="18">
        <v>454</v>
      </c>
      <c r="E73" s="17"/>
      <c r="F73" s="17"/>
      <c r="G73" s="17"/>
      <c r="H73" s="17"/>
      <c r="I73" s="17"/>
      <c r="J73" s="17"/>
      <c r="K73" s="16">
        <v>24</v>
      </c>
      <c r="L73" s="11" t="s">
        <v>49</v>
      </c>
      <c r="M73" s="16">
        <f t="shared" si="2"/>
        <v>10896</v>
      </c>
    </row>
    <row r="74" spans="1:13" ht="20.100000000000001" customHeight="1" x14ac:dyDescent="0.2">
      <c r="A74" s="20" t="s">
        <v>292</v>
      </c>
      <c r="B74" s="13">
        <v>32</v>
      </c>
      <c r="C74" s="13">
        <v>5</v>
      </c>
      <c r="D74" s="22">
        <v>834.4</v>
      </c>
      <c r="E74" s="17"/>
      <c r="F74" s="17"/>
      <c r="G74" s="17"/>
      <c r="H74" s="17"/>
      <c r="I74" s="17"/>
      <c r="J74" s="17"/>
      <c r="K74" s="16">
        <v>12</v>
      </c>
      <c r="L74" s="11" t="s">
        <v>49</v>
      </c>
      <c r="M74" s="16">
        <f t="shared" si="2"/>
        <v>10012.799999999999</v>
      </c>
    </row>
    <row r="75" spans="1:13" ht="20.100000000000001" customHeight="1" x14ac:dyDescent="0.2">
      <c r="A75" s="17" t="s">
        <v>293</v>
      </c>
      <c r="B75" s="13">
        <v>32</v>
      </c>
      <c r="C75" s="13">
        <v>5</v>
      </c>
      <c r="D75" s="18">
        <v>483.1</v>
      </c>
      <c r="E75" s="17"/>
      <c r="F75" s="17"/>
      <c r="G75" s="17"/>
      <c r="H75" s="17"/>
      <c r="I75" s="17"/>
      <c r="J75" s="17"/>
      <c r="K75" s="16">
        <v>24</v>
      </c>
      <c r="L75" s="11" t="s">
        <v>49</v>
      </c>
      <c r="M75" s="16">
        <f t="shared" si="2"/>
        <v>11594.400000000001</v>
      </c>
    </row>
    <row r="76" spans="1:13" ht="20.100000000000001" customHeight="1" x14ac:dyDescent="0.2">
      <c r="A76" s="17" t="s">
        <v>622</v>
      </c>
      <c r="B76" s="13">
        <v>32</v>
      </c>
      <c r="C76" s="13">
        <v>5</v>
      </c>
      <c r="D76" s="18">
        <v>2001.8</v>
      </c>
      <c r="E76" s="17"/>
      <c r="F76" s="17"/>
      <c r="G76" s="17"/>
      <c r="H76" s="17"/>
      <c r="I76" s="17"/>
      <c r="J76" s="17"/>
      <c r="K76" s="16">
        <v>7</v>
      </c>
      <c r="L76" s="11" t="s">
        <v>49</v>
      </c>
      <c r="M76" s="16">
        <f t="shared" si="2"/>
        <v>14012.6</v>
      </c>
    </row>
    <row r="77" spans="1:13" ht="20.100000000000001" customHeight="1" x14ac:dyDescent="0.2">
      <c r="A77" s="57" t="s">
        <v>294</v>
      </c>
      <c r="B77" s="13">
        <v>32</v>
      </c>
      <c r="C77" s="13">
        <v>5</v>
      </c>
      <c r="D77" s="22">
        <v>179.6</v>
      </c>
      <c r="E77" s="17"/>
      <c r="F77" s="17"/>
      <c r="G77" s="17"/>
      <c r="H77" s="17"/>
      <c r="I77" s="17"/>
      <c r="J77" s="17"/>
      <c r="K77" s="16">
        <v>10</v>
      </c>
      <c r="L77" s="11" t="s">
        <v>49</v>
      </c>
      <c r="M77" s="16">
        <f t="shared" si="2"/>
        <v>1796</v>
      </c>
    </row>
    <row r="78" spans="1:13" ht="20.100000000000001" customHeight="1" x14ac:dyDescent="0.2">
      <c r="A78" s="17" t="s">
        <v>621</v>
      </c>
      <c r="B78" s="13">
        <v>32</v>
      </c>
      <c r="C78" s="13">
        <v>5</v>
      </c>
      <c r="D78" s="18">
        <v>1601.3</v>
      </c>
      <c r="E78" s="17"/>
      <c r="F78" s="17"/>
      <c r="G78" s="17"/>
      <c r="H78" s="17"/>
      <c r="I78" s="17"/>
      <c r="J78" s="17"/>
      <c r="K78" s="16">
        <v>10</v>
      </c>
      <c r="L78" s="11" t="s">
        <v>49</v>
      </c>
      <c r="M78" s="16">
        <f t="shared" si="2"/>
        <v>16013</v>
      </c>
    </row>
    <row r="79" spans="1:13" ht="20.100000000000001" customHeight="1" x14ac:dyDescent="0.2">
      <c r="A79" s="20" t="s">
        <v>459</v>
      </c>
      <c r="B79" s="13">
        <v>32</v>
      </c>
      <c r="C79" s="13">
        <v>1</v>
      </c>
      <c r="D79" s="22">
        <v>74</v>
      </c>
      <c r="E79" s="17"/>
      <c r="F79" s="17"/>
      <c r="G79" s="17"/>
      <c r="H79" s="17"/>
      <c r="I79" s="17"/>
      <c r="J79" s="17"/>
      <c r="K79" s="16">
        <v>9</v>
      </c>
      <c r="L79" s="11" t="s">
        <v>49</v>
      </c>
      <c r="M79" s="16">
        <f t="shared" si="2"/>
        <v>666</v>
      </c>
    </row>
    <row r="80" spans="1:13" ht="20.100000000000001" customHeight="1" x14ac:dyDescent="0.2">
      <c r="A80" s="20" t="s">
        <v>295</v>
      </c>
      <c r="B80" s="13">
        <v>32</v>
      </c>
      <c r="C80" s="13">
        <v>1</v>
      </c>
      <c r="D80" s="22">
        <v>319.3</v>
      </c>
      <c r="E80" s="17"/>
      <c r="F80" s="17"/>
      <c r="G80" s="17"/>
      <c r="H80" s="17"/>
      <c r="I80" s="17"/>
      <c r="J80" s="17"/>
      <c r="K80" s="16">
        <v>1</v>
      </c>
      <c r="L80" s="11" t="s">
        <v>49</v>
      </c>
      <c r="M80" s="16">
        <f t="shared" si="2"/>
        <v>319.3</v>
      </c>
    </row>
    <row r="81" spans="1:13" ht="20.100000000000001" customHeight="1" x14ac:dyDescent="0.2">
      <c r="A81" s="17" t="s">
        <v>637</v>
      </c>
      <c r="B81" s="13">
        <v>32</v>
      </c>
      <c r="C81" s="13">
        <v>5</v>
      </c>
      <c r="D81" s="18">
        <v>251.3</v>
      </c>
      <c r="E81" s="17">
        <v>5193</v>
      </c>
      <c r="F81" s="17">
        <v>50</v>
      </c>
      <c r="G81" s="17">
        <v>5193</v>
      </c>
      <c r="H81" s="17">
        <v>50</v>
      </c>
      <c r="I81" s="17"/>
      <c r="J81" s="17"/>
      <c r="K81" s="16">
        <v>12</v>
      </c>
      <c r="L81" s="11" t="s">
        <v>49</v>
      </c>
      <c r="M81" s="16">
        <f t="shared" si="2"/>
        <v>3015.6000000000004</v>
      </c>
    </row>
    <row r="82" spans="1:13" ht="20.100000000000001" customHeight="1" x14ac:dyDescent="0.2">
      <c r="A82" s="17" t="s">
        <v>620</v>
      </c>
      <c r="B82" s="13">
        <v>32</v>
      </c>
      <c r="C82" s="13">
        <v>5</v>
      </c>
      <c r="D82" s="18">
        <v>848.3</v>
      </c>
      <c r="E82" s="17"/>
      <c r="F82" s="17"/>
      <c r="G82" s="17"/>
      <c r="H82" s="17"/>
      <c r="I82" s="17"/>
      <c r="J82" s="17"/>
      <c r="K82" s="16">
        <v>8</v>
      </c>
      <c r="L82" s="11" t="s">
        <v>49</v>
      </c>
      <c r="M82" s="16">
        <f t="shared" si="2"/>
        <v>6786.4</v>
      </c>
    </row>
    <row r="83" spans="1:13" ht="20.100000000000001" customHeight="1" x14ac:dyDescent="0.2">
      <c r="A83" s="53" t="s">
        <v>624</v>
      </c>
      <c r="B83" s="13">
        <v>32</v>
      </c>
      <c r="C83" s="13">
        <v>5</v>
      </c>
      <c r="D83" s="18">
        <v>163.19999999999999</v>
      </c>
      <c r="E83" s="17"/>
      <c r="F83" s="17"/>
      <c r="G83" s="17"/>
      <c r="H83" s="17"/>
      <c r="I83" s="17"/>
      <c r="J83" s="17"/>
      <c r="K83" s="16">
        <v>6</v>
      </c>
      <c r="L83" s="11" t="s">
        <v>49</v>
      </c>
      <c r="M83" s="16">
        <f t="shared" si="2"/>
        <v>979.19999999999993</v>
      </c>
    </row>
    <row r="84" spans="1:13" ht="20.100000000000001" customHeight="1" x14ac:dyDescent="0.2">
      <c r="A84" s="53" t="s">
        <v>625</v>
      </c>
      <c r="B84" s="13">
        <v>32</v>
      </c>
      <c r="C84" s="13">
        <v>5</v>
      </c>
      <c r="D84" s="18">
        <v>208.1</v>
      </c>
      <c r="E84" s="17"/>
      <c r="F84" s="17"/>
      <c r="G84" s="17"/>
      <c r="H84" s="17"/>
      <c r="I84" s="17"/>
      <c r="J84" s="17"/>
      <c r="K84" s="16">
        <v>8</v>
      </c>
      <c r="L84" s="11" t="s">
        <v>49</v>
      </c>
      <c r="M84" s="16">
        <f t="shared" si="2"/>
        <v>1664.8</v>
      </c>
    </row>
    <row r="85" spans="1:13" ht="20.100000000000001" customHeight="1" x14ac:dyDescent="0.2">
      <c r="A85" s="17" t="s">
        <v>296</v>
      </c>
      <c r="B85" s="13">
        <v>32</v>
      </c>
      <c r="C85" s="13">
        <v>1</v>
      </c>
      <c r="D85" s="27">
        <v>140.19999999999999</v>
      </c>
      <c r="E85" s="28">
        <v>1754</v>
      </c>
      <c r="F85" s="17" t="s">
        <v>124</v>
      </c>
      <c r="G85" s="17" t="s">
        <v>297</v>
      </c>
      <c r="H85" s="29" t="s">
        <v>298</v>
      </c>
      <c r="I85" s="17">
        <v>10</v>
      </c>
      <c r="J85" s="17" t="s">
        <v>86</v>
      </c>
      <c r="K85" s="16">
        <v>7</v>
      </c>
      <c r="L85" s="11" t="s">
        <v>49</v>
      </c>
      <c r="M85" s="16">
        <f t="shared" si="2"/>
        <v>981.39999999999986</v>
      </c>
    </row>
    <row r="86" spans="1:13" ht="20.100000000000001" customHeight="1" x14ac:dyDescent="0.2">
      <c r="A86" s="17" t="s">
        <v>640</v>
      </c>
      <c r="B86" s="13">
        <v>32</v>
      </c>
      <c r="C86" s="13">
        <v>1</v>
      </c>
      <c r="D86" s="27">
        <v>57.8</v>
      </c>
      <c r="E86" s="28"/>
      <c r="F86" s="17"/>
      <c r="G86" s="17"/>
      <c r="H86" s="29"/>
      <c r="I86" s="17"/>
      <c r="J86" s="17"/>
      <c r="K86" s="16">
        <v>10</v>
      </c>
      <c r="L86" s="11" t="s">
        <v>49</v>
      </c>
      <c r="M86" s="16">
        <f t="shared" si="2"/>
        <v>578</v>
      </c>
    </row>
    <row r="87" spans="1:13" ht="20.100000000000001" customHeight="1" x14ac:dyDescent="0.2">
      <c r="A87" s="20" t="s">
        <v>300</v>
      </c>
      <c r="B87" s="13">
        <v>32</v>
      </c>
      <c r="C87" s="13">
        <v>5</v>
      </c>
      <c r="D87" s="22">
        <v>81.3</v>
      </c>
      <c r="E87" s="17"/>
      <c r="F87" s="17"/>
      <c r="G87" s="17"/>
      <c r="H87" s="17"/>
      <c r="I87" s="17"/>
      <c r="J87" s="17"/>
      <c r="K87" s="16">
        <v>44</v>
      </c>
      <c r="L87" s="11" t="s">
        <v>49</v>
      </c>
      <c r="M87" s="16">
        <f t="shared" si="2"/>
        <v>3577.2</v>
      </c>
    </row>
    <row r="88" spans="1:13" ht="20.100000000000001" customHeight="1" x14ac:dyDescent="0.2">
      <c r="A88" s="17" t="s">
        <v>626</v>
      </c>
      <c r="B88" s="13">
        <v>32</v>
      </c>
      <c r="C88" s="13">
        <v>5</v>
      </c>
      <c r="D88" s="18">
        <v>310</v>
      </c>
      <c r="E88" s="17"/>
      <c r="F88" s="17"/>
      <c r="G88" s="17"/>
      <c r="H88" s="17"/>
      <c r="I88" s="17"/>
      <c r="J88" s="17"/>
      <c r="K88" s="16">
        <v>11</v>
      </c>
      <c r="L88" s="11" t="s">
        <v>49</v>
      </c>
      <c r="M88" s="16">
        <f t="shared" si="2"/>
        <v>3410</v>
      </c>
    </row>
    <row r="89" spans="1:13" ht="20.100000000000001" customHeight="1" x14ac:dyDescent="0.2">
      <c r="A89" s="20" t="s">
        <v>746</v>
      </c>
      <c r="B89" s="13">
        <v>32</v>
      </c>
      <c r="C89" s="13">
        <v>1</v>
      </c>
      <c r="D89" s="22">
        <v>15.39</v>
      </c>
      <c r="E89" s="17"/>
      <c r="F89" s="17"/>
      <c r="G89" s="17"/>
      <c r="H89" s="17"/>
      <c r="I89" s="17"/>
      <c r="J89" s="17"/>
      <c r="K89" s="16">
        <v>264</v>
      </c>
      <c r="L89" s="11" t="s">
        <v>49</v>
      </c>
      <c r="M89" s="16">
        <f t="shared" si="2"/>
        <v>4062.96</v>
      </c>
    </row>
    <row r="90" spans="1:13" ht="20.100000000000001" customHeight="1" x14ac:dyDescent="0.2">
      <c r="A90" s="75" t="s">
        <v>789</v>
      </c>
      <c r="B90" s="38">
        <v>32</v>
      </c>
      <c r="C90" s="38">
        <v>2.5</v>
      </c>
      <c r="D90" s="22">
        <v>379.5</v>
      </c>
      <c r="E90" s="17"/>
      <c r="F90" s="17"/>
      <c r="G90" s="17"/>
      <c r="H90" s="17"/>
      <c r="I90" s="17"/>
      <c r="J90" s="17"/>
      <c r="K90" s="16">
        <v>8</v>
      </c>
      <c r="L90" s="11" t="s">
        <v>49</v>
      </c>
      <c r="M90" s="16">
        <f t="shared" si="2"/>
        <v>3036</v>
      </c>
    </row>
    <row r="91" spans="1:13" ht="20.100000000000001" customHeight="1" x14ac:dyDescent="0.2">
      <c r="A91" s="17" t="s">
        <v>301</v>
      </c>
      <c r="B91" s="13">
        <v>32</v>
      </c>
      <c r="C91" s="13">
        <v>5</v>
      </c>
      <c r="D91" s="18">
        <v>234.3</v>
      </c>
      <c r="E91" s="17"/>
      <c r="F91" s="17"/>
      <c r="G91" s="17"/>
      <c r="H91" s="17"/>
      <c r="I91" s="17"/>
      <c r="J91" s="17"/>
      <c r="K91" s="16">
        <v>13</v>
      </c>
      <c r="L91" s="11" t="s">
        <v>49</v>
      </c>
      <c r="M91" s="16">
        <f t="shared" si="2"/>
        <v>3045.9</v>
      </c>
    </row>
    <row r="92" spans="1:13" ht="20.100000000000001" customHeight="1" x14ac:dyDescent="0.2">
      <c r="A92" s="17" t="s">
        <v>876</v>
      </c>
      <c r="B92" s="13">
        <v>32</v>
      </c>
      <c r="C92" s="13"/>
      <c r="D92" s="52">
        <v>2527</v>
      </c>
      <c r="E92" s="17"/>
      <c r="F92" s="17"/>
      <c r="G92" s="17"/>
      <c r="H92" s="17"/>
      <c r="I92" s="17"/>
      <c r="J92" s="17"/>
      <c r="K92" s="16">
        <v>1</v>
      </c>
      <c r="L92" s="11" t="s">
        <v>49</v>
      </c>
      <c r="M92" s="16">
        <f t="shared" si="2"/>
        <v>2527</v>
      </c>
    </row>
    <row r="93" spans="1:13" ht="20.100000000000001" customHeight="1" x14ac:dyDescent="0.2">
      <c r="A93" s="17"/>
      <c r="B93" s="13"/>
      <c r="C93" s="13"/>
      <c r="D93" s="18"/>
      <c r="E93" s="17"/>
      <c r="F93" s="17"/>
      <c r="G93" s="17"/>
      <c r="H93" s="17"/>
      <c r="I93" s="17"/>
      <c r="J93" s="17"/>
      <c r="K93" s="16"/>
      <c r="L93" s="11"/>
      <c r="M93" s="16">
        <f>SUM(M3:M92)</f>
        <v>2259684.38</v>
      </c>
    </row>
    <row r="94" spans="1:13" ht="20.100000000000001" customHeight="1" x14ac:dyDescent="0.2">
      <c r="A94" s="17"/>
      <c r="B94" s="13"/>
      <c r="C94" s="13"/>
      <c r="D94" s="18"/>
      <c r="E94" s="17"/>
      <c r="F94" s="17"/>
      <c r="G94" s="17"/>
      <c r="H94" s="17"/>
      <c r="I94" s="17"/>
      <c r="J94" s="17"/>
      <c r="K94" s="16"/>
      <c r="L94" s="11"/>
      <c r="M94" s="16"/>
    </row>
    <row r="95" spans="1:13" ht="20.100000000000001" customHeight="1" x14ac:dyDescent="0.2">
      <c r="A95" s="17"/>
      <c r="B95" s="13"/>
      <c r="C95" s="13"/>
      <c r="D95" s="18"/>
      <c r="E95" s="17"/>
      <c r="F95" s="17"/>
      <c r="G95" s="17"/>
      <c r="H95" s="17"/>
      <c r="I95" s="17"/>
      <c r="J95" s="17"/>
      <c r="K95" s="16"/>
      <c r="L95" s="11"/>
      <c r="M95" s="16"/>
    </row>
    <row r="96" spans="1:13" ht="20.100000000000001" customHeight="1" x14ac:dyDescent="0.2">
      <c r="A96" s="17"/>
      <c r="B96" s="13"/>
      <c r="C96" s="13"/>
      <c r="D96" s="18"/>
      <c r="E96" s="17"/>
      <c r="F96" s="17"/>
      <c r="G96" s="17"/>
      <c r="H96" s="17"/>
      <c r="I96" s="17"/>
      <c r="J96" s="17"/>
      <c r="K96" s="16"/>
      <c r="L96" s="11"/>
      <c r="M96" s="16"/>
    </row>
    <row r="97" spans="1:13" ht="20.100000000000001" customHeight="1" x14ac:dyDescent="0.2">
      <c r="A97" s="17"/>
      <c r="B97" s="13"/>
      <c r="C97" s="13"/>
      <c r="D97" s="18"/>
      <c r="E97" s="17"/>
      <c r="F97" s="17"/>
      <c r="G97" s="17"/>
      <c r="H97" s="17"/>
      <c r="I97" s="17"/>
      <c r="J97" s="17"/>
      <c r="K97" s="16"/>
      <c r="L97" s="11"/>
      <c r="M97" s="16"/>
    </row>
    <row r="98" spans="1:13" ht="20.100000000000001" customHeight="1" x14ac:dyDescent="0.2">
      <c r="A98" s="17"/>
      <c r="B98" s="13"/>
      <c r="C98" s="13"/>
      <c r="D98" s="18"/>
      <c r="E98" s="17"/>
      <c r="F98" s="17"/>
      <c r="G98" s="17"/>
      <c r="H98" s="17"/>
      <c r="I98" s="17"/>
      <c r="J98" s="17"/>
      <c r="K98" s="16"/>
      <c r="L98" s="11"/>
      <c r="M98" s="16"/>
    </row>
  </sheetData>
  <phoneticPr fontId="2"/>
  <pageMargins left="0.7" right="0.7" top="0.75" bottom="0.75" header="0.3" footer="0.3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73"/>
  <sheetViews>
    <sheetView workbookViewId="0">
      <selection activeCell="K28" sqref="K28"/>
    </sheetView>
  </sheetViews>
  <sheetFormatPr defaultRowHeight="13.2" x14ac:dyDescent="0.2"/>
  <cols>
    <col min="1" max="1" width="36" customWidth="1"/>
    <col min="2" max="2" width="10" style="103" customWidth="1"/>
    <col min="3" max="3" width="11.44140625" style="96" customWidth="1"/>
    <col min="4" max="4" width="12.109375" style="9" customWidth="1"/>
    <col min="5" max="5" width="5.33203125" customWidth="1"/>
    <col min="6" max="6" width="10.21875" style="9" bestFit="1" customWidth="1"/>
    <col min="7" max="7" width="9" style="188"/>
  </cols>
  <sheetData>
    <row r="1" spans="1:7" x14ac:dyDescent="0.2">
      <c r="A1" t="s">
        <v>879</v>
      </c>
    </row>
    <row r="3" spans="1:7" x14ac:dyDescent="0.2">
      <c r="A3" s="10" t="s">
        <v>4</v>
      </c>
      <c r="B3" s="12" t="s">
        <v>6</v>
      </c>
      <c r="C3" s="97" t="s">
        <v>14</v>
      </c>
      <c r="D3" s="16" t="s">
        <v>16</v>
      </c>
      <c r="F3" s="9" t="s">
        <v>881</v>
      </c>
      <c r="G3" s="36" t="s">
        <v>1510</v>
      </c>
    </row>
    <row r="4" spans="1:7" x14ac:dyDescent="0.2">
      <c r="A4" s="124" t="s">
        <v>35</v>
      </c>
      <c r="B4" s="125">
        <v>1.49</v>
      </c>
      <c r="C4" s="126">
        <v>9590</v>
      </c>
      <c r="D4" s="55">
        <v>14289.1</v>
      </c>
      <c r="F4" s="9">
        <v>20000</v>
      </c>
      <c r="G4" s="187">
        <f>C4-F4</f>
        <v>-10410</v>
      </c>
    </row>
    <row r="5" spans="1:7" x14ac:dyDescent="0.2">
      <c r="A5" s="124" t="s">
        <v>702</v>
      </c>
      <c r="B5" s="127">
        <v>8.6999999999999993</v>
      </c>
      <c r="C5" s="126">
        <v>9549</v>
      </c>
      <c r="D5" s="16">
        <v>83076.299999999988</v>
      </c>
      <c r="F5" s="9">
        <v>12700</v>
      </c>
      <c r="G5" s="187">
        <f t="shared" ref="G5:G43" si="0">C5-F5</f>
        <v>-3151</v>
      </c>
    </row>
    <row r="6" spans="1:7" x14ac:dyDescent="0.2">
      <c r="A6" s="124" t="s">
        <v>427</v>
      </c>
      <c r="B6" s="127">
        <v>4.96</v>
      </c>
      <c r="C6" s="126">
        <v>4336.8571428571431</v>
      </c>
      <c r="D6" s="55">
        <v>21510.811428571429</v>
      </c>
      <c r="F6" s="9">
        <v>15400</v>
      </c>
      <c r="G6" s="187">
        <f t="shared" si="0"/>
        <v>-11063.142857142857</v>
      </c>
    </row>
    <row r="7" spans="1:7" x14ac:dyDescent="0.2">
      <c r="A7" s="124" t="s">
        <v>186</v>
      </c>
      <c r="B7" s="127">
        <v>5.08</v>
      </c>
      <c r="C7" s="128">
        <v>4128</v>
      </c>
      <c r="D7" s="16">
        <v>20970.240000000002</v>
      </c>
      <c r="F7" s="9">
        <v>43000</v>
      </c>
      <c r="G7" s="187">
        <f t="shared" si="0"/>
        <v>-38872</v>
      </c>
    </row>
    <row r="8" spans="1:7" x14ac:dyDescent="0.2">
      <c r="A8" s="124" t="s">
        <v>216</v>
      </c>
      <c r="B8" s="127">
        <v>3.42</v>
      </c>
      <c r="C8" s="126">
        <v>4082.8947368421054</v>
      </c>
      <c r="D8" s="55">
        <v>13963.5</v>
      </c>
      <c r="F8" s="9">
        <v>77000</v>
      </c>
      <c r="G8" s="187">
        <f t="shared" si="0"/>
        <v>-72917.105263157893</v>
      </c>
    </row>
    <row r="9" spans="1:7" x14ac:dyDescent="0.2">
      <c r="A9" s="124" t="s">
        <v>830</v>
      </c>
      <c r="B9" s="127">
        <v>15.94</v>
      </c>
      <c r="C9" s="126">
        <v>3725.6666666666665</v>
      </c>
      <c r="D9" s="55">
        <v>59387.126666666663</v>
      </c>
      <c r="F9" s="9">
        <v>21100</v>
      </c>
      <c r="G9" s="187">
        <f t="shared" si="0"/>
        <v>-17374.333333333332</v>
      </c>
    </row>
    <row r="10" spans="1:7" x14ac:dyDescent="0.15">
      <c r="A10" s="129" t="s">
        <v>242</v>
      </c>
      <c r="B10" s="130">
        <v>8.6999999999999993</v>
      </c>
      <c r="C10" s="126">
        <v>3468.4210526315792</v>
      </c>
      <c r="D10" s="55">
        <v>30175.263157894737</v>
      </c>
      <c r="F10" s="9">
        <v>37000</v>
      </c>
      <c r="G10" s="187">
        <f t="shared" si="0"/>
        <v>-33531.57894736842</v>
      </c>
    </row>
    <row r="11" spans="1:7" x14ac:dyDescent="0.15">
      <c r="A11" s="129" t="s">
        <v>771</v>
      </c>
      <c r="B11" s="130">
        <v>12.64</v>
      </c>
      <c r="C11" s="131">
        <v>3349.4444444444443</v>
      </c>
      <c r="D11" s="16">
        <v>42336.977777777778</v>
      </c>
      <c r="F11" s="9">
        <v>6600</v>
      </c>
      <c r="G11" s="187">
        <f t="shared" si="0"/>
        <v>-3250.5555555555557</v>
      </c>
    </row>
    <row r="12" spans="1:7" x14ac:dyDescent="0.2">
      <c r="A12" s="124" t="s">
        <v>455</v>
      </c>
      <c r="B12" s="127">
        <v>7.39</v>
      </c>
      <c r="C12" s="126">
        <v>3296</v>
      </c>
      <c r="D12" s="55">
        <v>24357.439999999999</v>
      </c>
      <c r="F12" s="9">
        <v>6500</v>
      </c>
      <c r="G12" s="187">
        <f t="shared" si="0"/>
        <v>-3204</v>
      </c>
    </row>
    <row r="13" spans="1:7" x14ac:dyDescent="0.15">
      <c r="A13" s="129" t="s">
        <v>740</v>
      </c>
      <c r="B13" s="130">
        <v>8.3000000000000007</v>
      </c>
      <c r="C13" s="126">
        <v>3117</v>
      </c>
      <c r="D13" s="55">
        <v>25871.100000000002</v>
      </c>
      <c r="F13" s="9">
        <v>52500</v>
      </c>
      <c r="G13" s="187">
        <f t="shared" si="0"/>
        <v>-49383</v>
      </c>
    </row>
    <row r="14" spans="1:7" x14ac:dyDescent="0.15">
      <c r="A14" s="129" t="s">
        <v>149</v>
      </c>
      <c r="B14" s="130">
        <v>7.92</v>
      </c>
      <c r="C14" s="131">
        <v>3060</v>
      </c>
      <c r="D14" s="122">
        <v>24235.200000000001</v>
      </c>
      <c r="F14" s="123">
        <v>3500</v>
      </c>
      <c r="G14" s="187">
        <f t="shared" si="0"/>
        <v>-440</v>
      </c>
    </row>
    <row r="15" spans="1:7" x14ac:dyDescent="0.2">
      <c r="A15" s="124" t="s">
        <v>707</v>
      </c>
      <c r="B15" s="127">
        <v>8.3000000000000007</v>
      </c>
      <c r="C15" s="132">
        <v>3032.9230769230771</v>
      </c>
      <c r="D15" s="16">
        <v>25173.261538461542</v>
      </c>
      <c r="F15" s="9">
        <v>7000</v>
      </c>
      <c r="G15" s="187">
        <f t="shared" si="0"/>
        <v>-3967.0769230769229</v>
      </c>
    </row>
    <row r="16" spans="1:7" x14ac:dyDescent="0.2">
      <c r="A16" s="124" t="s">
        <v>785</v>
      </c>
      <c r="B16" s="127">
        <v>8.5</v>
      </c>
      <c r="C16" s="126">
        <v>3014.2857142857142</v>
      </c>
      <c r="D16" s="55">
        <v>25621.428571428572</v>
      </c>
      <c r="F16" s="9">
        <v>5900</v>
      </c>
      <c r="G16" s="187">
        <f t="shared" si="0"/>
        <v>-2885.7142857142858</v>
      </c>
    </row>
    <row r="17" spans="1:7" x14ac:dyDescent="0.2">
      <c r="A17" s="124" t="s">
        <v>1509</v>
      </c>
      <c r="B17" s="127">
        <v>10.63</v>
      </c>
      <c r="C17" s="131">
        <v>3010.5263157894738</v>
      </c>
      <c r="D17" s="119">
        <v>32001.894736842107</v>
      </c>
      <c r="E17" s="120"/>
      <c r="F17" s="121">
        <v>2000</v>
      </c>
      <c r="G17" s="187">
        <f t="shared" si="0"/>
        <v>1010.5263157894738</v>
      </c>
    </row>
    <row r="18" spans="1:7" x14ac:dyDescent="0.2">
      <c r="A18" s="124" t="s">
        <v>76</v>
      </c>
      <c r="B18" s="127">
        <v>8.99</v>
      </c>
      <c r="C18" s="131">
        <v>3001</v>
      </c>
      <c r="D18" s="16">
        <v>26978.99</v>
      </c>
      <c r="F18" s="9">
        <v>89000</v>
      </c>
      <c r="G18" s="187">
        <f t="shared" si="0"/>
        <v>-85999</v>
      </c>
    </row>
    <row r="19" spans="1:7" x14ac:dyDescent="0.2">
      <c r="A19" s="124" t="s">
        <v>784</v>
      </c>
      <c r="B19" s="127">
        <v>5.08</v>
      </c>
      <c r="C19" s="131">
        <v>2935.4285714285716</v>
      </c>
      <c r="D19" s="55">
        <v>14911.977142857144</v>
      </c>
      <c r="F19" s="9">
        <v>6000</v>
      </c>
      <c r="G19" s="187">
        <f t="shared" si="0"/>
        <v>-3064.5714285714284</v>
      </c>
    </row>
    <row r="20" spans="1:7" x14ac:dyDescent="0.15">
      <c r="A20" s="129" t="s">
        <v>156</v>
      </c>
      <c r="B20" s="130">
        <v>5.73</v>
      </c>
      <c r="C20" s="131">
        <v>2890</v>
      </c>
      <c r="D20" s="119">
        <v>16559.7</v>
      </c>
      <c r="E20" s="120"/>
      <c r="F20" s="121">
        <v>2000</v>
      </c>
      <c r="G20" s="187">
        <f t="shared" si="0"/>
        <v>890</v>
      </c>
    </row>
    <row r="21" spans="1:7" x14ac:dyDescent="0.2">
      <c r="A21" s="124" t="s">
        <v>589</v>
      </c>
      <c r="B21" s="133">
        <v>15.67</v>
      </c>
      <c r="C21" s="128">
        <v>2864</v>
      </c>
      <c r="D21" s="16">
        <v>44878.879999999997</v>
      </c>
      <c r="F21" s="9">
        <v>8900</v>
      </c>
      <c r="G21" s="187">
        <f t="shared" si="0"/>
        <v>-6036</v>
      </c>
    </row>
    <row r="22" spans="1:7" x14ac:dyDescent="0.2">
      <c r="A22" s="124" t="s">
        <v>200</v>
      </c>
      <c r="B22" s="133">
        <v>8.08</v>
      </c>
      <c r="C22" s="128">
        <v>2750.3333333333335</v>
      </c>
      <c r="D22" s="16">
        <v>22222.693333333336</v>
      </c>
      <c r="F22" s="9">
        <v>47500</v>
      </c>
      <c r="G22" s="187">
        <f t="shared" si="0"/>
        <v>-44749.666666666664</v>
      </c>
    </row>
    <row r="23" spans="1:7" x14ac:dyDescent="0.2">
      <c r="A23" s="124" t="s">
        <v>217</v>
      </c>
      <c r="B23" s="127">
        <v>3.42</v>
      </c>
      <c r="C23" s="126">
        <v>2688.9310344827586</v>
      </c>
      <c r="D23" s="55">
        <v>9196.1441379310345</v>
      </c>
      <c r="F23" s="9">
        <v>46000</v>
      </c>
      <c r="G23" s="187">
        <f t="shared" si="0"/>
        <v>-43311.068965517239</v>
      </c>
    </row>
    <row r="24" spans="1:7" x14ac:dyDescent="0.2">
      <c r="A24" s="124" t="s">
        <v>827</v>
      </c>
      <c r="B24" s="127">
        <v>8.1199999999999992</v>
      </c>
      <c r="C24" s="128">
        <v>2640</v>
      </c>
      <c r="D24" s="16">
        <v>21436.799999999999</v>
      </c>
      <c r="F24" s="9">
        <v>11700</v>
      </c>
      <c r="G24" s="187">
        <f t="shared" si="0"/>
        <v>-9060</v>
      </c>
    </row>
    <row r="25" spans="1:7" x14ac:dyDescent="0.2">
      <c r="A25" s="129" t="s">
        <v>137</v>
      </c>
      <c r="B25" s="127">
        <v>5.71</v>
      </c>
      <c r="C25" s="131">
        <v>2548.3333333333335</v>
      </c>
      <c r="D25" s="16">
        <v>14550.983333333334</v>
      </c>
      <c r="F25" s="9">
        <v>6900</v>
      </c>
      <c r="G25" s="187">
        <f t="shared" si="0"/>
        <v>-4351.6666666666661</v>
      </c>
    </row>
    <row r="26" spans="1:7" x14ac:dyDescent="0.2">
      <c r="A26" s="129" t="s">
        <v>187</v>
      </c>
      <c r="B26" s="130">
        <v>5</v>
      </c>
      <c r="C26" s="128">
        <v>2508.6363636363635</v>
      </c>
      <c r="D26" s="16">
        <v>12543.181818181818</v>
      </c>
      <c r="F26" s="9">
        <v>10100</v>
      </c>
      <c r="G26" s="187">
        <f t="shared" si="0"/>
        <v>-7591.363636363636</v>
      </c>
    </row>
    <row r="27" spans="1:7" x14ac:dyDescent="0.2">
      <c r="A27" s="124" t="s">
        <v>706</v>
      </c>
      <c r="B27" s="127">
        <v>5.4</v>
      </c>
      <c r="C27" s="126">
        <v>2504.272727272727</v>
      </c>
      <c r="D27" s="16">
        <v>13523.072727272727</v>
      </c>
      <c r="F27" s="9">
        <v>10000</v>
      </c>
      <c r="G27" s="187">
        <f t="shared" si="0"/>
        <v>-7495.727272727273</v>
      </c>
    </row>
    <row r="28" spans="1:7" x14ac:dyDescent="0.15">
      <c r="A28" s="129" t="s">
        <v>607</v>
      </c>
      <c r="B28" s="130">
        <v>17.8</v>
      </c>
      <c r="C28" s="131">
        <v>2478</v>
      </c>
      <c r="D28" s="16">
        <v>44108.4</v>
      </c>
      <c r="F28" s="9">
        <v>10000</v>
      </c>
      <c r="G28" s="187">
        <f t="shared" si="0"/>
        <v>-7522</v>
      </c>
    </row>
    <row r="29" spans="1:7" x14ac:dyDescent="0.2">
      <c r="A29" s="124" t="s">
        <v>228</v>
      </c>
      <c r="B29" s="127">
        <v>6.18</v>
      </c>
      <c r="C29" s="126">
        <v>2467</v>
      </c>
      <c r="D29" s="55">
        <v>15246.06</v>
      </c>
      <c r="F29" s="9">
        <v>11700</v>
      </c>
      <c r="G29" s="187">
        <f t="shared" si="0"/>
        <v>-9233</v>
      </c>
    </row>
    <row r="30" spans="1:7" x14ac:dyDescent="0.2">
      <c r="A30" s="124" t="s">
        <v>513</v>
      </c>
      <c r="B30" s="127">
        <v>12.1</v>
      </c>
      <c r="C30" s="131">
        <v>2355.5555555555557</v>
      </c>
      <c r="D30" s="16">
        <v>28502.222222222223</v>
      </c>
      <c r="F30" s="9">
        <v>8400</v>
      </c>
      <c r="G30" s="187">
        <f t="shared" si="0"/>
        <v>-6044.4444444444443</v>
      </c>
    </row>
    <row r="31" spans="1:7" x14ac:dyDescent="0.2">
      <c r="A31" s="124" t="s">
        <v>105</v>
      </c>
      <c r="B31" s="127">
        <v>16.2</v>
      </c>
      <c r="C31" s="126">
        <v>2331</v>
      </c>
      <c r="D31" s="16">
        <v>37762.199999999997</v>
      </c>
      <c r="F31" s="9">
        <v>19500</v>
      </c>
      <c r="G31" s="187">
        <f t="shared" si="0"/>
        <v>-17169</v>
      </c>
    </row>
    <row r="32" spans="1:7" x14ac:dyDescent="0.15">
      <c r="A32" s="129" t="s">
        <v>230</v>
      </c>
      <c r="B32" s="130">
        <v>8.9600000000000009</v>
      </c>
      <c r="C32" s="126">
        <v>2321.3333333333335</v>
      </c>
      <c r="D32" s="55">
        <v>20799.146666666671</v>
      </c>
      <c r="F32" s="9">
        <v>15900</v>
      </c>
      <c r="G32" s="187">
        <f t="shared" si="0"/>
        <v>-13578.666666666666</v>
      </c>
    </row>
    <row r="33" spans="1:7" x14ac:dyDescent="0.2">
      <c r="A33" s="124" t="s">
        <v>590</v>
      </c>
      <c r="B33" s="133">
        <v>29.65</v>
      </c>
      <c r="C33" s="128">
        <v>2317.5</v>
      </c>
      <c r="D33" s="16">
        <v>68713.875</v>
      </c>
      <c r="F33" s="9">
        <v>12000</v>
      </c>
      <c r="G33" s="187">
        <f t="shared" si="0"/>
        <v>-9682.5</v>
      </c>
    </row>
    <row r="34" spans="1:7" x14ac:dyDescent="0.15">
      <c r="A34" s="129" t="s">
        <v>77</v>
      </c>
      <c r="B34" s="130">
        <v>6.86</v>
      </c>
      <c r="C34" s="126">
        <v>2315.7894736842109</v>
      </c>
      <c r="D34" s="16">
        <v>15886.315789473687</v>
      </c>
      <c r="F34" s="9">
        <v>3000</v>
      </c>
      <c r="G34" s="187">
        <f t="shared" si="0"/>
        <v>-684.21052631578914</v>
      </c>
    </row>
    <row r="35" spans="1:7" x14ac:dyDescent="0.2">
      <c r="A35" s="124" t="s">
        <v>712</v>
      </c>
      <c r="B35" s="127">
        <v>4.2300000000000004</v>
      </c>
      <c r="C35" s="131">
        <v>2267</v>
      </c>
      <c r="D35" s="16">
        <v>9589.4100000000017</v>
      </c>
      <c r="F35" s="9">
        <v>73000</v>
      </c>
      <c r="G35" s="187">
        <f t="shared" si="0"/>
        <v>-70733</v>
      </c>
    </row>
    <row r="36" spans="1:7" x14ac:dyDescent="0.2">
      <c r="A36" s="124" t="s">
        <v>237</v>
      </c>
      <c r="B36" s="127">
        <v>7.72</v>
      </c>
      <c r="C36" s="126">
        <v>2216.4705882352941</v>
      </c>
      <c r="D36" s="55">
        <v>17111.152941176471</v>
      </c>
      <c r="F36" s="9">
        <v>35000</v>
      </c>
      <c r="G36" s="187">
        <f t="shared" si="0"/>
        <v>-32783.529411764706</v>
      </c>
    </row>
    <row r="37" spans="1:7" x14ac:dyDescent="0.2">
      <c r="A37" s="124" t="s">
        <v>491</v>
      </c>
      <c r="B37" s="127">
        <v>5.88</v>
      </c>
      <c r="C37" s="126">
        <v>2215.7777777777778</v>
      </c>
      <c r="D37" s="16">
        <v>13028.773333333333</v>
      </c>
      <c r="F37" s="9">
        <v>9500</v>
      </c>
      <c r="G37" s="187">
        <f t="shared" si="0"/>
        <v>-7284.2222222222226</v>
      </c>
    </row>
    <row r="38" spans="1:7" x14ac:dyDescent="0.2">
      <c r="A38" s="124" t="s">
        <v>739</v>
      </c>
      <c r="B38" s="127">
        <v>265.98</v>
      </c>
      <c r="C38" s="126">
        <v>2171.4705882352941</v>
      </c>
      <c r="D38" s="186">
        <v>577567.74705882359</v>
      </c>
      <c r="F38" s="9">
        <v>9300</v>
      </c>
      <c r="G38" s="187">
        <f t="shared" si="0"/>
        <v>-7128.5294117647063</v>
      </c>
    </row>
    <row r="39" spans="1:7" x14ac:dyDescent="0.2">
      <c r="A39" s="124" t="s">
        <v>104</v>
      </c>
      <c r="B39" s="127">
        <v>7.5</v>
      </c>
      <c r="C39" s="126">
        <v>2116</v>
      </c>
      <c r="D39" s="16">
        <v>15870</v>
      </c>
      <c r="F39" s="9">
        <v>48600</v>
      </c>
      <c r="G39" s="187">
        <f t="shared" si="0"/>
        <v>-46484</v>
      </c>
    </row>
    <row r="40" spans="1:7" x14ac:dyDescent="0.2">
      <c r="A40" s="124" t="s">
        <v>224</v>
      </c>
      <c r="B40" s="127">
        <v>12.37</v>
      </c>
      <c r="C40" s="126">
        <v>2105</v>
      </c>
      <c r="D40" s="55">
        <v>26038.85</v>
      </c>
      <c r="F40" s="9">
        <v>5700</v>
      </c>
      <c r="G40" s="187">
        <f t="shared" si="0"/>
        <v>-3595</v>
      </c>
    </row>
    <row r="41" spans="1:7" x14ac:dyDescent="0.15">
      <c r="A41" s="129" t="s">
        <v>765</v>
      </c>
      <c r="B41" s="130">
        <v>5.3</v>
      </c>
      <c r="C41" s="126">
        <v>2083.333333333333</v>
      </c>
      <c r="D41" s="16">
        <v>11041.666666666664</v>
      </c>
      <c r="F41" s="9">
        <v>29600</v>
      </c>
      <c r="G41" s="187">
        <f t="shared" si="0"/>
        <v>-27516.666666666668</v>
      </c>
    </row>
    <row r="42" spans="1:7" x14ac:dyDescent="0.2">
      <c r="A42" s="129" t="s">
        <v>849</v>
      </c>
      <c r="B42" s="130">
        <v>12.95</v>
      </c>
      <c r="C42" s="128">
        <v>2069.3846153846152</v>
      </c>
      <c r="D42" s="16">
        <v>26798.530769230765</v>
      </c>
      <c r="F42" s="9">
        <v>3900</v>
      </c>
      <c r="G42" s="187">
        <f t="shared" si="0"/>
        <v>-1830.6153846153848</v>
      </c>
    </row>
    <row r="43" spans="1:7" x14ac:dyDescent="0.15">
      <c r="A43" s="129" t="s">
        <v>143</v>
      </c>
      <c r="B43" s="130">
        <v>5.22</v>
      </c>
      <c r="C43" s="131">
        <v>2066.3333333333335</v>
      </c>
      <c r="D43" s="16">
        <v>10786.26</v>
      </c>
      <c r="F43" s="9">
        <v>37500</v>
      </c>
      <c r="G43" s="187">
        <f t="shared" si="0"/>
        <v>-35433.666666666664</v>
      </c>
    </row>
    <row r="44" spans="1:7" x14ac:dyDescent="0.2">
      <c r="A44" s="124" t="s">
        <v>92</v>
      </c>
      <c r="B44" s="127">
        <v>16.71</v>
      </c>
      <c r="C44" s="126">
        <v>1996</v>
      </c>
      <c r="D44" s="16">
        <v>33353.160000000003</v>
      </c>
    </row>
    <row r="45" spans="1:7" x14ac:dyDescent="0.2">
      <c r="A45" s="129" t="s">
        <v>581</v>
      </c>
      <c r="B45" s="130">
        <v>5.08</v>
      </c>
      <c r="C45" s="128">
        <v>1970.090909090909</v>
      </c>
      <c r="D45" s="16">
        <v>10008.061818181817</v>
      </c>
    </row>
    <row r="46" spans="1:7" x14ac:dyDescent="0.2">
      <c r="A46" s="124" t="s">
        <v>560</v>
      </c>
      <c r="B46" s="127">
        <v>71.12</v>
      </c>
      <c r="C46" s="131">
        <v>1937.3333333333335</v>
      </c>
      <c r="D46" s="16">
        <v>137783.1466666667</v>
      </c>
    </row>
    <row r="47" spans="1:7" x14ac:dyDescent="0.2">
      <c r="A47" s="124" t="s">
        <v>595</v>
      </c>
      <c r="B47" s="127">
        <v>7.49</v>
      </c>
      <c r="C47" s="126">
        <v>1931.2857142857142</v>
      </c>
      <c r="D47" s="55">
        <v>14465.33</v>
      </c>
    </row>
    <row r="48" spans="1:7" x14ac:dyDescent="0.2">
      <c r="A48" s="124" t="s">
        <v>492</v>
      </c>
      <c r="B48" s="127">
        <v>21.12</v>
      </c>
      <c r="C48" s="126">
        <v>1904</v>
      </c>
      <c r="D48" s="16">
        <v>40212.480000000003</v>
      </c>
    </row>
    <row r="49" spans="1:4" x14ac:dyDescent="0.15">
      <c r="A49" s="129" t="s">
        <v>179</v>
      </c>
      <c r="B49" s="130">
        <v>5.0999999999999996</v>
      </c>
      <c r="C49" s="131">
        <v>1854.5</v>
      </c>
      <c r="D49" s="16">
        <v>9457.9499999999989</v>
      </c>
    </row>
    <row r="50" spans="1:4" x14ac:dyDescent="0.2">
      <c r="A50" s="124" t="s">
        <v>160</v>
      </c>
      <c r="B50" s="127">
        <v>5.36</v>
      </c>
      <c r="C50" s="131">
        <v>1846.1111111111111</v>
      </c>
      <c r="D50" s="16">
        <v>9895.1555555555551</v>
      </c>
    </row>
    <row r="51" spans="1:4" x14ac:dyDescent="0.2">
      <c r="A51" s="124" t="s">
        <v>495</v>
      </c>
      <c r="B51" s="127">
        <v>4.7699999999999996</v>
      </c>
      <c r="C51" s="126">
        <v>1826.4285714285713</v>
      </c>
      <c r="D51" s="16">
        <v>8712.0642857142848</v>
      </c>
    </row>
    <row r="52" spans="1:4" x14ac:dyDescent="0.2">
      <c r="A52" s="124" t="s">
        <v>231</v>
      </c>
      <c r="B52" s="127">
        <v>8.25</v>
      </c>
      <c r="C52" s="126">
        <v>1826</v>
      </c>
      <c r="D52" s="55">
        <v>15064.5</v>
      </c>
    </row>
    <row r="53" spans="1:4" x14ac:dyDescent="0.15">
      <c r="A53" s="129" t="s">
        <v>775</v>
      </c>
      <c r="B53" s="130">
        <v>37.24</v>
      </c>
      <c r="C53" s="126">
        <v>1818</v>
      </c>
      <c r="D53" s="16">
        <v>67702.320000000007</v>
      </c>
    </row>
    <row r="54" spans="1:4" x14ac:dyDescent="0.15">
      <c r="A54" s="129" t="s">
        <v>598</v>
      </c>
      <c r="B54" s="130">
        <v>63.33</v>
      </c>
      <c r="C54" s="126">
        <v>1805</v>
      </c>
      <c r="D54" s="55">
        <v>114310.65</v>
      </c>
    </row>
    <row r="55" spans="1:4" x14ac:dyDescent="0.15">
      <c r="A55" s="129" t="s">
        <v>144</v>
      </c>
      <c r="B55" s="130">
        <v>7.62</v>
      </c>
      <c r="C55" s="131">
        <v>1792.8461538461538</v>
      </c>
      <c r="D55" s="16">
        <v>13661.487692307692</v>
      </c>
    </row>
    <row r="56" spans="1:4" x14ac:dyDescent="0.15">
      <c r="A56" s="129" t="s">
        <v>613</v>
      </c>
      <c r="B56" s="130">
        <v>9.5</v>
      </c>
      <c r="C56" s="126">
        <v>1776</v>
      </c>
      <c r="D56" s="55">
        <v>16872</v>
      </c>
    </row>
    <row r="57" spans="1:4" x14ac:dyDescent="0.15">
      <c r="A57" s="129" t="s">
        <v>614</v>
      </c>
      <c r="B57" s="130">
        <v>17.25</v>
      </c>
      <c r="C57" s="126">
        <v>1770.5882352941176</v>
      </c>
      <c r="D57" s="55">
        <v>30542.647058823528</v>
      </c>
    </row>
    <row r="58" spans="1:4" x14ac:dyDescent="0.2">
      <c r="A58" s="124" t="s">
        <v>246</v>
      </c>
      <c r="B58" s="127">
        <v>13.1</v>
      </c>
      <c r="C58" s="126">
        <v>1746</v>
      </c>
      <c r="D58" s="55">
        <v>22872.6</v>
      </c>
    </row>
    <row r="59" spans="1:4" x14ac:dyDescent="0.2">
      <c r="A59" s="124" t="s">
        <v>194</v>
      </c>
      <c r="B59" s="127">
        <v>5</v>
      </c>
      <c r="C59" s="128">
        <v>1742</v>
      </c>
      <c r="D59" s="16">
        <v>8710</v>
      </c>
    </row>
    <row r="60" spans="1:4" x14ac:dyDescent="0.2">
      <c r="A60" s="124" t="s">
        <v>175</v>
      </c>
      <c r="B60" s="133">
        <v>5.18</v>
      </c>
      <c r="C60" s="128">
        <v>1731.578947368421</v>
      </c>
      <c r="D60" s="16">
        <v>8969.5789473684199</v>
      </c>
    </row>
    <row r="61" spans="1:4" x14ac:dyDescent="0.2">
      <c r="A61" s="129" t="s">
        <v>582</v>
      </c>
      <c r="B61" s="130">
        <v>5.08</v>
      </c>
      <c r="C61" s="128">
        <v>1718</v>
      </c>
      <c r="D61" s="16">
        <v>8727.44</v>
      </c>
    </row>
    <row r="62" spans="1:4" x14ac:dyDescent="0.2">
      <c r="A62" s="124" t="s">
        <v>93</v>
      </c>
      <c r="B62" s="127">
        <v>29.86</v>
      </c>
      <c r="C62" s="126">
        <v>1691.4736842105262</v>
      </c>
      <c r="D62" s="16">
        <v>50507.404210526314</v>
      </c>
    </row>
    <row r="63" spans="1:4" x14ac:dyDescent="0.15">
      <c r="A63" s="129" t="s">
        <v>155</v>
      </c>
      <c r="B63" s="130">
        <v>10</v>
      </c>
      <c r="C63" s="131">
        <v>1653.1176470588234</v>
      </c>
      <c r="D63" s="16">
        <v>16531.176470588234</v>
      </c>
    </row>
    <row r="64" spans="1:4" x14ac:dyDescent="0.15">
      <c r="A64" s="129" t="s">
        <v>610</v>
      </c>
      <c r="B64" s="130">
        <v>5.14</v>
      </c>
      <c r="C64" s="126">
        <v>1628.6666666666667</v>
      </c>
      <c r="D64" s="55">
        <v>8371.3466666666664</v>
      </c>
    </row>
    <row r="65" spans="1:4" x14ac:dyDescent="0.2">
      <c r="A65" s="124" t="s">
        <v>225</v>
      </c>
      <c r="B65" s="127">
        <v>19.510000000000002</v>
      </c>
      <c r="C65" s="126">
        <v>1628.0769230769231</v>
      </c>
      <c r="D65" s="55">
        <v>31763.780769230772</v>
      </c>
    </row>
    <row r="66" spans="1:4" x14ac:dyDescent="0.15">
      <c r="A66" s="129" t="s">
        <v>115</v>
      </c>
      <c r="B66" s="130">
        <v>7.99</v>
      </c>
      <c r="C66" s="131">
        <v>1616.6666666666667</v>
      </c>
      <c r="D66" s="16">
        <v>12917.166666666668</v>
      </c>
    </row>
    <row r="67" spans="1:4" x14ac:dyDescent="0.15">
      <c r="A67" s="129" t="s">
        <v>518</v>
      </c>
      <c r="B67" s="130">
        <v>21.53</v>
      </c>
      <c r="C67" s="131">
        <v>1607</v>
      </c>
      <c r="D67" s="16">
        <v>34598.71</v>
      </c>
    </row>
    <row r="68" spans="1:4" x14ac:dyDescent="0.2">
      <c r="A68" s="129" t="s">
        <v>183</v>
      </c>
      <c r="B68" s="130">
        <v>10.87</v>
      </c>
      <c r="C68" s="128">
        <v>1604.6744186046512</v>
      </c>
      <c r="D68" s="16">
        <v>17442.810930232557</v>
      </c>
    </row>
    <row r="69" spans="1:4" x14ac:dyDescent="0.15">
      <c r="A69" s="129" t="s">
        <v>703</v>
      </c>
      <c r="B69" s="130">
        <v>46.8</v>
      </c>
      <c r="C69" s="126">
        <v>1549.6666666666665</v>
      </c>
      <c r="D69" s="16">
        <v>72524.399999999994</v>
      </c>
    </row>
    <row r="70" spans="1:4" x14ac:dyDescent="0.2">
      <c r="A70" s="124" t="s">
        <v>522</v>
      </c>
      <c r="B70" s="127">
        <v>5.43</v>
      </c>
      <c r="C70" s="131">
        <v>1526</v>
      </c>
      <c r="D70" s="16">
        <v>8286.18</v>
      </c>
    </row>
    <row r="71" spans="1:4" x14ac:dyDescent="0.2">
      <c r="A71" s="124" t="s">
        <v>504</v>
      </c>
      <c r="B71" s="127">
        <v>16.12</v>
      </c>
      <c r="C71" s="126">
        <v>1484</v>
      </c>
      <c r="D71" s="55">
        <v>23922.080000000002</v>
      </c>
    </row>
    <row r="72" spans="1:4" x14ac:dyDescent="0.15">
      <c r="A72" s="129" t="s">
        <v>140</v>
      </c>
      <c r="B72" s="130">
        <v>5.04</v>
      </c>
      <c r="C72" s="131">
        <v>1472.6666666666667</v>
      </c>
      <c r="D72" s="16">
        <v>7422.2400000000007</v>
      </c>
    </row>
    <row r="73" spans="1:4" x14ac:dyDescent="0.15">
      <c r="A73" s="129" t="s">
        <v>139</v>
      </c>
      <c r="B73" s="130">
        <v>4.95</v>
      </c>
      <c r="C73" s="131">
        <v>1449</v>
      </c>
      <c r="D73" s="16">
        <v>7172.55</v>
      </c>
    </row>
    <row r="74" spans="1:4" x14ac:dyDescent="0.15">
      <c r="A74" s="129" t="s">
        <v>599</v>
      </c>
      <c r="B74" s="130">
        <v>20.57</v>
      </c>
      <c r="C74" s="126">
        <v>1437</v>
      </c>
      <c r="D74" s="55">
        <v>29559.09</v>
      </c>
    </row>
    <row r="75" spans="1:4" x14ac:dyDescent="0.2">
      <c r="A75" s="124" t="s">
        <v>426</v>
      </c>
      <c r="B75" s="127">
        <v>5.26</v>
      </c>
      <c r="C75" s="131">
        <v>1411</v>
      </c>
      <c r="D75" s="16">
        <v>7421.86</v>
      </c>
    </row>
    <row r="76" spans="1:4" x14ac:dyDescent="0.2">
      <c r="A76" s="124" t="s">
        <v>710</v>
      </c>
      <c r="B76" s="127">
        <v>17.5</v>
      </c>
      <c r="C76" s="126">
        <v>1403.3333333333335</v>
      </c>
      <c r="D76" s="16">
        <v>24558.333333333336</v>
      </c>
    </row>
    <row r="77" spans="1:4" x14ac:dyDescent="0.2">
      <c r="A77" s="124" t="s">
        <v>558</v>
      </c>
      <c r="B77" s="127">
        <v>8.73</v>
      </c>
      <c r="C77" s="131">
        <v>1390</v>
      </c>
      <c r="D77" s="16">
        <v>12134.7</v>
      </c>
    </row>
    <row r="78" spans="1:4" x14ac:dyDescent="0.2">
      <c r="A78" s="124" t="s">
        <v>166</v>
      </c>
      <c r="B78" s="127">
        <v>5.07</v>
      </c>
      <c r="C78" s="131">
        <v>1380</v>
      </c>
      <c r="D78" s="16">
        <v>6996.6</v>
      </c>
    </row>
    <row r="79" spans="1:4" x14ac:dyDescent="0.2">
      <c r="A79" s="124" t="s">
        <v>103</v>
      </c>
      <c r="B79" s="127">
        <v>6.27</v>
      </c>
      <c r="C79" s="126">
        <v>1375.3333333333333</v>
      </c>
      <c r="D79" s="16">
        <v>8623.3399999999983</v>
      </c>
    </row>
    <row r="80" spans="1:4" x14ac:dyDescent="0.15">
      <c r="A80" s="129" t="s">
        <v>167</v>
      </c>
      <c r="B80" s="130">
        <v>8.0399999999999991</v>
      </c>
      <c r="C80" s="131">
        <v>1375</v>
      </c>
      <c r="D80" s="16">
        <v>11054.999999999998</v>
      </c>
    </row>
    <row r="81" spans="1:4" x14ac:dyDescent="0.2">
      <c r="A81" s="124" t="s">
        <v>24</v>
      </c>
      <c r="B81" s="125">
        <v>25.38</v>
      </c>
      <c r="C81" s="126">
        <v>1364</v>
      </c>
      <c r="D81" s="55">
        <v>34618.32</v>
      </c>
    </row>
    <row r="82" spans="1:4" x14ac:dyDescent="0.2">
      <c r="A82" s="124" t="s">
        <v>227</v>
      </c>
      <c r="B82" s="127">
        <v>5.96</v>
      </c>
      <c r="C82" s="126">
        <v>1359.5</v>
      </c>
      <c r="D82" s="55">
        <v>8102.62</v>
      </c>
    </row>
    <row r="83" spans="1:4" x14ac:dyDescent="0.15">
      <c r="A83" s="129" t="s">
        <v>113</v>
      </c>
      <c r="B83" s="130">
        <v>7.99</v>
      </c>
      <c r="C83" s="131">
        <v>1358.5</v>
      </c>
      <c r="D83" s="16">
        <v>10854.415000000001</v>
      </c>
    </row>
    <row r="84" spans="1:4" x14ac:dyDescent="0.2">
      <c r="A84" s="124" t="s">
        <v>713</v>
      </c>
      <c r="B84" s="127">
        <v>8.24</v>
      </c>
      <c r="C84" s="126">
        <v>1350.1538461538462</v>
      </c>
      <c r="D84" s="55">
        <v>11125.267692307692</v>
      </c>
    </row>
    <row r="85" spans="1:4" x14ac:dyDescent="0.2">
      <c r="A85" s="124" t="s">
        <v>162</v>
      </c>
      <c r="B85" s="127">
        <v>4.96</v>
      </c>
      <c r="C85" s="131">
        <v>1341.1764705882354</v>
      </c>
      <c r="D85" s="16">
        <v>6652.2352941176478</v>
      </c>
    </row>
    <row r="86" spans="1:4" x14ac:dyDescent="0.2">
      <c r="A86" s="129" t="s">
        <v>460</v>
      </c>
      <c r="B86" s="125">
        <v>9.35</v>
      </c>
      <c r="C86" s="126">
        <v>1324</v>
      </c>
      <c r="D86" s="55">
        <v>12379.4</v>
      </c>
    </row>
    <row r="87" spans="1:4" x14ac:dyDescent="0.2">
      <c r="A87" s="124" t="s">
        <v>126</v>
      </c>
      <c r="B87" s="133">
        <v>4.9000000000000004</v>
      </c>
      <c r="C87" s="126">
        <v>1317</v>
      </c>
      <c r="D87" s="16">
        <v>6453.3</v>
      </c>
    </row>
    <row r="88" spans="1:4" x14ac:dyDescent="0.15">
      <c r="A88" s="129" t="s">
        <v>611</v>
      </c>
      <c r="B88" s="130">
        <v>6.95</v>
      </c>
      <c r="C88" s="126">
        <v>1309.3333333333333</v>
      </c>
      <c r="D88" s="55">
        <v>9099.8666666666668</v>
      </c>
    </row>
    <row r="89" spans="1:4" x14ac:dyDescent="0.2">
      <c r="A89" s="124" t="s">
        <v>109</v>
      </c>
      <c r="B89" s="127">
        <v>5.08</v>
      </c>
      <c r="C89" s="131">
        <v>1308</v>
      </c>
      <c r="D89" s="16">
        <v>6644.64</v>
      </c>
    </row>
    <row r="90" spans="1:4" x14ac:dyDescent="0.15">
      <c r="A90" s="129" t="s">
        <v>99</v>
      </c>
      <c r="B90" s="130">
        <v>9.16</v>
      </c>
      <c r="C90" s="126">
        <v>1291.5384615384614</v>
      </c>
      <c r="D90" s="16">
        <v>11830.492307692308</v>
      </c>
    </row>
    <row r="91" spans="1:4" x14ac:dyDescent="0.2">
      <c r="A91" s="124" t="s">
        <v>493</v>
      </c>
      <c r="B91" s="127">
        <v>10.96</v>
      </c>
      <c r="C91" s="126">
        <v>1290</v>
      </c>
      <c r="D91" s="16">
        <v>14138.400000000001</v>
      </c>
    </row>
    <row r="92" spans="1:4" x14ac:dyDescent="0.2">
      <c r="A92" s="124" t="s">
        <v>25</v>
      </c>
      <c r="B92" s="125">
        <v>5.26</v>
      </c>
      <c r="C92" s="126">
        <v>1286</v>
      </c>
      <c r="D92" s="55">
        <v>6764.36</v>
      </c>
    </row>
    <row r="93" spans="1:4" x14ac:dyDescent="0.2">
      <c r="A93" s="124" t="s">
        <v>488</v>
      </c>
      <c r="B93" s="127">
        <v>28.21</v>
      </c>
      <c r="C93" s="131">
        <v>1272.8571428571429</v>
      </c>
      <c r="D93" s="16">
        <v>35907.300000000003</v>
      </c>
    </row>
    <row r="94" spans="1:4" x14ac:dyDescent="0.15">
      <c r="A94" s="129" t="s">
        <v>731</v>
      </c>
      <c r="B94" s="130">
        <v>27</v>
      </c>
      <c r="C94" s="131">
        <v>1272.3333333333335</v>
      </c>
      <c r="D94" s="16">
        <v>34353.000000000007</v>
      </c>
    </row>
    <row r="95" spans="1:4" x14ac:dyDescent="0.15">
      <c r="A95" s="129" t="s">
        <v>148</v>
      </c>
      <c r="B95" s="130">
        <v>11.22</v>
      </c>
      <c r="C95" s="131">
        <v>1268.7142857142858</v>
      </c>
      <c r="D95" s="16">
        <v>14234.974285714286</v>
      </c>
    </row>
    <row r="96" spans="1:4" x14ac:dyDescent="0.2">
      <c r="A96" s="124" t="s">
        <v>138</v>
      </c>
      <c r="B96" s="127">
        <v>14.9</v>
      </c>
      <c r="C96" s="131">
        <v>1261</v>
      </c>
      <c r="D96" s="16">
        <v>18788.900000000001</v>
      </c>
    </row>
    <row r="97" spans="1:4" x14ac:dyDescent="0.2">
      <c r="A97" s="124" t="s">
        <v>151</v>
      </c>
      <c r="B97" s="127">
        <v>8.73</v>
      </c>
      <c r="C97" s="131">
        <v>1260</v>
      </c>
      <c r="D97" s="16">
        <v>10999.800000000001</v>
      </c>
    </row>
    <row r="98" spans="1:4" x14ac:dyDescent="0.2">
      <c r="A98" s="124" t="s">
        <v>482</v>
      </c>
      <c r="B98" s="127">
        <v>5.07</v>
      </c>
      <c r="C98" s="131">
        <v>1256.4285714285716</v>
      </c>
      <c r="D98" s="16">
        <v>6370.0928571428585</v>
      </c>
    </row>
    <row r="99" spans="1:4" x14ac:dyDescent="0.15">
      <c r="A99" s="129" t="s">
        <v>700</v>
      </c>
      <c r="B99" s="130">
        <v>58.42</v>
      </c>
      <c r="C99" s="131">
        <v>1220</v>
      </c>
      <c r="D99" s="16">
        <v>71272.400000000009</v>
      </c>
    </row>
    <row r="100" spans="1:4" x14ac:dyDescent="0.15">
      <c r="A100" s="129" t="s">
        <v>782</v>
      </c>
      <c r="B100" s="130">
        <v>8.2799999999999994</v>
      </c>
      <c r="C100" s="131">
        <v>1219</v>
      </c>
      <c r="D100" s="16">
        <v>10093.32</v>
      </c>
    </row>
    <row r="101" spans="1:4" x14ac:dyDescent="0.15">
      <c r="A101" s="129" t="s">
        <v>699</v>
      </c>
      <c r="B101" s="130">
        <v>44.45</v>
      </c>
      <c r="C101" s="131">
        <v>1218</v>
      </c>
      <c r="D101" s="16">
        <v>54140.100000000006</v>
      </c>
    </row>
    <row r="102" spans="1:4" x14ac:dyDescent="0.15">
      <c r="A102" s="129" t="s">
        <v>636</v>
      </c>
      <c r="B102" s="130">
        <v>2.1800000000000002</v>
      </c>
      <c r="C102" s="131">
        <v>1210</v>
      </c>
      <c r="D102" s="16">
        <v>2637.8</v>
      </c>
    </row>
    <row r="103" spans="1:4" x14ac:dyDescent="0.2">
      <c r="A103" s="124" t="s">
        <v>91</v>
      </c>
      <c r="B103" s="127">
        <v>8.15</v>
      </c>
      <c r="C103" s="126">
        <v>1200.8571428571429</v>
      </c>
      <c r="D103" s="16">
        <v>9786.9857142857145</v>
      </c>
    </row>
    <row r="104" spans="1:4" x14ac:dyDescent="0.15">
      <c r="A104" s="129" t="s">
        <v>100</v>
      </c>
      <c r="B104" s="130">
        <v>5.97</v>
      </c>
      <c r="C104" s="126">
        <v>1185.9459459459461</v>
      </c>
      <c r="D104" s="16">
        <v>7080.0972972972977</v>
      </c>
    </row>
    <row r="105" spans="1:4" x14ac:dyDescent="0.2">
      <c r="A105" s="129" t="s">
        <v>551</v>
      </c>
      <c r="B105" s="130">
        <v>8.6</v>
      </c>
      <c r="C105" s="128">
        <v>1177</v>
      </c>
      <c r="D105" s="16">
        <v>10122.199999999999</v>
      </c>
    </row>
    <row r="106" spans="1:4" x14ac:dyDescent="0.2">
      <c r="A106" s="129" t="s">
        <v>575</v>
      </c>
      <c r="B106" s="130">
        <v>4.28</v>
      </c>
      <c r="C106" s="128">
        <v>1166.6666666666667</v>
      </c>
      <c r="D106" s="16">
        <v>4993.3333333333339</v>
      </c>
    </row>
    <row r="107" spans="1:4" x14ac:dyDescent="0.15">
      <c r="A107" s="129" t="s">
        <v>683</v>
      </c>
      <c r="B107" s="134">
        <v>10.75</v>
      </c>
      <c r="C107" s="126">
        <v>1166</v>
      </c>
      <c r="D107" s="55">
        <v>12534.5</v>
      </c>
    </row>
    <row r="108" spans="1:4" x14ac:dyDescent="0.2">
      <c r="A108" s="124" t="s">
        <v>82</v>
      </c>
      <c r="B108" s="133">
        <v>8.99</v>
      </c>
      <c r="C108" s="131">
        <v>1145.4545454545453</v>
      </c>
      <c r="D108" s="16">
        <v>10297.636363636362</v>
      </c>
    </row>
    <row r="109" spans="1:4" x14ac:dyDescent="0.2">
      <c r="A109" s="124" t="s">
        <v>511</v>
      </c>
      <c r="B109" s="127">
        <v>28.31</v>
      </c>
      <c r="C109" s="126">
        <v>1139.1960784313726</v>
      </c>
      <c r="D109" s="16">
        <v>32250.640980392156</v>
      </c>
    </row>
    <row r="110" spans="1:4" x14ac:dyDescent="0.2">
      <c r="A110" s="124" t="s">
        <v>428</v>
      </c>
      <c r="B110" s="127">
        <v>5.2</v>
      </c>
      <c r="C110" s="128">
        <v>1139</v>
      </c>
      <c r="D110" s="16">
        <v>5922.8</v>
      </c>
    </row>
    <row r="111" spans="1:4" x14ac:dyDescent="0.15">
      <c r="A111" s="129" t="s">
        <v>114</v>
      </c>
      <c r="B111" s="130">
        <v>7.99</v>
      </c>
      <c r="C111" s="126">
        <v>1132.3636363636363</v>
      </c>
      <c r="D111" s="16">
        <v>9047.5854545454531</v>
      </c>
    </row>
    <row r="112" spans="1:4" x14ac:dyDescent="0.2">
      <c r="A112" s="124" t="s">
        <v>158</v>
      </c>
      <c r="B112" s="127">
        <v>5.26</v>
      </c>
      <c r="C112" s="131">
        <v>1121</v>
      </c>
      <c r="D112" s="16">
        <v>5896.46</v>
      </c>
    </row>
    <row r="113" spans="1:4" x14ac:dyDescent="0.2">
      <c r="A113" s="124" t="s">
        <v>229</v>
      </c>
      <c r="B113" s="127">
        <v>10.42</v>
      </c>
      <c r="C113" s="126">
        <v>1119.3157894736842</v>
      </c>
      <c r="D113" s="55">
        <v>11663.27052631579</v>
      </c>
    </row>
    <row r="114" spans="1:4" x14ac:dyDescent="0.15">
      <c r="A114" s="129" t="s">
        <v>181</v>
      </c>
      <c r="B114" s="130">
        <v>5.19</v>
      </c>
      <c r="C114" s="131">
        <v>1092</v>
      </c>
      <c r="D114" s="16">
        <v>5667.4800000000005</v>
      </c>
    </row>
    <row r="115" spans="1:4" x14ac:dyDescent="0.2">
      <c r="A115" s="124" t="s">
        <v>600</v>
      </c>
      <c r="B115" s="127">
        <v>16.43</v>
      </c>
      <c r="C115" s="126">
        <v>1066.1428571428573</v>
      </c>
      <c r="D115" s="55">
        <v>17516.727142857148</v>
      </c>
    </row>
    <row r="116" spans="1:4" x14ac:dyDescent="0.2">
      <c r="A116" s="124" t="s">
        <v>41</v>
      </c>
      <c r="B116" s="127">
        <v>5.14</v>
      </c>
      <c r="C116" s="128">
        <v>1056</v>
      </c>
      <c r="D116" s="55">
        <v>5427.8399999999992</v>
      </c>
    </row>
    <row r="117" spans="1:4" x14ac:dyDescent="0.15">
      <c r="A117" s="129" t="s">
        <v>101</v>
      </c>
      <c r="B117" s="130">
        <v>6.09</v>
      </c>
      <c r="C117" s="126">
        <v>1053.3333333333333</v>
      </c>
      <c r="D117" s="16">
        <v>6414.7999999999993</v>
      </c>
    </row>
    <row r="118" spans="1:4" x14ac:dyDescent="0.2">
      <c r="A118" s="124" t="s">
        <v>609</v>
      </c>
      <c r="B118" s="127">
        <v>404.16</v>
      </c>
      <c r="C118" s="126">
        <v>1050</v>
      </c>
      <c r="D118" s="55">
        <v>424368</v>
      </c>
    </row>
    <row r="119" spans="1:4" x14ac:dyDescent="0.15">
      <c r="A119" s="129" t="s">
        <v>118</v>
      </c>
      <c r="B119" s="130">
        <v>4.9800000000000004</v>
      </c>
      <c r="C119" s="126">
        <v>1038</v>
      </c>
      <c r="D119" s="16">
        <v>5169.2400000000007</v>
      </c>
    </row>
    <row r="120" spans="1:4" x14ac:dyDescent="0.2">
      <c r="A120" s="124" t="s">
        <v>521</v>
      </c>
      <c r="B120" s="127">
        <v>5.24</v>
      </c>
      <c r="C120" s="128">
        <v>1022.5</v>
      </c>
      <c r="D120" s="16">
        <v>5357.9000000000005</v>
      </c>
    </row>
    <row r="121" spans="1:4" x14ac:dyDescent="0.2">
      <c r="A121" s="124" t="s">
        <v>172</v>
      </c>
      <c r="B121" s="127">
        <v>25.39</v>
      </c>
      <c r="C121" s="131">
        <v>1006.25</v>
      </c>
      <c r="D121" s="16">
        <v>25548.6875</v>
      </c>
    </row>
    <row r="122" spans="1:4" x14ac:dyDescent="0.2">
      <c r="A122" s="53" t="s">
        <v>98</v>
      </c>
      <c r="B122" s="105">
        <v>9.09</v>
      </c>
      <c r="C122" s="97">
        <v>992.85714285714289</v>
      </c>
      <c r="D122" s="16">
        <v>9025.0714285714294</v>
      </c>
    </row>
    <row r="123" spans="1:4" x14ac:dyDescent="0.2">
      <c r="A123" s="53" t="s">
        <v>171</v>
      </c>
      <c r="B123" s="105">
        <v>13.49</v>
      </c>
      <c r="C123" s="97">
        <v>986.36363636363626</v>
      </c>
      <c r="D123" s="16">
        <v>13306.045454545454</v>
      </c>
    </row>
    <row r="124" spans="1:4" x14ac:dyDescent="0.2">
      <c r="A124" s="53" t="s">
        <v>222</v>
      </c>
      <c r="B124" s="106">
        <v>9.92</v>
      </c>
      <c r="C124" s="98">
        <v>983.33333333333337</v>
      </c>
      <c r="D124" s="55">
        <v>9754.6666666666679</v>
      </c>
    </row>
    <row r="125" spans="1:4" x14ac:dyDescent="0.15">
      <c r="A125" s="57" t="s">
        <v>71</v>
      </c>
      <c r="B125" s="108">
        <v>7.28</v>
      </c>
      <c r="C125" s="97">
        <v>970</v>
      </c>
      <c r="D125" s="16">
        <v>7061.6</v>
      </c>
    </row>
    <row r="126" spans="1:4" x14ac:dyDescent="0.15">
      <c r="A126" s="57" t="s">
        <v>786</v>
      </c>
      <c r="B126" s="107">
        <v>8.9</v>
      </c>
      <c r="C126" s="98">
        <v>966.5</v>
      </c>
      <c r="D126" s="55">
        <v>8601.85</v>
      </c>
    </row>
    <row r="127" spans="1:4" x14ac:dyDescent="0.2">
      <c r="A127" s="53" t="s">
        <v>67</v>
      </c>
      <c r="B127" s="105">
        <v>5.26</v>
      </c>
      <c r="C127" s="97">
        <v>959</v>
      </c>
      <c r="D127" s="16">
        <v>5044.34</v>
      </c>
    </row>
    <row r="128" spans="1:4" x14ac:dyDescent="0.2">
      <c r="A128" s="53" t="s">
        <v>184</v>
      </c>
      <c r="B128" s="106">
        <v>4.79</v>
      </c>
      <c r="C128" s="101">
        <v>947.75862068965523</v>
      </c>
      <c r="D128" s="16">
        <v>4539.7637931034487</v>
      </c>
    </row>
    <row r="129" spans="1:4" x14ac:dyDescent="0.2">
      <c r="A129" s="53" t="s">
        <v>773</v>
      </c>
      <c r="B129" s="106">
        <v>5.3</v>
      </c>
      <c r="C129" s="99">
        <v>944</v>
      </c>
      <c r="D129" s="16">
        <v>5003.2</v>
      </c>
    </row>
    <row r="130" spans="1:4" x14ac:dyDescent="0.15">
      <c r="A130" s="57" t="s">
        <v>704</v>
      </c>
      <c r="B130" s="111">
        <v>7.12</v>
      </c>
      <c r="C130" s="99">
        <v>944</v>
      </c>
      <c r="D130" s="16">
        <v>6721.28</v>
      </c>
    </row>
    <row r="131" spans="1:4" x14ac:dyDescent="0.15">
      <c r="A131" s="20" t="s">
        <v>75</v>
      </c>
      <c r="B131" s="108">
        <v>87.2</v>
      </c>
      <c r="C131" s="97">
        <v>930.28571428571422</v>
      </c>
      <c r="D131" s="16">
        <v>81120.914285714287</v>
      </c>
    </row>
    <row r="132" spans="1:4" x14ac:dyDescent="0.2">
      <c r="A132" s="53" t="s">
        <v>97</v>
      </c>
      <c r="B132" s="105">
        <v>5.18</v>
      </c>
      <c r="C132" s="99">
        <v>928.57142857142867</v>
      </c>
      <c r="D132" s="16">
        <v>4810</v>
      </c>
    </row>
    <row r="133" spans="1:4" x14ac:dyDescent="0.15">
      <c r="A133" s="57" t="s">
        <v>223</v>
      </c>
      <c r="B133" s="107">
        <v>5.63</v>
      </c>
      <c r="C133" s="98">
        <v>925.11111111111109</v>
      </c>
      <c r="D133" s="55">
        <v>5208.3755555555554</v>
      </c>
    </row>
    <row r="134" spans="1:4" x14ac:dyDescent="0.2">
      <c r="A134" s="17" t="s">
        <v>233</v>
      </c>
      <c r="B134" s="105">
        <v>9.5</v>
      </c>
      <c r="C134" s="98">
        <v>925</v>
      </c>
      <c r="D134" s="55">
        <v>8787.5</v>
      </c>
    </row>
    <row r="135" spans="1:4" x14ac:dyDescent="0.2">
      <c r="A135" s="17" t="s">
        <v>481</v>
      </c>
      <c r="B135" s="105">
        <v>5.26</v>
      </c>
      <c r="C135" s="97">
        <v>920</v>
      </c>
      <c r="D135" s="16">
        <v>4839.2</v>
      </c>
    </row>
    <row r="136" spans="1:4" x14ac:dyDescent="0.15">
      <c r="A136" s="57" t="s">
        <v>180</v>
      </c>
      <c r="B136" s="108">
        <v>5.19</v>
      </c>
      <c r="C136" s="97">
        <v>912</v>
      </c>
      <c r="D136" s="16">
        <v>4733.2800000000007</v>
      </c>
    </row>
    <row r="137" spans="1:4" x14ac:dyDescent="0.2">
      <c r="A137" s="17" t="s">
        <v>28</v>
      </c>
      <c r="B137" s="104">
        <v>0.72</v>
      </c>
      <c r="C137" s="98">
        <v>907</v>
      </c>
      <c r="D137" s="55">
        <v>653.04</v>
      </c>
    </row>
    <row r="138" spans="1:4" x14ac:dyDescent="0.15">
      <c r="A138" s="57" t="s">
        <v>214</v>
      </c>
      <c r="B138" s="107">
        <v>14.07</v>
      </c>
      <c r="C138" s="97">
        <v>900</v>
      </c>
      <c r="D138" s="16">
        <v>12663</v>
      </c>
    </row>
    <row r="139" spans="1:4" x14ac:dyDescent="0.15">
      <c r="A139" s="20" t="s">
        <v>245</v>
      </c>
      <c r="B139" s="108">
        <v>4.3099999999999996</v>
      </c>
      <c r="C139" s="98">
        <v>900</v>
      </c>
      <c r="D139" s="55">
        <v>3878.9999999999995</v>
      </c>
    </row>
    <row r="140" spans="1:4" x14ac:dyDescent="0.15">
      <c r="A140" s="57" t="s">
        <v>73</v>
      </c>
      <c r="B140" s="108">
        <v>4.96</v>
      </c>
      <c r="C140" s="97">
        <v>890.66666666666674</v>
      </c>
      <c r="D140" s="16">
        <v>4417.7066666666669</v>
      </c>
    </row>
    <row r="141" spans="1:4" x14ac:dyDescent="0.2">
      <c r="A141" s="53" t="s">
        <v>453</v>
      </c>
      <c r="B141" s="105">
        <v>72.8</v>
      </c>
      <c r="C141" s="99">
        <v>874.4545454545455</v>
      </c>
      <c r="D141" s="16">
        <v>63660.290909090909</v>
      </c>
    </row>
    <row r="142" spans="1:4" x14ac:dyDescent="0.2">
      <c r="A142" s="17" t="s">
        <v>159</v>
      </c>
      <c r="B142" s="105">
        <v>9</v>
      </c>
      <c r="C142" s="97">
        <v>865.42857142857144</v>
      </c>
      <c r="D142" s="16">
        <v>7788.8571428571431</v>
      </c>
    </row>
    <row r="143" spans="1:4" x14ac:dyDescent="0.2">
      <c r="A143" s="53" t="s">
        <v>107</v>
      </c>
      <c r="B143" s="105">
        <v>27.27</v>
      </c>
      <c r="C143" s="99">
        <v>858</v>
      </c>
      <c r="D143" s="16">
        <v>23397.66</v>
      </c>
    </row>
    <row r="144" spans="1:4" x14ac:dyDescent="0.2">
      <c r="A144" s="53" t="s">
        <v>778</v>
      </c>
      <c r="B144" s="110">
        <v>10.93</v>
      </c>
      <c r="C144" s="98">
        <v>851.85185185185185</v>
      </c>
      <c r="D144" s="55">
        <v>9310.7407407407409</v>
      </c>
    </row>
    <row r="145" spans="1:4" x14ac:dyDescent="0.2">
      <c r="A145" s="53" t="s">
        <v>489</v>
      </c>
      <c r="B145" s="106">
        <v>42.14</v>
      </c>
      <c r="C145" s="97">
        <v>840.42857142857144</v>
      </c>
      <c r="D145" s="16">
        <v>35415.660000000003</v>
      </c>
    </row>
    <row r="146" spans="1:4" x14ac:dyDescent="0.2">
      <c r="A146" s="17" t="s">
        <v>232</v>
      </c>
      <c r="B146" s="109">
        <v>9.27</v>
      </c>
      <c r="C146" s="98">
        <v>820</v>
      </c>
      <c r="D146" s="55">
        <v>7601.4</v>
      </c>
    </row>
    <row r="147" spans="1:4" x14ac:dyDescent="0.2">
      <c r="A147" s="53" t="s">
        <v>777</v>
      </c>
      <c r="B147" s="106">
        <v>8.6999999999999993</v>
      </c>
      <c r="C147" s="99">
        <v>801.11111111111109</v>
      </c>
      <c r="D147" s="16">
        <v>6969.6666666666661</v>
      </c>
    </row>
    <row r="148" spans="1:4" x14ac:dyDescent="0.15">
      <c r="A148" s="57" t="s">
        <v>182</v>
      </c>
      <c r="B148" s="108">
        <v>5.44</v>
      </c>
      <c r="C148" s="97">
        <v>800.33333333333326</v>
      </c>
      <c r="D148" s="16">
        <v>4353.8133333333335</v>
      </c>
    </row>
    <row r="149" spans="1:4" x14ac:dyDescent="0.2">
      <c r="A149" s="17" t="s">
        <v>559</v>
      </c>
      <c r="B149" s="105">
        <v>44.8</v>
      </c>
      <c r="C149" s="97">
        <v>791.66666666666674</v>
      </c>
      <c r="D149" s="16">
        <v>35466.666666666664</v>
      </c>
    </row>
    <row r="150" spans="1:4" x14ac:dyDescent="0.2">
      <c r="A150" s="53" t="s">
        <v>774</v>
      </c>
      <c r="B150" s="106">
        <v>8.7899999999999991</v>
      </c>
      <c r="C150" s="99">
        <v>780</v>
      </c>
      <c r="D150" s="16">
        <v>6856.1999999999989</v>
      </c>
    </row>
    <row r="151" spans="1:4" x14ac:dyDescent="0.15">
      <c r="A151" s="20" t="s">
        <v>135</v>
      </c>
      <c r="B151" s="108">
        <v>5.19</v>
      </c>
      <c r="C151" s="97">
        <v>775</v>
      </c>
      <c r="D151" s="16">
        <v>4022.2500000000005</v>
      </c>
    </row>
    <row r="152" spans="1:4" x14ac:dyDescent="0.2">
      <c r="A152" s="20" t="s">
        <v>471</v>
      </c>
      <c r="B152" s="108">
        <v>5.62</v>
      </c>
      <c r="C152" s="101">
        <v>767</v>
      </c>
      <c r="D152" s="55">
        <v>4310.54</v>
      </c>
    </row>
    <row r="153" spans="1:4" x14ac:dyDescent="0.15">
      <c r="A153" s="20" t="s">
        <v>499</v>
      </c>
      <c r="B153" s="108">
        <v>154.03</v>
      </c>
      <c r="C153" s="99">
        <v>763.5</v>
      </c>
      <c r="D153" s="16">
        <v>117601.905</v>
      </c>
    </row>
    <row r="154" spans="1:4" x14ac:dyDescent="0.2">
      <c r="A154" s="17" t="s">
        <v>56</v>
      </c>
      <c r="B154" s="105">
        <v>36.24</v>
      </c>
      <c r="C154" s="101">
        <v>756</v>
      </c>
      <c r="D154" s="55">
        <v>27397.440000000002</v>
      </c>
    </row>
    <row r="155" spans="1:4" x14ac:dyDescent="0.2">
      <c r="A155" s="53" t="s">
        <v>603</v>
      </c>
      <c r="B155" s="105">
        <v>357.42</v>
      </c>
      <c r="C155" s="97">
        <v>755.55555555555554</v>
      </c>
      <c r="D155" s="16">
        <v>270050.66666666669</v>
      </c>
    </row>
    <row r="156" spans="1:4" x14ac:dyDescent="0.2">
      <c r="A156" s="17" t="s">
        <v>69</v>
      </c>
      <c r="B156" s="105">
        <v>5.44</v>
      </c>
      <c r="C156" s="97">
        <v>752.1052631578948</v>
      </c>
      <c r="D156" s="16">
        <v>4091.4526315789481</v>
      </c>
    </row>
    <row r="157" spans="1:4" x14ac:dyDescent="0.2">
      <c r="A157" s="53" t="s">
        <v>226</v>
      </c>
      <c r="B157" s="106">
        <v>26.66</v>
      </c>
      <c r="C157" s="98">
        <v>740</v>
      </c>
      <c r="D157" s="55">
        <v>19728.400000000001</v>
      </c>
    </row>
    <row r="158" spans="1:4" x14ac:dyDescent="0.15">
      <c r="A158" s="20" t="s">
        <v>136</v>
      </c>
      <c r="B158" s="108">
        <v>7.13</v>
      </c>
      <c r="C158" s="97">
        <v>736</v>
      </c>
      <c r="D158" s="16">
        <v>5247.68</v>
      </c>
    </row>
    <row r="159" spans="1:4" x14ac:dyDescent="0.2">
      <c r="A159" s="53" t="s">
        <v>680</v>
      </c>
      <c r="B159" s="104">
        <v>6.36</v>
      </c>
      <c r="C159" s="98">
        <v>730</v>
      </c>
      <c r="D159" s="55">
        <v>4642.8</v>
      </c>
    </row>
    <row r="160" spans="1:4" x14ac:dyDescent="0.2">
      <c r="A160" s="53" t="s">
        <v>717</v>
      </c>
      <c r="B160" s="106">
        <v>8.9</v>
      </c>
      <c r="C160" s="97">
        <v>723.07692307692309</v>
      </c>
      <c r="D160" s="16">
        <v>6435.3846153846162</v>
      </c>
    </row>
    <row r="161" spans="1:4" x14ac:dyDescent="0.2">
      <c r="A161" s="17" t="s">
        <v>234</v>
      </c>
      <c r="B161" s="105">
        <v>18.2</v>
      </c>
      <c r="C161" s="98">
        <v>716.66666666666674</v>
      </c>
      <c r="D161" s="55">
        <v>13043.333333333334</v>
      </c>
    </row>
    <row r="162" spans="1:4" x14ac:dyDescent="0.2">
      <c r="A162" s="53" t="s">
        <v>615</v>
      </c>
      <c r="B162" s="106">
        <v>9.1</v>
      </c>
      <c r="C162" s="98">
        <v>700</v>
      </c>
      <c r="D162" s="55">
        <v>6370</v>
      </c>
    </row>
    <row r="163" spans="1:4" x14ac:dyDescent="0.15">
      <c r="A163" s="57" t="s">
        <v>235</v>
      </c>
      <c r="B163" s="107">
        <v>32.799999999999997</v>
      </c>
      <c r="C163" s="98">
        <v>685.7037037037037</v>
      </c>
      <c r="D163" s="55">
        <v>22491.08148148148</v>
      </c>
    </row>
    <row r="164" spans="1:4" x14ac:dyDescent="0.2">
      <c r="A164" s="17" t="s">
        <v>588</v>
      </c>
      <c r="B164" s="109">
        <v>8.2799999999999994</v>
      </c>
      <c r="C164" s="101">
        <v>676.33333333333337</v>
      </c>
      <c r="D164" s="16">
        <v>5600.04</v>
      </c>
    </row>
    <row r="165" spans="1:4" x14ac:dyDescent="0.15">
      <c r="A165" s="20" t="s">
        <v>498</v>
      </c>
      <c r="B165" s="108">
        <v>93.22</v>
      </c>
      <c r="C165" s="99">
        <v>675</v>
      </c>
      <c r="D165" s="16">
        <v>62923.5</v>
      </c>
    </row>
    <row r="166" spans="1:4" x14ac:dyDescent="0.2">
      <c r="A166" s="53" t="s">
        <v>852</v>
      </c>
      <c r="B166" s="106">
        <v>5.44</v>
      </c>
      <c r="C166" s="101">
        <v>674</v>
      </c>
      <c r="D166" s="16">
        <v>3666.5600000000004</v>
      </c>
    </row>
    <row r="167" spans="1:4" x14ac:dyDescent="0.15">
      <c r="A167" s="20" t="s">
        <v>508</v>
      </c>
      <c r="B167" s="108">
        <v>101.4</v>
      </c>
      <c r="C167" s="99">
        <v>673</v>
      </c>
      <c r="D167" s="16">
        <v>68242.2</v>
      </c>
    </row>
    <row r="168" spans="1:4" x14ac:dyDescent="0.2">
      <c r="A168" s="53" t="s">
        <v>557</v>
      </c>
      <c r="B168" s="105">
        <v>4.84</v>
      </c>
      <c r="C168" s="97">
        <v>672.72727272727263</v>
      </c>
      <c r="D168" s="16">
        <v>3255.9999999999995</v>
      </c>
    </row>
    <row r="169" spans="1:4" x14ac:dyDescent="0.2">
      <c r="A169" s="53" t="s">
        <v>96</v>
      </c>
      <c r="B169" s="105">
        <v>9.09</v>
      </c>
      <c r="C169" s="99">
        <v>669.23076923076928</v>
      </c>
      <c r="D169" s="16">
        <v>6083.3076923076924</v>
      </c>
    </row>
    <row r="170" spans="1:4" x14ac:dyDescent="0.2">
      <c r="A170" s="17" t="s">
        <v>80</v>
      </c>
      <c r="B170" s="105">
        <v>371.36</v>
      </c>
      <c r="C170" s="99">
        <v>666.66666666666663</v>
      </c>
      <c r="D170" s="16">
        <v>247573.33333333331</v>
      </c>
    </row>
    <row r="171" spans="1:4" x14ac:dyDescent="0.2">
      <c r="A171" s="53" t="s">
        <v>486</v>
      </c>
      <c r="B171" s="105">
        <v>8.16</v>
      </c>
      <c r="C171" s="97">
        <v>666.66666666666663</v>
      </c>
      <c r="D171" s="16">
        <v>5440</v>
      </c>
    </row>
    <row r="172" spans="1:4" x14ac:dyDescent="0.2">
      <c r="A172" s="57" t="s">
        <v>173</v>
      </c>
      <c r="B172" s="107">
        <v>33.04</v>
      </c>
      <c r="C172" s="100">
        <v>655.72727272727275</v>
      </c>
      <c r="D172" s="55">
        <v>21665.229090909092</v>
      </c>
    </row>
    <row r="173" spans="1:4" x14ac:dyDescent="0.15">
      <c r="A173" s="20" t="s">
        <v>220</v>
      </c>
      <c r="B173" s="108">
        <v>6.47</v>
      </c>
      <c r="C173" s="98">
        <v>654.78260869565224</v>
      </c>
      <c r="D173" s="55">
        <v>4236.4434782608696</v>
      </c>
    </row>
    <row r="174" spans="1:4" x14ac:dyDescent="0.2">
      <c r="A174" s="20" t="s">
        <v>44</v>
      </c>
      <c r="B174" s="108">
        <v>5.6</v>
      </c>
      <c r="C174" s="101">
        <v>654</v>
      </c>
      <c r="D174" s="55">
        <v>3662.3999999999996</v>
      </c>
    </row>
    <row r="175" spans="1:4" x14ac:dyDescent="0.15">
      <c r="A175" s="20" t="s">
        <v>22</v>
      </c>
      <c r="B175" s="112">
        <v>6.5</v>
      </c>
      <c r="C175" s="98">
        <v>652</v>
      </c>
      <c r="D175" s="55">
        <v>4238</v>
      </c>
    </row>
    <row r="176" spans="1:4" x14ac:dyDescent="0.2">
      <c r="A176" s="53" t="s">
        <v>608</v>
      </c>
      <c r="B176" s="106">
        <v>211.58</v>
      </c>
      <c r="C176" s="98">
        <v>647.55555555555554</v>
      </c>
      <c r="D176" s="55">
        <v>137009.80444444445</v>
      </c>
    </row>
    <row r="177" spans="1:4" x14ac:dyDescent="0.2">
      <c r="A177" s="17" t="s">
        <v>60</v>
      </c>
      <c r="B177" s="105">
        <v>30.84</v>
      </c>
      <c r="C177" s="101">
        <v>636</v>
      </c>
      <c r="D177" s="55">
        <v>19614.240000000002</v>
      </c>
    </row>
    <row r="178" spans="1:4" x14ac:dyDescent="0.2">
      <c r="A178" s="53" t="s">
        <v>497</v>
      </c>
      <c r="B178" s="105">
        <v>5.36</v>
      </c>
      <c r="C178" s="97">
        <v>622.22222222222217</v>
      </c>
      <c r="D178" s="16">
        <v>3335.1111111111109</v>
      </c>
    </row>
    <row r="179" spans="1:4" x14ac:dyDescent="0.15">
      <c r="A179" s="57" t="s">
        <v>147</v>
      </c>
      <c r="B179" s="108">
        <v>17.43</v>
      </c>
      <c r="C179" s="97">
        <v>612.5</v>
      </c>
      <c r="D179" s="16">
        <v>10675.875</v>
      </c>
    </row>
    <row r="180" spans="1:4" x14ac:dyDescent="0.2">
      <c r="A180" s="17" t="s">
        <v>205</v>
      </c>
      <c r="B180" s="105">
        <v>8.75</v>
      </c>
      <c r="C180" s="100">
        <v>610.18181818181824</v>
      </c>
      <c r="D180" s="55">
        <v>5339.0909090909099</v>
      </c>
    </row>
    <row r="181" spans="1:4" x14ac:dyDescent="0.2">
      <c r="A181" s="20" t="s">
        <v>585</v>
      </c>
      <c r="B181" s="111">
        <v>4.93</v>
      </c>
      <c r="C181" s="101">
        <v>607.69230769230762</v>
      </c>
      <c r="D181" s="16">
        <v>2995.9230769230762</v>
      </c>
    </row>
    <row r="182" spans="1:4" x14ac:dyDescent="0.2">
      <c r="A182" s="24" t="s">
        <v>874</v>
      </c>
      <c r="B182" s="104">
        <v>20.18</v>
      </c>
      <c r="C182" s="98">
        <v>604</v>
      </c>
      <c r="D182" s="55">
        <v>12188.72</v>
      </c>
    </row>
    <row r="183" spans="1:4" x14ac:dyDescent="0.2">
      <c r="A183" s="53" t="s">
        <v>106</v>
      </c>
      <c r="B183" s="105">
        <v>97.24</v>
      </c>
      <c r="C183" s="97">
        <v>600</v>
      </c>
      <c r="D183" s="16">
        <v>58344</v>
      </c>
    </row>
    <row r="184" spans="1:4" x14ac:dyDescent="0.15">
      <c r="A184" s="57" t="s">
        <v>154</v>
      </c>
      <c r="B184" s="108">
        <v>24.3</v>
      </c>
      <c r="C184" s="97">
        <v>600</v>
      </c>
      <c r="D184" s="16">
        <v>14580</v>
      </c>
    </row>
    <row r="185" spans="1:4" x14ac:dyDescent="0.2">
      <c r="A185" s="53" t="s">
        <v>708</v>
      </c>
      <c r="B185" s="105">
        <v>16.79</v>
      </c>
      <c r="C185" s="99">
        <v>580.22222222222217</v>
      </c>
      <c r="D185" s="16">
        <v>9741.9311111111092</v>
      </c>
    </row>
    <row r="186" spans="1:4" x14ac:dyDescent="0.2">
      <c r="A186" s="17" t="s">
        <v>163</v>
      </c>
      <c r="B186" s="105">
        <v>9.5</v>
      </c>
      <c r="C186" s="97">
        <v>570</v>
      </c>
      <c r="D186" s="16">
        <v>5415</v>
      </c>
    </row>
    <row r="187" spans="1:4" x14ac:dyDescent="0.2">
      <c r="A187" s="17" t="s">
        <v>164</v>
      </c>
      <c r="B187" s="105">
        <v>13.15</v>
      </c>
      <c r="C187" s="97">
        <v>570</v>
      </c>
      <c r="D187" s="16">
        <v>7495.5</v>
      </c>
    </row>
    <row r="188" spans="1:4" x14ac:dyDescent="0.2">
      <c r="A188" s="17" t="s">
        <v>475</v>
      </c>
      <c r="B188" s="84">
        <v>5.79</v>
      </c>
      <c r="C188" s="98">
        <v>557</v>
      </c>
      <c r="D188" s="55">
        <v>3225.03</v>
      </c>
    </row>
    <row r="189" spans="1:4" x14ac:dyDescent="0.2">
      <c r="A189" s="53" t="s">
        <v>170</v>
      </c>
      <c r="B189" s="105">
        <v>8.9</v>
      </c>
      <c r="C189" s="97">
        <v>555.55555555555554</v>
      </c>
      <c r="D189" s="16">
        <v>4944.4444444444443</v>
      </c>
    </row>
    <row r="190" spans="1:4" x14ac:dyDescent="0.2">
      <c r="A190" s="53" t="s">
        <v>591</v>
      </c>
      <c r="B190" s="109">
        <v>11.31</v>
      </c>
      <c r="C190" s="97">
        <v>555.55555555555554</v>
      </c>
      <c r="D190" s="16">
        <v>6283.333333333333</v>
      </c>
    </row>
    <row r="191" spans="1:4" x14ac:dyDescent="0.15">
      <c r="A191" s="57" t="s">
        <v>81</v>
      </c>
      <c r="B191" s="108">
        <v>7.9</v>
      </c>
      <c r="C191" s="97">
        <v>543.33333333333326</v>
      </c>
      <c r="D191" s="16">
        <v>4292.333333333333</v>
      </c>
    </row>
    <row r="192" spans="1:4" x14ac:dyDescent="0.2">
      <c r="A192" s="53" t="s">
        <v>212</v>
      </c>
      <c r="B192" s="105">
        <v>7.03</v>
      </c>
      <c r="C192" s="97">
        <v>536.84210526315792</v>
      </c>
      <c r="D192" s="16">
        <v>3774.0000000000005</v>
      </c>
    </row>
    <row r="193" spans="1:4" x14ac:dyDescent="0.2">
      <c r="A193" s="17" t="s">
        <v>36</v>
      </c>
      <c r="B193" s="104">
        <v>0.66</v>
      </c>
      <c r="C193" s="98">
        <v>531</v>
      </c>
      <c r="D193" s="55">
        <v>350.46000000000004</v>
      </c>
    </row>
    <row r="194" spans="1:4" x14ac:dyDescent="0.15">
      <c r="A194" s="57" t="s">
        <v>564</v>
      </c>
      <c r="B194" s="108">
        <v>7.9</v>
      </c>
      <c r="C194" s="97">
        <v>525</v>
      </c>
      <c r="D194" s="16">
        <v>4147.5</v>
      </c>
    </row>
    <row r="195" spans="1:4" x14ac:dyDescent="0.15">
      <c r="A195" s="57" t="s">
        <v>685</v>
      </c>
      <c r="B195" s="112">
        <v>9.02</v>
      </c>
      <c r="C195" s="98">
        <v>523</v>
      </c>
      <c r="D195" s="55">
        <v>4717.46</v>
      </c>
    </row>
    <row r="196" spans="1:4" x14ac:dyDescent="0.15">
      <c r="A196" s="57" t="s">
        <v>692</v>
      </c>
      <c r="B196" s="112">
        <v>13.21</v>
      </c>
      <c r="C196" s="98">
        <v>519</v>
      </c>
      <c r="D196" s="55">
        <v>6855.9900000000007</v>
      </c>
    </row>
    <row r="197" spans="1:4" x14ac:dyDescent="0.2">
      <c r="A197" s="17" t="s">
        <v>593</v>
      </c>
      <c r="B197" s="105">
        <v>126.71</v>
      </c>
      <c r="C197" s="98">
        <v>516</v>
      </c>
      <c r="D197" s="55">
        <v>65382.359999999993</v>
      </c>
    </row>
    <row r="198" spans="1:4" x14ac:dyDescent="0.2">
      <c r="A198" s="17" t="s">
        <v>57</v>
      </c>
      <c r="B198" s="105">
        <v>31.06</v>
      </c>
      <c r="C198" s="101">
        <v>510</v>
      </c>
      <c r="D198" s="55">
        <v>15840.599999999999</v>
      </c>
    </row>
    <row r="199" spans="1:4" x14ac:dyDescent="0.15">
      <c r="A199" s="57" t="s">
        <v>841</v>
      </c>
      <c r="B199" s="107">
        <v>14.26</v>
      </c>
      <c r="C199" s="97">
        <v>510</v>
      </c>
      <c r="D199" s="16">
        <v>7272.5999999999995</v>
      </c>
    </row>
    <row r="200" spans="1:4" x14ac:dyDescent="0.15">
      <c r="A200" s="57" t="s">
        <v>215</v>
      </c>
      <c r="B200" s="107">
        <v>17</v>
      </c>
      <c r="C200" s="98">
        <v>507.44444444444446</v>
      </c>
      <c r="D200" s="55">
        <v>8626.5555555555566</v>
      </c>
    </row>
    <row r="201" spans="1:4" x14ac:dyDescent="0.2">
      <c r="A201" s="53" t="s">
        <v>829</v>
      </c>
      <c r="B201" s="105">
        <v>8.6999999999999993</v>
      </c>
      <c r="C201" s="101">
        <v>502.5</v>
      </c>
      <c r="D201" s="16">
        <v>4371.75</v>
      </c>
    </row>
    <row r="202" spans="1:4" x14ac:dyDescent="0.15">
      <c r="A202" s="57" t="s">
        <v>772</v>
      </c>
      <c r="B202" s="107">
        <v>119.37</v>
      </c>
      <c r="C202" s="98">
        <v>500</v>
      </c>
      <c r="D202" s="55">
        <v>59685</v>
      </c>
    </row>
    <row r="203" spans="1:4" x14ac:dyDescent="0.2">
      <c r="A203" s="53" t="s">
        <v>219</v>
      </c>
      <c r="B203" s="106">
        <v>8.4700000000000006</v>
      </c>
      <c r="C203" s="98">
        <v>496</v>
      </c>
      <c r="D203" s="55">
        <v>4201.12</v>
      </c>
    </row>
    <row r="204" spans="1:4" x14ac:dyDescent="0.15">
      <c r="A204" s="20" t="s">
        <v>117</v>
      </c>
      <c r="B204" s="108">
        <v>4.83</v>
      </c>
      <c r="C204" s="99">
        <v>490</v>
      </c>
      <c r="D204" s="16">
        <v>2366.6999999999998</v>
      </c>
    </row>
    <row r="205" spans="1:4" x14ac:dyDescent="0.2">
      <c r="A205" s="17" t="s">
        <v>290</v>
      </c>
      <c r="B205" s="105">
        <v>2.94</v>
      </c>
      <c r="C205" s="97">
        <v>490</v>
      </c>
      <c r="D205" s="16">
        <v>1440.6</v>
      </c>
    </row>
    <row r="206" spans="1:4" x14ac:dyDescent="0.2">
      <c r="A206" s="17" t="s">
        <v>34</v>
      </c>
      <c r="B206" s="104">
        <v>0.81</v>
      </c>
      <c r="C206" s="98">
        <v>490</v>
      </c>
      <c r="D206" s="55">
        <v>396.90000000000003</v>
      </c>
    </row>
    <row r="207" spans="1:4" x14ac:dyDescent="0.2">
      <c r="A207" s="53" t="s">
        <v>89</v>
      </c>
      <c r="B207" s="105">
        <v>14.7</v>
      </c>
      <c r="C207" s="97">
        <v>483.33333333333337</v>
      </c>
      <c r="D207" s="16">
        <v>7105</v>
      </c>
    </row>
    <row r="208" spans="1:4" x14ac:dyDescent="0.2">
      <c r="A208" s="53" t="s">
        <v>828</v>
      </c>
      <c r="B208" s="109">
        <v>5.19</v>
      </c>
      <c r="C208" s="97">
        <v>480</v>
      </c>
      <c r="D208" s="16">
        <v>2491.2000000000003</v>
      </c>
    </row>
    <row r="209" spans="1:4" x14ac:dyDescent="0.2">
      <c r="A209" s="17" t="s">
        <v>738</v>
      </c>
      <c r="B209" s="105">
        <v>143.27000000000001</v>
      </c>
      <c r="C209" s="98">
        <v>476</v>
      </c>
      <c r="D209" s="55">
        <v>68196.52</v>
      </c>
    </row>
    <row r="210" spans="1:4" x14ac:dyDescent="0.2">
      <c r="A210" s="17" t="s">
        <v>456</v>
      </c>
      <c r="B210" s="109">
        <v>5.94</v>
      </c>
      <c r="C210" s="98">
        <v>476</v>
      </c>
      <c r="D210" s="55">
        <v>2827.44</v>
      </c>
    </row>
    <row r="211" spans="1:4" x14ac:dyDescent="0.2">
      <c r="A211" s="17" t="s">
        <v>78</v>
      </c>
      <c r="B211" s="105">
        <v>11.35</v>
      </c>
      <c r="C211" s="99">
        <v>469</v>
      </c>
      <c r="D211" s="16">
        <v>5323.15</v>
      </c>
    </row>
    <row r="212" spans="1:4" x14ac:dyDescent="0.15">
      <c r="A212" s="57" t="s">
        <v>601</v>
      </c>
      <c r="B212" s="107">
        <v>26.72</v>
      </c>
      <c r="C212" s="98">
        <v>468</v>
      </c>
      <c r="D212" s="55">
        <v>12504.96</v>
      </c>
    </row>
    <row r="213" spans="1:4" x14ac:dyDescent="0.2">
      <c r="A213" s="53" t="s">
        <v>490</v>
      </c>
      <c r="B213" s="106">
        <v>71.25</v>
      </c>
      <c r="C213" s="97">
        <v>461.80645161290323</v>
      </c>
      <c r="D213" s="16">
        <v>32903.709677419356</v>
      </c>
    </row>
    <row r="214" spans="1:4" x14ac:dyDescent="0.15">
      <c r="A214" s="57" t="s">
        <v>583</v>
      </c>
      <c r="B214" s="108">
        <v>8.08</v>
      </c>
      <c r="C214" s="97">
        <v>460</v>
      </c>
      <c r="D214" s="16">
        <v>3716.8</v>
      </c>
    </row>
    <row r="215" spans="1:4" x14ac:dyDescent="0.2">
      <c r="A215" s="17" t="s">
        <v>565</v>
      </c>
      <c r="B215" s="105">
        <v>143.87</v>
      </c>
      <c r="C215" s="97">
        <v>459.25</v>
      </c>
      <c r="D215" s="16">
        <v>66072.297500000001</v>
      </c>
    </row>
    <row r="216" spans="1:4" x14ac:dyDescent="0.2">
      <c r="A216" s="17" t="s">
        <v>61</v>
      </c>
      <c r="B216" s="105">
        <v>22.72</v>
      </c>
      <c r="C216" s="101">
        <v>454</v>
      </c>
      <c r="D216" s="55">
        <v>10314.879999999999</v>
      </c>
    </row>
    <row r="217" spans="1:4" x14ac:dyDescent="0.2">
      <c r="A217" s="53" t="s">
        <v>711</v>
      </c>
      <c r="B217" s="105">
        <v>27.5</v>
      </c>
      <c r="C217" s="99">
        <v>450.58823529411768</v>
      </c>
      <c r="D217" s="16">
        <v>12391.176470588236</v>
      </c>
    </row>
    <row r="218" spans="1:4" x14ac:dyDescent="0.2">
      <c r="A218" s="17" t="s">
        <v>130</v>
      </c>
      <c r="B218" s="105">
        <v>86.09</v>
      </c>
      <c r="C218" s="99">
        <v>450</v>
      </c>
      <c r="D218" s="16">
        <v>38740.5</v>
      </c>
    </row>
    <row r="219" spans="1:4" x14ac:dyDescent="0.2">
      <c r="A219" s="63" t="s">
        <v>23</v>
      </c>
      <c r="B219" s="113">
        <v>10.7</v>
      </c>
      <c r="C219" s="98">
        <v>426</v>
      </c>
      <c r="D219" s="55">
        <v>4558.2</v>
      </c>
    </row>
    <row r="220" spans="1:4" x14ac:dyDescent="0.2">
      <c r="A220" s="17" t="s">
        <v>64</v>
      </c>
      <c r="B220" s="105">
        <v>45.43</v>
      </c>
      <c r="C220" s="101">
        <v>423</v>
      </c>
      <c r="D220" s="55">
        <v>19216.89</v>
      </c>
    </row>
    <row r="221" spans="1:4" x14ac:dyDescent="0.2">
      <c r="A221" s="53" t="s">
        <v>669</v>
      </c>
      <c r="B221" s="106">
        <v>130</v>
      </c>
      <c r="C221" s="98">
        <v>420</v>
      </c>
      <c r="D221" s="16">
        <v>54600</v>
      </c>
    </row>
    <row r="222" spans="1:4" x14ac:dyDescent="0.2">
      <c r="A222" s="53" t="s">
        <v>485</v>
      </c>
      <c r="B222" s="105">
        <v>8.64</v>
      </c>
      <c r="C222" s="97">
        <v>410</v>
      </c>
      <c r="D222" s="16">
        <v>3542.4</v>
      </c>
    </row>
    <row r="223" spans="1:4" x14ac:dyDescent="0.2">
      <c r="A223" s="17" t="s">
        <v>425</v>
      </c>
      <c r="B223" s="105">
        <v>5.79</v>
      </c>
      <c r="C223" s="97">
        <v>404.22222222222223</v>
      </c>
      <c r="D223" s="16">
        <v>2340.4466666666667</v>
      </c>
    </row>
    <row r="224" spans="1:4" x14ac:dyDescent="0.15">
      <c r="A224" s="20" t="s">
        <v>108</v>
      </c>
      <c r="B224" s="108">
        <v>32.03</v>
      </c>
      <c r="C224" s="99">
        <v>401</v>
      </c>
      <c r="D224" s="16">
        <v>12844.03</v>
      </c>
    </row>
    <row r="225" spans="1:4" x14ac:dyDescent="0.2">
      <c r="A225" s="17" t="s">
        <v>123</v>
      </c>
      <c r="B225" s="109">
        <v>8.99</v>
      </c>
      <c r="C225" s="99">
        <v>400.69230769230768</v>
      </c>
      <c r="D225" s="16">
        <v>3602.2238461538459</v>
      </c>
    </row>
    <row r="226" spans="1:4" x14ac:dyDescent="0.2">
      <c r="A226" s="53" t="s">
        <v>761</v>
      </c>
      <c r="B226" s="105">
        <v>6.26</v>
      </c>
      <c r="C226" s="97">
        <v>400</v>
      </c>
      <c r="D226" s="16">
        <v>2504</v>
      </c>
    </row>
    <row r="227" spans="1:4" x14ac:dyDescent="0.15">
      <c r="A227" s="57" t="s">
        <v>684</v>
      </c>
      <c r="B227" s="112">
        <v>6.5</v>
      </c>
      <c r="C227" s="98">
        <v>400</v>
      </c>
      <c r="D227" s="55">
        <v>2600</v>
      </c>
    </row>
    <row r="228" spans="1:4" x14ac:dyDescent="0.2">
      <c r="A228" s="53" t="s">
        <v>736</v>
      </c>
      <c r="B228" s="106">
        <v>26.75</v>
      </c>
      <c r="C228" s="97">
        <v>396.57142857142856</v>
      </c>
      <c r="D228" s="16">
        <v>10608.285714285714</v>
      </c>
    </row>
    <row r="229" spans="1:4" x14ac:dyDescent="0.2">
      <c r="A229" s="17" t="s">
        <v>152</v>
      </c>
      <c r="B229" s="105">
        <v>5.26</v>
      </c>
      <c r="C229" s="97">
        <v>395.6521739130435</v>
      </c>
      <c r="D229" s="16">
        <v>2081.1304347826085</v>
      </c>
    </row>
    <row r="230" spans="1:4" x14ac:dyDescent="0.2">
      <c r="A230" s="30" t="s">
        <v>833</v>
      </c>
      <c r="B230" s="105">
        <v>45.75</v>
      </c>
      <c r="C230" s="97">
        <v>392</v>
      </c>
      <c r="D230" s="16">
        <v>17934</v>
      </c>
    </row>
    <row r="231" spans="1:4" x14ac:dyDescent="0.2">
      <c r="A231" s="17" t="s">
        <v>169</v>
      </c>
      <c r="B231" s="105">
        <v>5.18</v>
      </c>
      <c r="C231" s="97">
        <v>388.33333333333337</v>
      </c>
      <c r="D231" s="16">
        <v>2011.5666666666668</v>
      </c>
    </row>
    <row r="232" spans="1:4" x14ac:dyDescent="0.2">
      <c r="A232" s="53" t="s">
        <v>133</v>
      </c>
      <c r="B232" s="106">
        <v>63.08</v>
      </c>
      <c r="C232" s="97">
        <v>382</v>
      </c>
      <c r="D232" s="16">
        <v>24096.559999999998</v>
      </c>
    </row>
    <row r="233" spans="1:4" x14ac:dyDescent="0.15">
      <c r="A233" s="57" t="s">
        <v>236</v>
      </c>
      <c r="B233" s="107">
        <v>9.5500000000000007</v>
      </c>
      <c r="C233" s="98">
        <v>379</v>
      </c>
      <c r="D233" s="55">
        <v>3619.4500000000003</v>
      </c>
    </row>
    <row r="234" spans="1:4" x14ac:dyDescent="0.2">
      <c r="A234" s="53" t="s">
        <v>783</v>
      </c>
      <c r="B234" s="106">
        <v>8.1999999999999993</v>
      </c>
      <c r="C234" s="99">
        <v>377.77777777777777</v>
      </c>
      <c r="D234" s="16">
        <v>3097.7777777777774</v>
      </c>
    </row>
    <row r="235" spans="1:4" x14ac:dyDescent="0.2">
      <c r="A235" s="17" t="s">
        <v>33</v>
      </c>
      <c r="B235" s="104">
        <v>2.67</v>
      </c>
      <c r="C235" s="98">
        <v>374</v>
      </c>
      <c r="D235" s="55">
        <v>998.57999999999993</v>
      </c>
    </row>
    <row r="236" spans="1:4" x14ac:dyDescent="0.15">
      <c r="A236" s="20" t="s">
        <v>116</v>
      </c>
      <c r="B236" s="111">
        <v>13.82</v>
      </c>
      <c r="C236" s="99">
        <v>372</v>
      </c>
      <c r="D236" s="16">
        <v>5141.04</v>
      </c>
    </row>
    <row r="237" spans="1:4" x14ac:dyDescent="0.15">
      <c r="A237" s="57" t="s">
        <v>779</v>
      </c>
      <c r="B237" s="107">
        <v>85.3</v>
      </c>
      <c r="C237" s="97">
        <v>372</v>
      </c>
      <c r="D237" s="16">
        <v>31731.599999999999</v>
      </c>
    </row>
    <row r="238" spans="1:4" x14ac:dyDescent="0.2">
      <c r="A238" s="30" t="s">
        <v>415</v>
      </c>
      <c r="B238" s="105">
        <v>9.8000000000000007</v>
      </c>
      <c r="C238" s="97">
        <v>367</v>
      </c>
      <c r="D238" s="16">
        <v>3596.6000000000004</v>
      </c>
    </row>
    <row r="239" spans="1:4" x14ac:dyDescent="0.2">
      <c r="A239" s="53" t="s">
        <v>769</v>
      </c>
      <c r="B239" s="106">
        <v>112.6</v>
      </c>
      <c r="C239" s="98">
        <v>365.66666666666663</v>
      </c>
      <c r="D239" s="55">
        <v>41174.066666666658</v>
      </c>
    </row>
    <row r="240" spans="1:4" x14ac:dyDescent="0.2">
      <c r="A240" s="17" t="s">
        <v>262</v>
      </c>
      <c r="B240" s="105">
        <v>123.38</v>
      </c>
      <c r="C240" s="97">
        <v>351</v>
      </c>
      <c r="D240" s="16">
        <v>43306.38</v>
      </c>
    </row>
    <row r="241" spans="1:4" x14ac:dyDescent="0.2">
      <c r="A241" s="53" t="s">
        <v>516</v>
      </c>
      <c r="B241" s="106">
        <v>27.69</v>
      </c>
      <c r="C241" s="99">
        <v>350</v>
      </c>
      <c r="D241" s="16">
        <v>9691.5</v>
      </c>
    </row>
    <row r="242" spans="1:4" x14ac:dyDescent="0.2">
      <c r="A242" s="17" t="s">
        <v>221</v>
      </c>
      <c r="B242" s="105">
        <v>8.07</v>
      </c>
      <c r="C242" s="98">
        <v>350</v>
      </c>
      <c r="D242" s="55">
        <v>2824.5</v>
      </c>
    </row>
    <row r="243" spans="1:4" x14ac:dyDescent="0.15">
      <c r="A243" s="57" t="s">
        <v>602</v>
      </c>
      <c r="B243" s="107">
        <v>10.78</v>
      </c>
      <c r="C243" s="98">
        <v>350</v>
      </c>
      <c r="D243" s="55">
        <v>3773</v>
      </c>
    </row>
    <row r="244" spans="1:4" x14ac:dyDescent="0.2">
      <c r="A244" s="17" t="s">
        <v>79</v>
      </c>
      <c r="B244" s="105">
        <v>201.6</v>
      </c>
      <c r="C244" s="99">
        <v>344.14285714285717</v>
      </c>
      <c r="D244" s="16">
        <v>69379.199999999997</v>
      </c>
    </row>
    <row r="245" spans="1:4" x14ac:dyDescent="0.2">
      <c r="A245" s="17" t="s">
        <v>55</v>
      </c>
      <c r="B245" s="105">
        <v>41</v>
      </c>
      <c r="C245" s="101">
        <v>341</v>
      </c>
      <c r="D245" s="55">
        <v>13981</v>
      </c>
    </row>
    <row r="246" spans="1:4" x14ac:dyDescent="0.15">
      <c r="A246" s="57" t="s">
        <v>780</v>
      </c>
      <c r="B246" s="107">
        <v>127.6</v>
      </c>
      <c r="C246" s="97">
        <v>340.90909090909088</v>
      </c>
      <c r="D246" s="16">
        <v>43499.999999999993</v>
      </c>
    </row>
    <row r="247" spans="1:4" x14ac:dyDescent="0.15">
      <c r="A247" s="20" t="s">
        <v>18</v>
      </c>
      <c r="B247" s="112">
        <v>10.79</v>
      </c>
      <c r="C247" s="98">
        <v>339</v>
      </c>
      <c r="D247" s="55">
        <v>3657.8099999999995</v>
      </c>
    </row>
    <row r="248" spans="1:4" x14ac:dyDescent="0.15">
      <c r="A248" s="20" t="s">
        <v>161</v>
      </c>
      <c r="B248" s="108">
        <v>8.9</v>
      </c>
      <c r="C248" s="97">
        <v>330.76923076923077</v>
      </c>
      <c r="D248" s="16">
        <v>2943.8461538461538</v>
      </c>
    </row>
    <row r="249" spans="1:4" x14ac:dyDescent="0.2">
      <c r="A249" s="53" t="s">
        <v>241</v>
      </c>
      <c r="B249" s="106">
        <v>32.96</v>
      </c>
      <c r="C249" s="98">
        <v>325</v>
      </c>
      <c r="D249" s="55">
        <v>10712</v>
      </c>
    </row>
    <row r="250" spans="1:4" x14ac:dyDescent="0.2">
      <c r="A250" s="20" t="s">
        <v>592</v>
      </c>
      <c r="B250" s="108">
        <v>15.4</v>
      </c>
      <c r="C250" s="101">
        <v>322.30769230769232</v>
      </c>
      <c r="D250" s="16">
        <v>4963.5384615384619</v>
      </c>
    </row>
    <row r="251" spans="1:4" x14ac:dyDescent="0.15">
      <c r="A251" s="57" t="s">
        <v>690</v>
      </c>
      <c r="B251" s="112">
        <v>12.73</v>
      </c>
      <c r="C251" s="98">
        <v>319</v>
      </c>
      <c r="D251" s="55">
        <v>4060.8700000000003</v>
      </c>
    </row>
    <row r="252" spans="1:4" x14ac:dyDescent="0.15">
      <c r="A252" s="57" t="s">
        <v>681</v>
      </c>
      <c r="B252" s="112">
        <v>8.73</v>
      </c>
      <c r="C252" s="98">
        <v>313</v>
      </c>
      <c r="D252" s="55">
        <v>2732.4900000000002</v>
      </c>
    </row>
    <row r="253" spans="1:4" x14ac:dyDescent="0.2">
      <c r="A253" s="17" t="s">
        <v>37</v>
      </c>
      <c r="B253" s="104">
        <v>1.39</v>
      </c>
      <c r="C253" s="98">
        <v>312</v>
      </c>
      <c r="D253" s="55">
        <v>433.67999999999995</v>
      </c>
    </row>
    <row r="254" spans="1:4" x14ac:dyDescent="0.2">
      <c r="A254" s="17" t="s">
        <v>839</v>
      </c>
      <c r="B254" s="105">
        <v>28.63</v>
      </c>
      <c r="C254" s="99">
        <v>301</v>
      </c>
      <c r="D254" s="16">
        <v>8617.6299999999992</v>
      </c>
    </row>
    <row r="255" spans="1:4" x14ac:dyDescent="0.2">
      <c r="A255" s="17" t="s">
        <v>586</v>
      </c>
      <c r="B255" s="105">
        <v>10.61</v>
      </c>
      <c r="C255" s="101">
        <v>300</v>
      </c>
      <c r="D255" s="16">
        <v>3183</v>
      </c>
    </row>
    <row r="256" spans="1:4" x14ac:dyDescent="0.2">
      <c r="A256" s="53" t="s">
        <v>446</v>
      </c>
      <c r="B256" s="105">
        <v>8.6</v>
      </c>
      <c r="C256" s="97">
        <v>300</v>
      </c>
      <c r="D256" s="16">
        <v>2580</v>
      </c>
    </row>
    <row r="257" spans="1:4" x14ac:dyDescent="0.2">
      <c r="A257" s="30" t="s">
        <v>832</v>
      </c>
      <c r="B257" s="105">
        <v>8.4</v>
      </c>
      <c r="C257" s="97">
        <v>296</v>
      </c>
      <c r="D257" s="16">
        <v>2486.4</v>
      </c>
    </row>
    <row r="258" spans="1:4" x14ac:dyDescent="0.15">
      <c r="A258" s="20" t="s">
        <v>112</v>
      </c>
      <c r="B258" s="108">
        <v>39.94</v>
      </c>
      <c r="C258" s="99">
        <v>292.33333333333337</v>
      </c>
      <c r="D258" s="16">
        <v>11675.793333333335</v>
      </c>
    </row>
    <row r="259" spans="1:4" x14ac:dyDescent="0.15">
      <c r="A259" s="57" t="s">
        <v>281</v>
      </c>
      <c r="B259" s="108">
        <v>36.6</v>
      </c>
      <c r="C259" s="97">
        <v>290</v>
      </c>
      <c r="D259" s="16">
        <v>10614</v>
      </c>
    </row>
    <row r="260" spans="1:4" x14ac:dyDescent="0.2">
      <c r="A260" s="17" t="s">
        <v>121</v>
      </c>
      <c r="B260" s="105">
        <v>189.46</v>
      </c>
      <c r="C260" s="98">
        <v>290</v>
      </c>
      <c r="D260" s="16">
        <v>54943.4</v>
      </c>
    </row>
    <row r="261" spans="1:4" x14ac:dyDescent="0.2">
      <c r="A261" s="53" t="s">
        <v>718</v>
      </c>
      <c r="B261" s="105">
        <v>23.97</v>
      </c>
      <c r="C261" s="97">
        <v>290</v>
      </c>
      <c r="D261" s="16">
        <v>6951.2999999999993</v>
      </c>
    </row>
    <row r="262" spans="1:4" x14ac:dyDescent="0.2">
      <c r="A262" s="17" t="s">
        <v>134</v>
      </c>
      <c r="B262" s="105">
        <v>7.32</v>
      </c>
      <c r="C262" s="97">
        <v>287</v>
      </c>
      <c r="D262" s="16">
        <v>2100.84</v>
      </c>
    </row>
    <row r="263" spans="1:4" x14ac:dyDescent="0.15">
      <c r="A263" s="57" t="s">
        <v>781</v>
      </c>
      <c r="B263" s="107">
        <v>30.95</v>
      </c>
      <c r="C263" s="97">
        <v>285</v>
      </c>
      <c r="D263" s="16">
        <v>8820.75</v>
      </c>
    </row>
    <row r="264" spans="1:4" x14ac:dyDescent="0.2">
      <c r="A264" s="17" t="s">
        <v>584</v>
      </c>
      <c r="B264" s="105">
        <v>169.29</v>
      </c>
      <c r="C264" s="101">
        <v>283</v>
      </c>
      <c r="D264" s="16">
        <v>47909.07</v>
      </c>
    </row>
    <row r="265" spans="1:4" x14ac:dyDescent="0.2">
      <c r="A265" s="17" t="s">
        <v>59</v>
      </c>
      <c r="B265" s="105">
        <v>32.090000000000003</v>
      </c>
      <c r="C265" s="101">
        <v>273</v>
      </c>
      <c r="D265" s="55">
        <v>8760.5700000000015</v>
      </c>
    </row>
    <row r="266" spans="1:4" x14ac:dyDescent="0.2">
      <c r="A266" s="17" t="s">
        <v>52</v>
      </c>
      <c r="B266" s="105">
        <v>30.3</v>
      </c>
      <c r="C266" s="101">
        <v>272</v>
      </c>
      <c r="D266" s="55">
        <v>8241.6</v>
      </c>
    </row>
    <row r="267" spans="1:4" x14ac:dyDescent="0.2">
      <c r="A267" s="20" t="s">
        <v>50</v>
      </c>
      <c r="B267" s="108">
        <v>13.18</v>
      </c>
      <c r="C267" s="101">
        <v>271</v>
      </c>
      <c r="D267" s="55">
        <v>3571.7799999999997</v>
      </c>
    </row>
    <row r="268" spans="1:4" x14ac:dyDescent="0.2">
      <c r="A268" s="53" t="s">
        <v>716</v>
      </c>
      <c r="B268" s="106">
        <v>12.59</v>
      </c>
      <c r="C268" s="97">
        <v>270</v>
      </c>
      <c r="D268" s="16">
        <v>3399.3</v>
      </c>
    </row>
    <row r="269" spans="1:4" x14ac:dyDescent="0.2">
      <c r="A269" s="53" t="s">
        <v>510</v>
      </c>
      <c r="B269" s="105">
        <v>17.89</v>
      </c>
      <c r="C269" s="97">
        <v>270</v>
      </c>
      <c r="D269" s="16">
        <v>4830.3</v>
      </c>
    </row>
    <row r="270" spans="1:4" x14ac:dyDescent="0.2">
      <c r="A270" s="17" t="s">
        <v>70</v>
      </c>
      <c r="B270" s="105">
        <v>8.99</v>
      </c>
      <c r="C270" s="97">
        <v>269.23076923076923</v>
      </c>
      <c r="D270" s="16">
        <v>2420.3846153846152</v>
      </c>
    </row>
    <row r="271" spans="1:4" x14ac:dyDescent="0.2">
      <c r="A271" s="17" t="s">
        <v>63</v>
      </c>
      <c r="B271" s="105">
        <v>111.83</v>
      </c>
      <c r="C271" s="101">
        <v>267</v>
      </c>
      <c r="D271" s="55">
        <v>29858.61</v>
      </c>
    </row>
    <row r="272" spans="1:4" x14ac:dyDescent="0.15">
      <c r="A272" s="20" t="s">
        <v>746</v>
      </c>
      <c r="B272" s="108">
        <v>15.39</v>
      </c>
      <c r="C272" s="97">
        <v>264</v>
      </c>
      <c r="D272" s="16">
        <v>4062.96</v>
      </c>
    </row>
    <row r="273" spans="1:4" x14ac:dyDescent="0.2">
      <c r="A273" s="20" t="s">
        <v>872</v>
      </c>
      <c r="B273" s="108">
        <v>32.68</v>
      </c>
      <c r="C273" s="101">
        <v>259</v>
      </c>
      <c r="D273" s="55">
        <v>8464.1200000000008</v>
      </c>
    </row>
    <row r="274" spans="1:4" x14ac:dyDescent="0.2">
      <c r="A274" s="17" t="s">
        <v>54</v>
      </c>
      <c r="B274" s="105">
        <v>40.08</v>
      </c>
      <c r="C274" s="101">
        <v>258</v>
      </c>
      <c r="D274" s="55">
        <v>10340.64</v>
      </c>
    </row>
    <row r="275" spans="1:4" x14ac:dyDescent="0.15">
      <c r="A275" s="20" t="s">
        <v>284</v>
      </c>
      <c r="B275" s="108">
        <v>20.6</v>
      </c>
      <c r="C275" s="97">
        <v>258</v>
      </c>
      <c r="D275" s="16">
        <v>5314.8</v>
      </c>
    </row>
    <row r="276" spans="1:4" x14ac:dyDescent="0.15">
      <c r="A276" s="57" t="s">
        <v>682</v>
      </c>
      <c r="B276" s="112">
        <v>9.99</v>
      </c>
      <c r="C276" s="98">
        <v>250</v>
      </c>
      <c r="D276" s="55">
        <v>2497.5</v>
      </c>
    </row>
    <row r="277" spans="1:4" x14ac:dyDescent="0.2">
      <c r="A277" s="53" t="s">
        <v>760</v>
      </c>
      <c r="B277" s="106">
        <v>8.0500000000000007</v>
      </c>
      <c r="C277" s="98">
        <v>246.66666666666666</v>
      </c>
      <c r="D277" s="55">
        <v>1985.6666666666667</v>
      </c>
    </row>
    <row r="278" spans="1:4" x14ac:dyDescent="0.2">
      <c r="A278" s="53" t="s">
        <v>207</v>
      </c>
      <c r="B278" s="109">
        <v>12.02</v>
      </c>
      <c r="C278" s="97">
        <v>246</v>
      </c>
      <c r="D278" s="16">
        <v>2956.92</v>
      </c>
    </row>
    <row r="279" spans="1:4" x14ac:dyDescent="0.2">
      <c r="A279" s="53" t="s">
        <v>218</v>
      </c>
      <c r="B279" s="106">
        <v>5.0999999999999996</v>
      </c>
      <c r="C279" s="98">
        <v>239</v>
      </c>
      <c r="D279" s="55">
        <v>1218.8999999999999</v>
      </c>
    </row>
    <row r="280" spans="1:4" x14ac:dyDescent="0.2">
      <c r="A280" s="30" t="s">
        <v>831</v>
      </c>
      <c r="B280" s="105">
        <v>8.4</v>
      </c>
      <c r="C280" s="97">
        <v>235</v>
      </c>
      <c r="D280" s="16">
        <v>1974</v>
      </c>
    </row>
    <row r="281" spans="1:4" x14ac:dyDescent="0.15">
      <c r="A281" s="20" t="s">
        <v>515</v>
      </c>
      <c r="B281" s="108">
        <v>8.1</v>
      </c>
      <c r="C281" s="99">
        <v>234</v>
      </c>
      <c r="D281" s="16">
        <v>1895.3999999999999</v>
      </c>
    </row>
    <row r="282" spans="1:4" x14ac:dyDescent="0.2">
      <c r="A282" s="53" t="s">
        <v>199</v>
      </c>
      <c r="B282" s="105">
        <v>20</v>
      </c>
      <c r="C282" s="97">
        <v>233</v>
      </c>
      <c r="D282" s="16">
        <v>4660</v>
      </c>
    </row>
    <row r="283" spans="1:4" x14ac:dyDescent="0.15">
      <c r="A283" s="20" t="s">
        <v>843</v>
      </c>
      <c r="B283" s="108">
        <v>80.569999999999993</v>
      </c>
      <c r="C283" s="97">
        <v>230</v>
      </c>
      <c r="D283" s="16">
        <v>18531.099999999999</v>
      </c>
    </row>
    <row r="284" spans="1:4" x14ac:dyDescent="0.15">
      <c r="A284" s="57" t="s">
        <v>90</v>
      </c>
      <c r="B284" s="108">
        <v>5.36</v>
      </c>
      <c r="C284" s="97">
        <v>229</v>
      </c>
      <c r="D284" s="16">
        <v>1227.44</v>
      </c>
    </row>
    <row r="285" spans="1:4" x14ac:dyDescent="0.2">
      <c r="A285" s="53" t="s">
        <v>714</v>
      </c>
      <c r="B285" s="105">
        <v>100.7</v>
      </c>
      <c r="C285" s="97">
        <v>228</v>
      </c>
      <c r="D285" s="16">
        <v>22959.600000000002</v>
      </c>
    </row>
    <row r="286" spans="1:4" x14ac:dyDescent="0.15">
      <c r="A286" s="57" t="s">
        <v>157</v>
      </c>
      <c r="B286" s="107">
        <v>8.5299999999999994</v>
      </c>
      <c r="C286" s="97">
        <v>225</v>
      </c>
      <c r="D286" s="16">
        <v>1919.2499999999998</v>
      </c>
    </row>
    <row r="287" spans="1:4" x14ac:dyDescent="0.2">
      <c r="A287" s="17" t="s">
        <v>120</v>
      </c>
      <c r="B287" s="105">
        <v>129.62</v>
      </c>
      <c r="C287" s="98">
        <v>224</v>
      </c>
      <c r="D287" s="16">
        <v>29034.880000000001</v>
      </c>
    </row>
    <row r="288" spans="1:4" x14ac:dyDescent="0.2">
      <c r="A288" s="31" t="s">
        <v>526</v>
      </c>
      <c r="B288" s="105">
        <v>10.32</v>
      </c>
      <c r="C288" s="97">
        <v>224</v>
      </c>
      <c r="D288" s="16">
        <v>2311.6800000000003</v>
      </c>
    </row>
    <row r="289" spans="1:4" x14ac:dyDescent="0.2">
      <c r="A289" s="20" t="s">
        <v>871</v>
      </c>
      <c r="B289" s="108">
        <v>16.68</v>
      </c>
      <c r="C289" s="101">
        <v>221</v>
      </c>
      <c r="D289" s="55">
        <v>3686.2799999999997</v>
      </c>
    </row>
    <row r="290" spans="1:4" x14ac:dyDescent="0.2">
      <c r="A290" s="53" t="s">
        <v>757</v>
      </c>
      <c r="B290" s="105">
        <v>126.33</v>
      </c>
      <c r="C290" s="97">
        <v>220</v>
      </c>
      <c r="D290" s="16">
        <v>27792.6</v>
      </c>
    </row>
    <row r="291" spans="1:4" x14ac:dyDescent="0.2">
      <c r="A291" s="30" t="s">
        <v>457</v>
      </c>
      <c r="B291" s="105">
        <v>189.27</v>
      </c>
      <c r="C291" s="97">
        <v>220</v>
      </c>
      <c r="D291" s="16">
        <v>41639.4</v>
      </c>
    </row>
    <row r="292" spans="1:4" x14ac:dyDescent="0.15">
      <c r="A292" s="57" t="s">
        <v>687</v>
      </c>
      <c r="B292" s="112">
        <v>86.38</v>
      </c>
      <c r="C292" s="98">
        <v>218</v>
      </c>
      <c r="D292" s="55">
        <v>18830.84</v>
      </c>
    </row>
    <row r="293" spans="1:4" x14ac:dyDescent="0.2">
      <c r="A293" s="15" t="s">
        <v>406</v>
      </c>
      <c r="B293" s="105">
        <v>39.200000000000003</v>
      </c>
      <c r="C293" s="97">
        <v>215</v>
      </c>
      <c r="D293" s="16">
        <v>8428</v>
      </c>
    </row>
    <row r="294" spans="1:4" x14ac:dyDescent="0.15">
      <c r="A294" s="20" t="s">
        <v>165</v>
      </c>
      <c r="B294" s="108">
        <v>8.83</v>
      </c>
      <c r="C294" s="97">
        <v>211</v>
      </c>
      <c r="D294" s="16">
        <v>1863.13</v>
      </c>
    </row>
    <row r="295" spans="1:4" x14ac:dyDescent="0.2">
      <c r="A295" s="17" t="s">
        <v>854</v>
      </c>
      <c r="B295" s="105">
        <v>29.26</v>
      </c>
      <c r="C295" s="97">
        <v>204</v>
      </c>
      <c r="D295" s="16">
        <v>5969.04</v>
      </c>
    </row>
    <row r="296" spans="1:4" x14ac:dyDescent="0.15">
      <c r="A296" s="57" t="s">
        <v>72</v>
      </c>
      <c r="B296" s="108">
        <v>11.51</v>
      </c>
      <c r="C296" s="97">
        <v>200</v>
      </c>
      <c r="D296" s="16">
        <v>2302</v>
      </c>
    </row>
    <row r="297" spans="1:4" x14ac:dyDescent="0.15">
      <c r="A297" s="57" t="s">
        <v>776</v>
      </c>
      <c r="B297" s="107">
        <v>16.54</v>
      </c>
      <c r="C297" s="99">
        <v>200</v>
      </c>
      <c r="D297" s="16">
        <v>3308</v>
      </c>
    </row>
    <row r="298" spans="1:4" x14ac:dyDescent="0.2">
      <c r="A298" s="53" t="s">
        <v>191</v>
      </c>
      <c r="B298" s="105">
        <v>8.73</v>
      </c>
      <c r="C298" s="97">
        <v>200</v>
      </c>
      <c r="D298" s="16">
        <v>1746</v>
      </c>
    </row>
    <row r="299" spans="1:4" x14ac:dyDescent="0.2">
      <c r="A299" s="20" t="s">
        <v>243</v>
      </c>
      <c r="B299" s="105">
        <v>38.44</v>
      </c>
      <c r="C299" s="97">
        <v>199</v>
      </c>
      <c r="D299" s="16">
        <v>7649.5599999999995</v>
      </c>
    </row>
    <row r="300" spans="1:4" x14ac:dyDescent="0.2">
      <c r="A300" s="32" t="s">
        <v>562</v>
      </c>
      <c r="B300" s="105">
        <v>108.68</v>
      </c>
      <c r="C300" s="97">
        <v>196</v>
      </c>
      <c r="D300" s="16">
        <v>21301.280000000002</v>
      </c>
    </row>
    <row r="301" spans="1:4" x14ac:dyDescent="0.15">
      <c r="A301" s="20" t="s">
        <v>853</v>
      </c>
      <c r="B301" s="108">
        <v>7.63</v>
      </c>
      <c r="C301" s="97">
        <v>194</v>
      </c>
      <c r="D301" s="16">
        <v>1480.22</v>
      </c>
    </row>
    <row r="302" spans="1:4" x14ac:dyDescent="0.2">
      <c r="A302" s="24" t="s">
        <v>421</v>
      </c>
      <c r="B302" s="104">
        <v>59.7</v>
      </c>
      <c r="C302" s="98">
        <v>191</v>
      </c>
      <c r="D302" s="55">
        <v>11402.7</v>
      </c>
    </row>
    <row r="303" spans="1:4" x14ac:dyDescent="0.2">
      <c r="A303" s="30" t="s">
        <v>409</v>
      </c>
      <c r="B303" s="105">
        <v>8.4700000000000006</v>
      </c>
      <c r="C303" s="97">
        <v>189.5</v>
      </c>
      <c r="D303" s="16">
        <v>1605.0650000000001</v>
      </c>
    </row>
    <row r="304" spans="1:4" x14ac:dyDescent="0.2">
      <c r="A304" s="57" t="s">
        <v>688</v>
      </c>
      <c r="B304" s="104">
        <v>9.4</v>
      </c>
      <c r="C304" s="98">
        <v>189</v>
      </c>
      <c r="D304" s="55">
        <v>1776.6000000000001</v>
      </c>
    </row>
    <row r="305" spans="1:4" x14ac:dyDescent="0.2">
      <c r="A305" s="17" t="s">
        <v>825</v>
      </c>
      <c r="B305" s="105">
        <v>11.38</v>
      </c>
      <c r="C305" s="97">
        <v>188</v>
      </c>
      <c r="D305" s="16">
        <v>2139.44</v>
      </c>
    </row>
    <row r="306" spans="1:4" x14ac:dyDescent="0.2">
      <c r="A306" s="17" t="s">
        <v>122</v>
      </c>
      <c r="B306" s="105">
        <v>287.94</v>
      </c>
      <c r="C306" s="98">
        <v>186</v>
      </c>
      <c r="D306" s="16">
        <v>53556.84</v>
      </c>
    </row>
    <row r="307" spans="1:4" x14ac:dyDescent="0.2">
      <c r="A307" s="32" t="s">
        <v>563</v>
      </c>
      <c r="B307" s="105">
        <v>16.3</v>
      </c>
      <c r="C307" s="97">
        <v>184</v>
      </c>
      <c r="D307" s="16">
        <v>2999.2000000000003</v>
      </c>
    </row>
    <row r="308" spans="1:4" x14ac:dyDescent="0.15">
      <c r="A308" s="57" t="s">
        <v>844</v>
      </c>
      <c r="B308" s="108">
        <v>9.5399999999999991</v>
      </c>
      <c r="C308" s="97">
        <v>184</v>
      </c>
      <c r="D308" s="16">
        <v>1755</v>
      </c>
    </row>
    <row r="309" spans="1:4" x14ac:dyDescent="0.2">
      <c r="A309" s="17" t="s">
        <v>850</v>
      </c>
      <c r="B309" s="105">
        <v>16.5</v>
      </c>
      <c r="C309" s="97">
        <v>184</v>
      </c>
      <c r="D309" s="16">
        <v>3036</v>
      </c>
    </row>
    <row r="310" spans="1:4" x14ac:dyDescent="0.2">
      <c r="A310" s="31" t="s">
        <v>448</v>
      </c>
      <c r="B310" s="105">
        <v>7.4</v>
      </c>
      <c r="C310" s="97">
        <v>184</v>
      </c>
      <c r="D310" s="16">
        <v>1361.6000000000001</v>
      </c>
    </row>
    <row r="311" spans="1:4" x14ac:dyDescent="0.2">
      <c r="A311" s="57" t="s">
        <v>177</v>
      </c>
      <c r="B311" s="107">
        <v>42.05</v>
      </c>
      <c r="C311" s="101">
        <v>177</v>
      </c>
      <c r="D311" s="16">
        <v>7442.8499999999995</v>
      </c>
    </row>
    <row r="312" spans="1:4" x14ac:dyDescent="0.2">
      <c r="A312" s="53" t="s">
        <v>587</v>
      </c>
      <c r="B312" s="106">
        <v>145.18</v>
      </c>
      <c r="C312" s="101">
        <v>176.92307692307691</v>
      </c>
      <c r="D312" s="16">
        <v>25685.692307692305</v>
      </c>
    </row>
    <row r="313" spans="1:4" x14ac:dyDescent="0.2">
      <c r="A313" s="53" t="s">
        <v>840</v>
      </c>
      <c r="B313" s="109">
        <v>12.04</v>
      </c>
      <c r="C313" s="97">
        <v>176</v>
      </c>
      <c r="D313" s="16">
        <v>2119.04</v>
      </c>
    </row>
    <row r="314" spans="1:4" x14ac:dyDescent="0.15">
      <c r="A314" s="20" t="s">
        <v>153</v>
      </c>
      <c r="B314" s="108">
        <v>9.27</v>
      </c>
      <c r="C314" s="97">
        <v>173</v>
      </c>
      <c r="D314" s="16">
        <v>1603.71</v>
      </c>
    </row>
    <row r="315" spans="1:4" x14ac:dyDescent="0.2">
      <c r="A315" s="20" t="s">
        <v>477</v>
      </c>
      <c r="B315" s="108">
        <v>56.17</v>
      </c>
      <c r="C315" s="101">
        <v>172</v>
      </c>
      <c r="D315" s="55">
        <v>9661.24</v>
      </c>
    </row>
    <row r="316" spans="1:4" x14ac:dyDescent="0.15">
      <c r="A316" s="20" t="s">
        <v>30</v>
      </c>
      <c r="B316" s="112">
        <v>8.1</v>
      </c>
      <c r="C316" s="98">
        <v>170</v>
      </c>
      <c r="D316" s="55">
        <v>1377</v>
      </c>
    </row>
    <row r="317" spans="1:4" x14ac:dyDescent="0.2">
      <c r="A317" s="31" t="s">
        <v>523</v>
      </c>
      <c r="B317" s="105">
        <v>59.77</v>
      </c>
      <c r="C317" s="97">
        <v>169</v>
      </c>
      <c r="D317" s="16">
        <v>10101.130000000001</v>
      </c>
    </row>
    <row r="318" spans="1:4" x14ac:dyDescent="0.2">
      <c r="A318" s="23" t="s">
        <v>21</v>
      </c>
      <c r="B318" s="104">
        <v>121.5</v>
      </c>
      <c r="C318" s="98">
        <v>169</v>
      </c>
      <c r="D318" s="55">
        <v>20533.5</v>
      </c>
    </row>
    <row r="319" spans="1:4" x14ac:dyDescent="0.2">
      <c r="A319" s="30" t="s">
        <v>606</v>
      </c>
      <c r="B319" s="105">
        <v>13.89</v>
      </c>
      <c r="C319" s="97">
        <v>169</v>
      </c>
      <c r="D319" s="16">
        <v>2347.4100000000003</v>
      </c>
    </row>
    <row r="320" spans="1:4" x14ac:dyDescent="0.15">
      <c r="A320" s="57" t="s">
        <v>506</v>
      </c>
      <c r="B320" s="108">
        <v>103.5</v>
      </c>
      <c r="C320" s="97">
        <v>168.16666666666669</v>
      </c>
      <c r="D320" s="16">
        <v>17405.250000000004</v>
      </c>
    </row>
    <row r="321" spans="1:4" x14ac:dyDescent="0.2">
      <c r="A321" s="17" t="s">
        <v>211</v>
      </c>
      <c r="B321" s="105">
        <v>93.96</v>
      </c>
      <c r="C321" s="98">
        <v>167</v>
      </c>
      <c r="D321" s="55">
        <v>15691.32</v>
      </c>
    </row>
    <row r="322" spans="1:4" x14ac:dyDescent="0.15">
      <c r="A322" s="20" t="s">
        <v>110</v>
      </c>
      <c r="B322" s="108">
        <v>15.77</v>
      </c>
      <c r="C322" s="97">
        <v>166</v>
      </c>
      <c r="D322" s="16">
        <v>2617.8199999999997</v>
      </c>
    </row>
    <row r="323" spans="1:4" x14ac:dyDescent="0.2">
      <c r="A323" s="20" t="s">
        <v>51</v>
      </c>
      <c r="B323" s="108">
        <v>27.04</v>
      </c>
      <c r="C323" s="101">
        <v>165</v>
      </c>
      <c r="D323" s="55">
        <v>4461.5999999999995</v>
      </c>
    </row>
    <row r="324" spans="1:4" x14ac:dyDescent="0.2">
      <c r="A324" s="31" t="s">
        <v>527</v>
      </c>
      <c r="B324" s="105">
        <v>16.72</v>
      </c>
      <c r="C324" s="97">
        <v>163</v>
      </c>
      <c r="D324" s="16">
        <v>2725.3599999999997</v>
      </c>
    </row>
    <row r="325" spans="1:4" x14ac:dyDescent="0.15">
      <c r="A325" s="20" t="s">
        <v>244</v>
      </c>
      <c r="B325" s="108">
        <v>9.52</v>
      </c>
      <c r="C325" s="98">
        <v>162</v>
      </c>
      <c r="D325" s="55">
        <v>1542.24</v>
      </c>
    </row>
    <row r="326" spans="1:4" x14ac:dyDescent="0.2">
      <c r="A326" s="30" t="s">
        <v>616</v>
      </c>
      <c r="B326" s="105">
        <v>31.72</v>
      </c>
      <c r="C326" s="97">
        <v>161</v>
      </c>
      <c r="D326" s="16">
        <v>5106.92</v>
      </c>
    </row>
    <row r="327" spans="1:4" x14ac:dyDescent="0.2">
      <c r="A327" s="17" t="s">
        <v>454</v>
      </c>
      <c r="B327" s="105">
        <v>2171</v>
      </c>
      <c r="C327" s="97">
        <v>160</v>
      </c>
      <c r="D327" s="16">
        <v>347360</v>
      </c>
    </row>
    <row r="328" spans="1:4" x14ac:dyDescent="0.2">
      <c r="A328" s="53" t="s">
        <v>357</v>
      </c>
      <c r="B328" s="106">
        <v>290.5</v>
      </c>
      <c r="C328" s="98">
        <v>156</v>
      </c>
      <c r="D328" s="16">
        <v>45318</v>
      </c>
    </row>
    <row r="329" spans="1:4" x14ac:dyDescent="0.2">
      <c r="A329" s="53" t="s">
        <v>367</v>
      </c>
      <c r="B329" s="106">
        <v>90</v>
      </c>
      <c r="C329" s="98">
        <v>155</v>
      </c>
      <c r="D329" s="16">
        <v>13950</v>
      </c>
    </row>
    <row r="330" spans="1:4" x14ac:dyDescent="0.15">
      <c r="A330" s="20" t="s">
        <v>733</v>
      </c>
      <c r="B330" s="108">
        <v>205.62</v>
      </c>
      <c r="C330" s="99">
        <v>154</v>
      </c>
      <c r="D330" s="16">
        <v>31665.48</v>
      </c>
    </row>
    <row r="331" spans="1:4" x14ac:dyDescent="0.2">
      <c r="A331" s="63" t="s">
        <v>464</v>
      </c>
      <c r="B331" s="104">
        <v>68.239999999999995</v>
      </c>
      <c r="C331" s="98">
        <v>153</v>
      </c>
      <c r="D331" s="55">
        <v>10440.719999999999</v>
      </c>
    </row>
    <row r="332" spans="1:4" x14ac:dyDescent="0.2">
      <c r="A332" s="31" t="s">
        <v>865</v>
      </c>
      <c r="B332" s="105">
        <v>21.72</v>
      </c>
      <c r="C332" s="97">
        <v>153</v>
      </c>
      <c r="D332" s="16">
        <v>3323.16</v>
      </c>
    </row>
    <row r="333" spans="1:4" x14ac:dyDescent="0.2">
      <c r="A333" s="17" t="s">
        <v>65</v>
      </c>
      <c r="B333" s="105">
        <v>33.26</v>
      </c>
      <c r="C333" s="101">
        <v>152</v>
      </c>
      <c r="D333" s="55">
        <v>5055.5199999999995</v>
      </c>
    </row>
    <row r="334" spans="1:4" x14ac:dyDescent="0.2">
      <c r="A334" s="17" t="s">
        <v>271</v>
      </c>
      <c r="B334" s="105">
        <v>37.94</v>
      </c>
      <c r="C334" s="97">
        <v>151</v>
      </c>
      <c r="D334" s="16">
        <v>5728.94</v>
      </c>
    </row>
    <row r="335" spans="1:4" x14ac:dyDescent="0.15">
      <c r="A335" s="20" t="s">
        <v>461</v>
      </c>
      <c r="B335" s="112">
        <v>14.79</v>
      </c>
      <c r="C335" s="98">
        <v>149</v>
      </c>
      <c r="D335" s="55">
        <v>2203.71</v>
      </c>
    </row>
    <row r="336" spans="1:4" x14ac:dyDescent="0.15">
      <c r="A336" s="57" t="s">
        <v>735</v>
      </c>
      <c r="B336" s="107">
        <v>47.23</v>
      </c>
      <c r="C336" s="97">
        <v>148</v>
      </c>
      <c r="D336" s="16">
        <v>6990.04</v>
      </c>
    </row>
    <row r="337" spans="1:4" x14ac:dyDescent="0.2">
      <c r="A337" s="20" t="s">
        <v>870</v>
      </c>
      <c r="B337" s="108">
        <v>45.2</v>
      </c>
      <c r="C337" s="101">
        <v>145</v>
      </c>
      <c r="D337" s="55">
        <v>6554</v>
      </c>
    </row>
    <row r="338" spans="1:4" x14ac:dyDescent="0.2">
      <c r="A338" s="53" t="s">
        <v>432</v>
      </c>
      <c r="B338" s="107">
        <v>72.3</v>
      </c>
      <c r="C338" s="98">
        <v>145</v>
      </c>
      <c r="D338" s="16">
        <v>10483.5</v>
      </c>
    </row>
    <row r="339" spans="1:4" x14ac:dyDescent="0.2">
      <c r="A339" s="30" t="s">
        <v>413</v>
      </c>
      <c r="B339" s="105">
        <v>8.9</v>
      </c>
      <c r="C339" s="97">
        <v>144</v>
      </c>
      <c r="D339" s="16">
        <v>1281.6000000000001</v>
      </c>
    </row>
    <row r="340" spans="1:4" x14ac:dyDescent="0.2">
      <c r="A340" s="17" t="s">
        <v>129</v>
      </c>
      <c r="B340" s="105">
        <v>170.17</v>
      </c>
      <c r="C340" s="99">
        <v>142</v>
      </c>
      <c r="D340" s="16">
        <v>24164.14</v>
      </c>
    </row>
    <row r="341" spans="1:4" x14ac:dyDescent="0.2">
      <c r="A341" s="53" t="s">
        <v>550</v>
      </c>
      <c r="B341" s="106">
        <v>11.13</v>
      </c>
      <c r="C341" s="101">
        <v>140</v>
      </c>
      <c r="D341" s="16">
        <v>1558.2</v>
      </c>
    </row>
    <row r="342" spans="1:4" x14ac:dyDescent="0.15">
      <c r="A342" s="20" t="s">
        <v>27</v>
      </c>
      <c r="B342" s="114">
        <v>39.5</v>
      </c>
      <c r="C342" s="98">
        <v>139</v>
      </c>
      <c r="D342" s="55">
        <v>5490.5</v>
      </c>
    </row>
    <row r="343" spans="1:4" x14ac:dyDescent="0.2">
      <c r="A343" s="53" t="s">
        <v>691</v>
      </c>
      <c r="B343" s="104">
        <v>26.63</v>
      </c>
      <c r="C343" s="98">
        <v>139</v>
      </c>
      <c r="D343" s="55">
        <v>3701.5699999999997</v>
      </c>
    </row>
    <row r="344" spans="1:4" x14ac:dyDescent="0.2">
      <c r="A344" s="32" t="s">
        <v>556</v>
      </c>
      <c r="B344" s="105">
        <v>41.39</v>
      </c>
      <c r="C344" s="97">
        <v>136</v>
      </c>
      <c r="D344" s="16">
        <v>5629.04</v>
      </c>
    </row>
    <row r="345" spans="1:4" x14ac:dyDescent="0.15">
      <c r="A345" s="57" t="s">
        <v>628</v>
      </c>
      <c r="B345" s="108">
        <v>249.96</v>
      </c>
      <c r="C345" s="97">
        <v>133</v>
      </c>
      <c r="D345" s="16">
        <v>33244.68</v>
      </c>
    </row>
    <row r="346" spans="1:4" x14ac:dyDescent="0.2">
      <c r="A346" s="32" t="s">
        <v>721</v>
      </c>
      <c r="B346" s="105">
        <v>182.79</v>
      </c>
      <c r="C346" s="97">
        <v>133</v>
      </c>
      <c r="D346" s="16">
        <v>24311.07</v>
      </c>
    </row>
    <row r="347" spans="1:4" x14ac:dyDescent="0.2">
      <c r="A347" s="17" t="s">
        <v>465</v>
      </c>
      <c r="B347" s="104">
        <v>34</v>
      </c>
      <c r="C347" s="98">
        <v>131</v>
      </c>
      <c r="D347" s="55">
        <v>4454</v>
      </c>
    </row>
    <row r="348" spans="1:4" x14ac:dyDescent="0.2">
      <c r="A348" s="53" t="s">
        <v>324</v>
      </c>
      <c r="B348" s="106">
        <v>188.8</v>
      </c>
      <c r="C348" s="98">
        <v>130</v>
      </c>
      <c r="D348" s="16">
        <v>24544</v>
      </c>
    </row>
    <row r="349" spans="1:4" x14ac:dyDescent="0.2">
      <c r="A349" s="17" t="s">
        <v>150</v>
      </c>
      <c r="B349" s="105">
        <v>16.579999999999998</v>
      </c>
      <c r="C349" s="97">
        <v>130</v>
      </c>
      <c r="D349" s="16">
        <v>2155.3999999999996</v>
      </c>
    </row>
    <row r="350" spans="1:4" x14ac:dyDescent="0.2">
      <c r="A350" s="17" t="s">
        <v>62</v>
      </c>
      <c r="B350" s="105">
        <v>24.17</v>
      </c>
      <c r="C350" s="101">
        <v>129</v>
      </c>
      <c r="D350" s="55">
        <v>3117.9300000000003</v>
      </c>
    </row>
    <row r="351" spans="1:4" x14ac:dyDescent="0.15">
      <c r="A351" s="20" t="s">
        <v>759</v>
      </c>
      <c r="B351" s="108">
        <v>308.93</v>
      </c>
      <c r="C351" s="97">
        <v>129</v>
      </c>
      <c r="D351" s="16">
        <v>39851.97</v>
      </c>
    </row>
    <row r="352" spans="1:4" x14ac:dyDescent="0.15">
      <c r="A352" s="57" t="s">
        <v>693</v>
      </c>
      <c r="B352" s="112">
        <v>173.1</v>
      </c>
      <c r="C352" s="98">
        <v>125</v>
      </c>
      <c r="D352" s="55">
        <v>21637.5</v>
      </c>
    </row>
    <row r="353" spans="1:4" x14ac:dyDescent="0.2">
      <c r="A353" s="53" t="s">
        <v>670</v>
      </c>
      <c r="B353" s="106">
        <v>55.2</v>
      </c>
      <c r="C353" s="98">
        <v>125</v>
      </c>
      <c r="D353" s="16">
        <v>6900</v>
      </c>
    </row>
    <row r="354" spans="1:4" x14ac:dyDescent="0.2">
      <c r="A354" s="15" t="s">
        <v>403</v>
      </c>
      <c r="B354" s="105">
        <v>26.46</v>
      </c>
      <c r="C354" s="97">
        <v>124</v>
      </c>
      <c r="D354" s="16">
        <v>3281.04</v>
      </c>
    </row>
    <row r="355" spans="1:4" x14ac:dyDescent="0.2">
      <c r="A355" s="57" t="s">
        <v>178</v>
      </c>
      <c r="B355" s="107">
        <v>66.739999999999995</v>
      </c>
      <c r="C355" s="101">
        <v>123</v>
      </c>
      <c r="D355" s="16">
        <v>8209.0199999999986</v>
      </c>
    </row>
    <row r="356" spans="1:4" x14ac:dyDescent="0.15">
      <c r="A356" s="57" t="s">
        <v>102</v>
      </c>
      <c r="B356" s="108">
        <v>20.58</v>
      </c>
      <c r="C356" s="99">
        <v>121</v>
      </c>
      <c r="D356" s="16">
        <v>2490.1799999999998</v>
      </c>
    </row>
    <row r="357" spans="1:4" x14ac:dyDescent="0.2">
      <c r="A357" s="53" t="s">
        <v>835</v>
      </c>
      <c r="B357" s="105">
        <v>13.28</v>
      </c>
      <c r="C357" s="97">
        <v>120</v>
      </c>
      <c r="D357" s="16">
        <v>1593.6</v>
      </c>
    </row>
    <row r="358" spans="1:4" x14ac:dyDescent="0.2">
      <c r="A358" s="17" t="s">
        <v>730</v>
      </c>
      <c r="B358" s="115">
        <v>26.9</v>
      </c>
      <c r="C358" s="101">
        <v>120</v>
      </c>
      <c r="D358" s="55">
        <v>3228</v>
      </c>
    </row>
    <row r="359" spans="1:4" x14ac:dyDescent="0.2">
      <c r="A359" s="57" t="s">
        <v>531</v>
      </c>
      <c r="B359" s="106">
        <v>192</v>
      </c>
      <c r="C359" s="98">
        <v>120</v>
      </c>
      <c r="D359" s="16">
        <v>23040</v>
      </c>
    </row>
    <row r="360" spans="1:4" x14ac:dyDescent="0.2">
      <c r="A360" s="32" t="s">
        <v>554</v>
      </c>
      <c r="B360" s="105">
        <v>136.75</v>
      </c>
      <c r="C360" s="97">
        <v>119</v>
      </c>
      <c r="D360" s="16">
        <v>16273.25</v>
      </c>
    </row>
    <row r="361" spans="1:4" x14ac:dyDescent="0.2">
      <c r="A361" s="17" t="s">
        <v>729</v>
      </c>
      <c r="B361" s="115">
        <v>207.14</v>
      </c>
      <c r="C361" s="97">
        <v>119</v>
      </c>
      <c r="D361" s="16">
        <v>24649.66</v>
      </c>
    </row>
    <row r="362" spans="1:4" x14ac:dyDescent="0.2">
      <c r="A362" s="53" t="s">
        <v>376</v>
      </c>
      <c r="B362" s="106">
        <v>28.5</v>
      </c>
      <c r="C362" s="98">
        <v>118</v>
      </c>
      <c r="D362" s="16">
        <v>3363</v>
      </c>
    </row>
    <row r="363" spans="1:4" x14ac:dyDescent="0.15">
      <c r="A363" s="20" t="s">
        <v>540</v>
      </c>
      <c r="B363" s="108">
        <v>77.099999999999994</v>
      </c>
      <c r="C363" s="97">
        <v>118</v>
      </c>
      <c r="D363" s="16">
        <v>9097.7999999999993</v>
      </c>
    </row>
    <row r="364" spans="1:4" x14ac:dyDescent="0.15">
      <c r="A364" s="20" t="s">
        <v>538</v>
      </c>
      <c r="B364" s="108">
        <v>86.71</v>
      </c>
      <c r="C364" s="97">
        <v>117</v>
      </c>
      <c r="D364" s="16">
        <v>10145.07</v>
      </c>
    </row>
    <row r="365" spans="1:4" x14ac:dyDescent="0.2">
      <c r="A365" s="53" t="s">
        <v>561</v>
      </c>
      <c r="B365" s="105">
        <v>31.6</v>
      </c>
      <c r="C365" s="97">
        <v>115</v>
      </c>
      <c r="D365" s="16">
        <v>3634</v>
      </c>
    </row>
    <row r="366" spans="1:4" x14ac:dyDescent="0.2">
      <c r="A366" s="53" t="s">
        <v>387</v>
      </c>
      <c r="B366" s="106">
        <v>63.08</v>
      </c>
      <c r="C366" s="98">
        <v>114</v>
      </c>
      <c r="D366" s="16">
        <v>7191.12</v>
      </c>
    </row>
    <row r="367" spans="1:4" x14ac:dyDescent="0.2">
      <c r="A367" s="17" t="s">
        <v>480</v>
      </c>
      <c r="B367" s="105">
        <v>7.54</v>
      </c>
      <c r="C367" s="97">
        <v>112</v>
      </c>
      <c r="D367" s="16">
        <v>844.48</v>
      </c>
    </row>
    <row r="368" spans="1:4" x14ac:dyDescent="0.2">
      <c r="A368" s="53" t="s">
        <v>203</v>
      </c>
      <c r="B368" s="105">
        <v>6.33</v>
      </c>
      <c r="C368" s="97">
        <v>111</v>
      </c>
      <c r="D368" s="16">
        <v>702.63</v>
      </c>
    </row>
    <row r="369" spans="1:4" x14ac:dyDescent="0.2">
      <c r="A369" s="30" t="s">
        <v>572</v>
      </c>
      <c r="B369" s="105">
        <v>8.27</v>
      </c>
      <c r="C369" s="97">
        <v>108</v>
      </c>
      <c r="D369" s="16">
        <v>893.16</v>
      </c>
    </row>
    <row r="370" spans="1:4" x14ac:dyDescent="0.15">
      <c r="A370" s="20" t="s">
        <v>539</v>
      </c>
      <c r="B370" s="108">
        <v>68.53</v>
      </c>
      <c r="C370" s="97">
        <v>108</v>
      </c>
      <c r="D370" s="16">
        <v>7401.24</v>
      </c>
    </row>
    <row r="371" spans="1:4" x14ac:dyDescent="0.2">
      <c r="A371" s="53" t="s">
        <v>496</v>
      </c>
      <c r="B371" s="105">
        <v>23.13</v>
      </c>
      <c r="C371" s="97">
        <v>107.14285714285715</v>
      </c>
      <c r="D371" s="16">
        <v>2478.2142857142858</v>
      </c>
    </row>
    <row r="372" spans="1:4" x14ac:dyDescent="0.2">
      <c r="A372" s="17" t="s">
        <v>213</v>
      </c>
      <c r="B372" s="116">
        <v>6.54</v>
      </c>
      <c r="C372" s="97">
        <v>107</v>
      </c>
      <c r="D372" s="16">
        <v>699.78</v>
      </c>
    </row>
    <row r="373" spans="1:4" x14ac:dyDescent="0.15">
      <c r="A373" s="57" t="s">
        <v>709</v>
      </c>
      <c r="B373" s="108">
        <v>8.73</v>
      </c>
      <c r="C373" s="97">
        <v>106</v>
      </c>
      <c r="D373" s="16">
        <v>925.38</v>
      </c>
    </row>
    <row r="374" spans="1:4" x14ac:dyDescent="0.15">
      <c r="A374" s="57" t="s">
        <v>732</v>
      </c>
      <c r="B374" s="108">
        <v>51.25</v>
      </c>
      <c r="C374" s="97">
        <v>105</v>
      </c>
      <c r="D374" s="16">
        <v>5381.25</v>
      </c>
    </row>
    <row r="375" spans="1:4" x14ac:dyDescent="0.2">
      <c r="A375" s="20" t="s">
        <v>478</v>
      </c>
      <c r="B375" s="108">
        <v>32.86</v>
      </c>
      <c r="C375" s="101">
        <v>103</v>
      </c>
      <c r="D375" s="55">
        <v>3384.58</v>
      </c>
    </row>
    <row r="376" spans="1:4" x14ac:dyDescent="0.15">
      <c r="A376" s="57" t="s">
        <v>837</v>
      </c>
      <c r="B376" s="108">
        <v>85.83</v>
      </c>
      <c r="C376" s="97">
        <v>103</v>
      </c>
      <c r="D376" s="16">
        <v>8840.49</v>
      </c>
    </row>
    <row r="377" spans="1:4" x14ac:dyDescent="0.2">
      <c r="A377" s="23" t="s">
        <v>462</v>
      </c>
      <c r="B377" s="104">
        <v>17.2</v>
      </c>
      <c r="C377" s="98">
        <v>102</v>
      </c>
      <c r="D377" s="55">
        <v>1754.3999999999999</v>
      </c>
    </row>
    <row r="378" spans="1:4" x14ac:dyDescent="0.2">
      <c r="A378" s="15" t="s">
        <v>755</v>
      </c>
      <c r="B378" s="105">
        <v>62.98</v>
      </c>
      <c r="C378" s="97">
        <v>102</v>
      </c>
      <c r="D378" s="16">
        <v>6423.96</v>
      </c>
    </row>
    <row r="379" spans="1:4" x14ac:dyDescent="0.15">
      <c r="A379" s="20" t="s">
        <v>851</v>
      </c>
      <c r="B379" s="108">
        <v>9.8000000000000007</v>
      </c>
      <c r="C379" s="97">
        <v>101</v>
      </c>
      <c r="D379" s="16">
        <v>989.80000000000007</v>
      </c>
    </row>
    <row r="380" spans="1:4" x14ac:dyDescent="0.15">
      <c r="A380" s="57" t="s">
        <v>686</v>
      </c>
      <c r="B380" s="112">
        <v>12.45</v>
      </c>
      <c r="C380" s="98">
        <v>101</v>
      </c>
      <c r="D380" s="55">
        <v>1257.4499999999998</v>
      </c>
    </row>
    <row r="381" spans="1:4" x14ac:dyDescent="0.15">
      <c r="A381" s="20" t="s">
        <v>17</v>
      </c>
      <c r="B381" s="112">
        <v>30.2</v>
      </c>
      <c r="C381" s="98">
        <v>100</v>
      </c>
      <c r="D381" s="55">
        <v>3020</v>
      </c>
    </row>
    <row r="382" spans="1:4" x14ac:dyDescent="0.2">
      <c r="A382" s="17" t="s">
        <v>88</v>
      </c>
      <c r="B382" s="105">
        <v>51.7</v>
      </c>
      <c r="C382" s="99">
        <v>100</v>
      </c>
      <c r="D382" s="16">
        <v>5170</v>
      </c>
    </row>
    <row r="383" spans="1:4" x14ac:dyDescent="0.2">
      <c r="A383" s="53" t="s">
        <v>514</v>
      </c>
      <c r="B383" s="105">
        <v>15.59</v>
      </c>
      <c r="C383" s="97">
        <v>100</v>
      </c>
      <c r="D383" s="16">
        <v>1559</v>
      </c>
    </row>
    <row r="384" spans="1:4" x14ac:dyDescent="0.2">
      <c r="A384" s="17" t="s">
        <v>189</v>
      </c>
      <c r="B384" s="105">
        <v>128.63999999999999</v>
      </c>
      <c r="C384" s="101">
        <v>100</v>
      </c>
      <c r="D384" s="16">
        <v>12863.999999999998</v>
      </c>
    </row>
    <row r="385" spans="1:4" x14ac:dyDescent="0.2">
      <c r="A385" s="17" t="s">
        <v>210</v>
      </c>
      <c r="B385" s="105">
        <v>77.63</v>
      </c>
      <c r="C385" s="98">
        <v>100</v>
      </c>
      <c r="D385" s="55">
        <v>7763</v>
      </c>
    </row>
    <row r="386" spans="1:4" x14ac:dyDescent="0.2">
      <c r="A386" s="53" t="s">
        <v>358</v>
      </c>
      <c r="B386" s="106">
        <v>784</v>
      </c>
      <c r="C386" s="98">
        <v>100</v>
      </c>
      <c r="D386" s="16">
        <v>78400</v>
      </c>
    </row>
    <row r="387" spans="1:4" x14ac:dyDescent="0.2">
      <c r="A387" s="53" t="s">
        <v>247</v>
      </c>
      <c r="B387" s="105">
        <v>6.41</v>
      </c>
      <c r="C387" s="97">
        <v>100</v>
      </c>
      <c r="D387" s="16">
        <v>641</v>
      </c>
    </row>
    <row r="388" spans="1:4" x14ac:dyDescent="0.15">
      <c r="A388" s="57" t="s">
        <v>29</v>
      </c>
      <c r="B388" s="112">
        <v>25.1</v>
      </c>
      <c r="C388" s="98">
        <v>99</v>
      </c>
      <c r="D388" s="55">
        <v>2484.9</v>
      </c>
    </row>
    <row r="389" spans="1:4" x14ac:dyDescent="0.2">
      <c r="A389" s="32" t="s">
        <v>407</v>
      </c>
      <c r="B389" s="105">
        <v>14.61</v>
      </c>
      <c r="C389" s="97">
        <v>98.5</v>
      </c>
      <c r="D389" s="16">
        <v>1439.085</v>
      </c>
    </row>
    <row r="390" spans="1:4" x14ac:dyDescent="0.15">
      <c r="A390" s="20" t="s">
        <v>537</v>
      </c>
      <c r="B390" s="108">
        <v>82.61</v>
      </c>
      <c r="C390" s="97">
        <v>98</v>
      </c>
      <c r="D390" s="16">
        <v>8095.78</v>
      </c>
    </row>
    <row r="391" spans="1:4" x14ac:dyDescent="0.2">
      <c r="A391" s="17" t="s">
        <v>541</v>
      </c>
      <c r="B391" s="105">
        <v>385.71</v>
      </c>
      <c r="C391" s="97">
        <v>98</v>
      </c>
      <c r="D391" s="16">
        <v>37799.579999999994</v>
      </c>
    </row>
    <row r="392" spans="1:4" x14ac:dyDescent="0.2">
      <c r="A392" s="17" t="s">
        <v>834</v>
      </c>
      <c r="B392" s="105">
        <v>10.95</v>
      </c>
      <c r="C392" s="97">
        <v>95</v>
      </c>
      <c r="D392" s="16">
        <v>1040.25</v>
      </c>
    </row>
    <row r="393" spans="1:4" x14ac:dyDescent="0.2">
      <c r="A393" s="53" t="s">
        <v>794</v>
      </c>
      <c r="B393" s="106">
        <v>72.2</v>
      </c>
      <c r="C393" s="98">
        <v>93</v>
      </c>
      <c r="D393" s="16">
        <v>6714.6</v>
      </c>
    </row>
    <row r="394" spans="1:4" x14ac:dyDescent="0.2">
      <c r="A394" s="17" t="s">
        <v>632</v>
      </c>
      <c r="B394" s="105">
        <v>730.5</v>
      </c>
      <c r="C394" s="97">
        <v>93</v>
      </c>
      <c r="D394" s="16">
        <v>67936.5</v>
      </c>
    </row>
    <row r="395" spans="1:4" x14ac:dyDescent="0.2">
      <c r="A395" s="31" t="s">
        <v>594</v>
      </c>
      <c r="B395" s="105">
        <v>33.5</v>
      </c>
      <c r="C395" s="97">
        <v>93</v>
      </c>
      <c r="D395" s="16">
        <v>3115.5</v>
      </c>
    </row>
    <row r="396" spans="1:4" x14ac:dyDescent="0.2">
      <c r="A396" s="17" t="s">
        <v>838</v>
      </c>
      <c r="B396" s="105">
        <v>80.88</v>
      </c>
      <c r="C396" s="97">
        <v>89</v>
      </c>
      <c r="D396" s="16">
        <v>7198.32</v>
      </c>
    </row>
    <row r="397" spans="1:4" x14ac:dyDescent="0.2">
      <c r="A397" s="53" t="s">
        <v>360</v>
      </c>
      <c r="B397" s="106">
        <v>248.55</v>
      </c>
      <c r="C397" s="98">
        <v>88</v>
      </c>
      <c r="D397" s="16">
        <v>21872.400000000001</v>
      </c>
    </row>
    <row r="398" spans="1:4" x14ac:dyDescent="0.2">
      <c r="A398" s="53" t="s">
        <v>335</v>
      </c>
      <c r="B398" s="106">
        <v>160.85</v>
      </c>
      <c r="C398" s="98">
        <v>87</v>
      </c>
      <c r="D398" s="16">
        <v>13993.949999999999</v>
      </c>
    </row>
    <row r="399" spans="1:4" x14ac:dyDescent="0.2">
      <c r="A399" s="53" t="s">
        <v>344</v>
      </c>
      <c r="B399" s="106">
        <v>50.78</v>
      </c>
      <c r="C399" s="98">
        <v>87</v>
      </c>
      <c r="D399" s="16">
        <v>4417.8599999999997</v>
      </c>
    </row>
    <row r="400" spans="1:4" x14ac:dyDescent="0.15">
      <c r="A400" s="57" t="s">
        <v>251</v>
      </c>
      <c r="B400" s="108">
        <v>22.7</v>
      </c>
      <c r="C400" s="97">
        <v>85</v>
      </c>
      <c r="D400" s="55">
        <v>1929.5</v>
      </c>
    </row>
    <row r="401" spans="1:4" x14ac:dyDescent="0.15">
      <c r="A401" s="57" t="s">
        <v>651</v>
      </c>
      <c r="B401" s="107">
        <v>51.8</v>
      </c>
      <c r="C401" s="98">
        <v>84</v>
      </c>
      <c r="D401" s="16">
        <v>4351.2</v>
      </c>
    </row>
    <row r="402" spans="1:4" x14ac:dyDescent="0.2">
      <c r="A402" s="20" t="s">
        <v>472</v>
      </c>
      <c r="B402" s="108">
        <v>93.26</v>
      </c>
      <c r="C402" s="101">
        <v>84</v>
      </c>
      <c r="D402" s="55">
        <v>7833.84</v>
      </c>
    </row>
    <row r="403" spans="1:4" x14ac:dyDescent="0.2">
      <c r="A403" s="17" t="s">
        <v>285</v>
      </c>
      <c r="B403" s="105">
        <v>38.200000000000003</v>
      </c>
      <c r="C403" s="97">
        <v>83</v>
      </c>
      <c r="D403" s="16">
        <v>3170.6000000000004</v>
      </c>
    </row>
    <row r="404" spans="1:4" x14ac:dyDescent="0.2">
      <c r="A404" s="53" t="s">
        <v>650</v>
      </c>
      <c r="B404" s="106">
        <v>341.2</v>
      </c>
      <c r="C404" s="98">
        <v>80</v>
      </c>
      <c r="D404" s="16">
        <v>27296</v>
      </c>
    </row>
    <row r="405" spans="1:4" x14ac:dyDescent="0.2">
      <c r="A405" s="15" t="s">
        <v>401</v>
      </c>
      <c r="B405" s="105">
        <v>57.33</v>
      </c>
      <c r="C405" s="97">
        <v>80</v>
      </c>
      <c r="D405" s="16">
        <v>4586.3999999999996</v>
      </c>
    </row>
    <row r="406" spans="1:4" x14ac:dyDescent="0.15">
      <c r="A406" s="57" t="s">
        <v>653</v>
      </c>
      <c r="B406" s="107">
        <v>1063</v>
      </c>
      <c r="C406" s="98">
        <v>79</v>
      </c>
      <c r="D406" s="16">
        <v>83977</v>
      </c>
    </row>
    <row r="407" spans="1:4" x14ac:dyDescent="0.2">
      <c r="A407" s="53" t="s">
        <v>353</v>
      </c>
      <c r="B407" s="106">
        <v>88.1</v>
      </c>
      <c r="C407" s="98">
        <v>79</v>
      </c>
      <c r="D407" s="16">
        <v>6959.9</v>
      </c>
    </row>
    <row r="408" spans="1:4" x14ac:dyDescent="0.2">
      <c r="A408" s="53" t="s">
        <v>642</v>
      </c>
      <c r="B408" s="106">
        <v>72.400000000000006</v>
      </c>
      <c r="C408" s="101">
        <v>78</v>
      </c>
      <c r="D408" s="16">
        <v>5647.2000000000007</v>
      </c>
    </row>
    <row r="409" spans="1:4" x14ac:dyDescent="0.2">
      <c r="A409" s="53" t="s">
        <v>355</v>
      </c>
      <c r="B409" s="110">
        <v>48.14</v>
      </c>
      <c r="C409" s="98">
        <v>78</v>
      </c>
      <c r="D409" s="16">
        <v>3754.92</v>
      </c>
    </row>
    <row r="410" spans="1:4" x14ac:dyDescent="0.2">
      <c r="A410" s="23" t="s">
        <v>31</v>
      </c>
      <c r="B410" s="104">
        <v>88.41</v>
      </c>
      <c r="C410" s="98">
        <v>78</v>
      </c>
      <c r="D410" s="55">
        <v>6895.98</v>
      </c>
    </row>
    <row r="411" spans="1:4" x14ac:dyDescent="0.15">
      <c r="A411" s="57" t="s">
        <v>68</v>
      </c>
      <c r="B411" s="108">
        <v>5.58</v>
      </c>
      <c r="C411" s="97">
        <v>77.215189873417714</v>
      </c>
      <c r="D411" s="16">
        <v>430.86075949367086</v>
      </c>
    </row>
    <row r="412" spans="1:4" x14ac:dyDescent="0.2">
      <c r="A412" s="17" t="s">
        <v>204</v>
      </c>
      <c r="B412" s="105">
        <v>11.1</v>
      </c>
      <c r="C412" s="101">
        <v>76</v>
      </c>
      <c r="D412" s="16">
        <v>843.6</v>
      </c>
    </row>
    <row r="413" spans="1:4" x14ac:dyDescent="0.2">
      <c r="A413" s="31" t="s">
        <v>723</v>
      </c>
      <c r="B413" s="105">
        <v>6.87</v>
      </c>
      <c r="C413" s="97">
        <v>76</v>
      </c>
      <c r="D413" s="16">
        <v>522.12</v>
      </c>
    </row>
    <row r="414" spans="1:4" x14ac:dyDescent="0.2">
      <c r="A414" s="53" t="s">
        <v>393</v>
      </c>
      <c r="B414" s="106">
        <v>105</v>
      </c>
      <c r="C414" s="98">
        <v>76</v>
      </c>
      <c r="D414" s="16">
        <v>7980</v>
      </c>
    </row>
    <row r="415" spans="1:4" x14ac:dyDescent="0.2">
      <c r="A415" s="30" t="s">
        <v>435</v>
      </c>
      <c r="B415" s="105">
        <v>109.47</v>
      </c>
      <c r="C415" s="97">
        <v>75</v>
      </c>
      <c r="D415" s="16">
        <v>8210.25</v>
      </c>
    </row>
    <row r="416" spans="1:4" x14ac:dyDescent="0.2">
      <c r="A416" s="15" t="s">
        <v>726</v>
      </c>
      <c r="B416" s="105">
        <v>522</v>
      </c>
      <c r="C416" s="97">
        <v>74</v>
      </c>
      <c r="D416" s="16">
        <v>38628</v>
      </c>
    </row>
    <row r="417" spans="1:4" x14ac:dyDescent="0.2">
      <c r="A417" s="53" t="s">
        <v>326</v>
      </c>
      <c r="B417" s="106">
        <v>383.5</v>
      </c>
      <c r="C417" s="98">
        <v>74</v>
      </c>
      <c r="D417" s="16">
        <v>28379</v>
      </c>
    </row>
    <row r="418" spans="1:4" x14ac:dyDescent="0.15">
      <c r="A418" s="57" t="s">
        <v>705</v>
      </c>
      <c r="B418" s="107">
        <v>27.2</v>
      </c>
      <c r="C418" s="97">
        <v>73</v>
      </c>
      <c r="D418" s="16">
        <v>1985.6</v>
      </c>
    </row>
    <row r="419" spans="1:4" x14ac:dyDescent="0.2">
      <c r="A419" s="53" t="s">
        <v>338</v>
      </c>
      <c r="B419" s="106">
        <v>57.5</v>
      </c>
      <c r="C419" s="98">
        <v>72</v>
      </c>
      <c r="D419" s="16">
        <v>4140</v>
      </c>
    </row>
    <row r="420" spans="1:4" x14ac:dyDescent="0.2">
      <c r="A420" s="15" t="s">
        <v>402</v>
      </c>
      <c r="B420" s="105">
        <v>20</v>
      </c>
      <c r="C420" s="97">
        <v>71</v>
      </c>
      <c r="D420" s="16">
        <v>1420</v>
      </c>
    </row>
    <row r="421" spans="1:4" x14ac:dyDescent="0.15">
      <c r="A421" s="57" t="s">
        <v>476</v>
      </c>
      <c r="B421" s="107">
        <v>50.03</v>
      </c>
      <c r="C421" s="97">
        <v>70</v>
      </c>
      <c r="D421" s="16">
        <v>3502.1</v>
      </c>
    </row>
    <row r="422" spans="1:4" x14ac:dyDescent="0.2">
      <c r="A422" s="20" t="s">
        <v>869</v>
      </c>
      <c r="B422" s="108">
        <v>22.26</v>
      </c>
      <c r="C422" s="101">
        <v>69</v>
      </c>
      <c r="D422" s="55">
        <v>1535.94</v>
      </c>
    </row>
    <row r="423" spans="1:4" x14ac:dyDescent="0.2">
      <c r="A423" s="53" t="s">
        <v>339</v>
      </c>
      <c r="B423" s="106">
        <v>228</v>
      </c>
      <c r="C423" s="98">
        <v>69</v>
      </c>
      <c r="D423" s="16">
        <v>15732</v>
      </c>
    </row>
    <row r="424" spans="1:4" x14ac:dyDescent="0.2">
      <c r="A424" s="57" t="s">
        <v>532</v>
      </c>
      <c r="B424" s="106">
        <v>192</v>
      </c>
      <c r="C424" s="98">
        <v>68</v>
      </c>
      <c r="D424" s="16">
        <v>13056</v>
      </c>
    </row>
    <row r="425" spans="1:4" x14ac:dyDescent="0.2">
      <c r="A425" s="15" t="s">
        <v>530</v>
      </c>
      <c r="B425" s="105">
        <v>49.09</v>
      </c>
      <c r="C425" s="97">
        <v>67</v>
      </c>
      <c r="D425" s="16">
        <v>3289.03</v>
      </c>
    </row>
    <row r="426" spans="1:4" x14ac:dyDescent="0.15">
      <c r="A426" s="20" t="s">
        <v>842</v>
      </c>
      <c r="B426" s="108">
        <v>143.55000000000001</v>
      </c>
      <c r="C426" s="97">
        <v>66</v>
      </c>
      <c r="D426" s="16">
        <v>9474.3000000000011</v>
      </c>
    </row>
    <row r="427" spans="1:4" x14ac:dyDescent="0.2">
      <c r="A427" s="53" t="s">
        <v>373</v>
      </c>
      <c r="B427" s="106">
        <v>55.2</v>
      </c>
      <c r="C427" s="98">
        <v>65</v>
      </c>
      <c r="D427" s="16">
        <v>3588</v>
      </c>
    </row>
    <row r="428" spans="1:4" x14ac:dyDescent="0.2">
      <c r="A428" s="17" t="s">
        <v>58</v>
      </c>
      <c r="B428" s="105">
        <v>23.62</v>
      </c>
      <c r="C428" s="101">
        <v>64</v>
      </c>
      <c r="D428" s="55">
        <v>1511.68</v>
      </c>
    </row>
    <row r="429" spans="1:4" x14ac:dyDescent="0.2">
      <c r="A429" s="53" t="s">
        <v>359</v>
      </c>
      <c r="B429" s="106">
        <v>223.6</v>
      </c>
      <c r="C429" s="98">
        <v>64</v>
      </c>
      <c r="D429" s="16">
        <v>14310.4</v>
      </c>
    </row>
    <row r="430" spans="1:4" x14ac:dyDescent="0.15">
      <c r="A430" s="57" t="s">
        <v>571</v>
      </c>
      <c r="B430" s="108">
        <v>12.7</v>
      </c>
      <c r="C430" s="97">
        <v>63.63636363636364</v>
      </c>
      <c r="D430" s="16">
        <v>808.18181818181813</v>
      </c>
    </row>
    <row r="431" spans="1:4" x14ac:dyDescent="0.15">
      <c r="A431" s="20" t="s">
        <v>507</v>
      </c>
      <c r="B431" s="108">
        <v>40.700000000000003</v>
      </c>
      <c r="C431" s="97">
        <v>63</v>
      </c>
      <c r="D431" s="16">
        <v>2564.1000000000004</v>
      </c>
    </row>
    <row r="432" spans="1:4" x14ac:dyDescent="0.2">
      <c r="A432" s="17" t="s">
        <v>845</v>
      </c>
      <c r="B432" s="105">
        <v>703.65</v>
      </c>
      <c r="C432" s="97">
        <v>63</v>
      </c>
      <c r="D432" s="16">
        <v>44329.95</v>
      </c>
    </row>
    <row r="433" spans="1:4" x14ac:dyDescent="0.2">
      <c r="A433" s="17" t="s">
        <v>792</v>
      </c>
      <c r="B433" s="105">
        <v>64.099999999999994</v>
      </c>
      <c r="C433" s="101">
        <v>63</v>
      </c>
      <c r="D433" s="55">
        <v>4038.2999999999997</v>
      </c>
    </row>
    <row r="434" spans="1:4" x14ac:dyDescent="0.2">
      <c r="A434" s="53" t="s">
        <v>648</v>
      </c>
      <c r="B434" s="106">
        <v>69.239999999999995</v>
      </c>
      <c r="C434" s="97">
        <v>63</v>
      </c>
      <c r="D434" s="16">
        <v>4362.12</v>
      </c>
    </row>
    <row r="435" spans="1:4" x14ac:dyDescent="0.2">
      <c r="A435" s="53" t="s">
        <v>790</v>
      </c>
      <c r="B435" s="105">
        <v>93.14</v>
      </c>
      <c r="C435" s="101">
        <v>62</v>
      </c>
      <c r="D435" s="55">
        <v>5774.68</v>
      </c>
    </row>
    <row r="436" spans="1:4" x14ac:dyDescent="0.2">
      <c r="A436" s="17" t="s">
        <v>53</v>
      </c>
      <c r="B436" s="115">
        <v>21.39</v>
      </c>
      <c r="C436" s="101">
        <v>61</v>
      </c>
      <c r="D436" s="55">
        <v>1304.79</v>
      </c>
    </row>
    <row r="437" spans="1:4" x14ac:dyDescent="0.2">
      <c r="A437" s="53" t="s">
        <v>758</v>
      </c>
      <c r="B437" s="105">
        <v>47.72</v>
      </c>
      <c r="C437" s="97">
        <v>60</v>
      </c>
      <c r="D437" s="16">
        <v>2863.2</v>
      </c>
    </row>
    <row r="438" spans="1:4" x14ac:dyDescent="0.2">
      <c r="A438" s="17" t="s">
        <v>857</v>
      </c>
      <c r="B438" s="105">
        <v>70.959999999999994</v>
      </c>
      <c r="C438" s="97">
        <v>60</v>
      </c>
      <c r="D438" s="16">
        <v>4257.5999999999995</v>
      </c>
    </row>
    <row r="439" spans="1:4" x14ac:dyDescent="0.2">
      <c r="A439" s="53" t="s">
        <v>370</v>
      </c>
      <c r="B439" s="106">
        <v>210</v>
      </c>
      <c r="C439" s="98">
        <v>60</v>
      </c>
      <c r="D439" s="16">
        <v>12600</v>
      </c>
    </row>
    <row r="440" spans="1:4" x14ac:dyDescent="0.15">
      <c r="A440" s="57" t="s">
        <v>509</v>
      </c>
      <c r="B440" s="107">
        <v>881.64</v>
      </c>
      <c r="C440" s="97">
        <v>59</v>
      </c>
      <c r="D440" s="16">
        <v>52016.76</v>
      </c>
    </row>
    <row r="441" spans="1:4" x14ac:dyDescent="0.2">
      <c r="A441" s="53" t="s">
        <v>168</v>
      </c>
      <c r="B441" s="105">
        <v>6.09</v>
      </c>
      <c r="C441" s="97">
        <v>58.333333333333336</v>
      </c>
      <c r="D441" s="16">
        <v>355.25</v>
      </c>
    </row>
    <row r="442" spans="1:4" x14ac:dyDescent="0.2">
      <c r="A442" s="53" t="s">
        <v>791</v>
      </c>
      <c r="B442" s="105">
        <v>186.25</v>
      </c>
      <c r="C442" s="101">
        <v>58</v>
      </c>
      <c r="D442" s="55">
        <v>10802.5</v>
      </c>
    </row>
    <row r="443" spans="1:4" x14ac:dyDescent="0.2">
      <c r="A443" s="53" t="s">
        <v>302</v>
      </c>
      <c r="B443" s="106">
        <v>52.6</v>
      </c>
      <c r="C443" s="98">
        <v>57</v>
      </c>
      <c r="D443" s="16">
        <v>2998.2000000000003</v>
      </c>
    </row>
    <row r="444" spans="1:4" x14ac:dyDescent="0.2">
      <c r="A444" s="17" t="s">
        <v>250</v>
      </c>
      <c r="B444" s="105">
        <v>94.4</v>
      </c>
      <c r="C444" s="97">
        <v>57</v>
      </c>
      <c r="D444" s="55">
        <v>5380.8</v>
      </c>
    </row>
    <row r="445" spans="1:4" x14ac:dyDescent="0.2">
      <c r="A445" s="32" t="s">
        <v>408</v>
      </c>
      <c r="B445" s="105">
        <v>8.2899999999999991</v>
      </c>
      <c r="C445" s="97">
        <v>57</v>
      </c>
      <c r="D445" s="16">
        <v>472.53</v>
      </c>
    </row>
    <row r="446" spans="1:4" x14ac:dyDescent="0.2">
      <c r="A446" s="17" t="s">
        <v>544</v>
      </c>
      <c r="B446" s="105">
        <v>53.54</v>
      </c>
      <c r="C446" s="97">
        <v>56</v>
      </c>
      <c r="D446" s="16">
        <v>2998.24</v>
      </c>
    </row>
    <row r="447" spans="1:4" x14ac:dyDescent="0.15">
      <c r="A447" s="20" t="s">
        <v>856</v>
      </c>
      <c r="B447" s="108">
        <v>51.73</v>
      </c>
      <c r="C447" s="97">
        <v>55</v>
      </c>
      <c r="D447" s="16">
        <v>2845.1499999999996</v>
      </c>
    </row>
    <row r="448" spans="1:4" x14ac:dyDescent="0.2">
      <c r="A448" s="53" t="s">
        <v>749</v>
      </c>
      <c r="B448" s="117">
        <v>83</v>
      </c>
      <c r="C448" s="98">
        <v>54</v>
      </c>
      <c r="D448" s="16">
        <v>4482</v>
      </c>
    </row>
    <row r="449" spans="1:4" x14ac:dyDescent="0.15">
      <c r="A449" s="20" t="s">
        <v>279</v>
      </c>
      <c r="B449" s="108">
        <v>63.88</v>
      </c>
      <c r="C449" s="97">
        <v>53</v>
      </c>
      <c r="D449" s="16">
        <v>3385.6400000000003</v>
      </c>
    </row>
    <row r="450" spans="1:4" x14ac:dyDescent="0.15">
      <c r="A450" s="57" t="s">
        <v>346</v>
      </c>
      <c r="B450" s="107">
        <v>52.56</v>
      </c>
      <c r="C450" s="98">
        <v>53</v>
      </c>
      <c r="D450" s="16">
        <v>2785.6800000000003</v>
      </c>
    </row>
    <row r="451" spans="1:4" x14ac:dyDescent="0.2">
      <c r="A451" s="17" t="s">
        <v>875</v>
      </c>
      <c r="B451" s="105">
        <v>106.66</v>
      </c>
      <c r="C451" s="97">
        <v>50</v>
      </c>
      <c r="D451" s="16">
        <v>5333</v>
      </c>
    </row>
    <row r="452" spans="1:4" x14ac:dyDescent="0.2">
      <c r="A452" s="17" t="s">
        <v>519</v>
      </c>
      <c r="B452" s="105">
        <v>69.069999999999993</v>
      </c>
      <c r="C452" s="97">
        <v>50</v>
      </c>
      <c r="D452" s="16">
        <v>3453.4999999999995</v>
      </c>
    </row>
    <row r="453" spans="1:4" x14ac:dyDescent="0.2">
      <c r="A453" s="53" t="s">
        <v>378</v>
      </c>
      <c r="B453" s="106">
        <v>17.8</v>
      </c>
      <c r="C453" s="98">
        <v>50</v>
      </c>
      <c r="D453" s="16">
        <v>890</v>
      </c>
    </row>
    <row r="454" spans="1:4" x14ac:dyDescent="0.2">
      <c r="A454" s="31" t="s">
        <v>724</v>
      </c>
      <c r="B454" s="105">
        <v>142.88</v>
      </c>
      <c r="C454" s="97">
        <v>50</v>
      </c>
      <c r="D454" s="16">
        <v>7144</v>
      </c>
    </row>
    <row r="455" spans="1:4" x14ac:dyDescent="0.2">
      <c r="A455" s="57" t="s">
        <v>392</v>
      </c>
      <c r="B455" s="106">
        <v>15.2</v>
      </c>
      <c r="C455" s="98">
        <v>49</v>
      </c>
      <c r="D455" s="16">
        <v>4468.8</v>
      </c>
    </row>
    <row r="456" spans="1:4" x14ac:dyDescent="0.2">
      <c r="A456" s="53" t="s">
        <v>689</v>
      </c>
      <c r="B456" s="112">
        <v>56.75</v>
      </c>
      <c r="C456" s="102">
        <v>49</v>
      </c>
      <c r="D456" s="55">
        <v>2780.75</v>
      </c>
    </row>
    <row r="457" spans="1:4" x14ac:dyDescent="0.2">
      <c r="A457" s="53" t="s">
        <v>804</v>
      </c>
      <c r="B457" s="106">
        <v>838.8</v>
      </c>
      <c r="C457" s="98">
        <v>48</v>
      </c>
      <c r="D457" s="16">
        <v>40262.399999999994</v>
      </c>
    </row>
    <row r="458" spans="1:4" x14ac:dyDescent="0.2">
      <c r="A458" s="30" t="s">
        <v>612</v>
      </c>
      <c r="B458" s="105">
        <v>1969.26</v>
      </c>
      <c r="C458" s="97">
        <v>47</v>
      </c>
      <c r="D458" s="16">
        <v>92555.22</v>
      </c>
    </row>
    <row r="459" spans="1:4" x14ac:dyDescent="0.2">
      <c r="A459" s="17" t="s">
        <v>479</v>
      </c>
      <c r="B459" s="105">
        <v>52.02</v>
      </c>
      <c r="C459" s="101">
        <v>46</v>
      </c>
      <c r="D459" s="55">
        <v>2392.92</v>
      </c>
    </row>
    <row r="460" spans="1:4" x14ac:dyDescent="0.2">
      <c r="A460" s="53" t="s">
        <v>664</v>
      </c>
      <c r="B460" s="106">
        <v>469.8</v>
      </c>
      <c r="C460" s="98">
        <v>46</v>
      </c>
      <c r="D460" s="16">
        <v>21610.799999999999</v>
      </c>
    </row>
    <row r="461" spans="1:4" x14ac:dyDescent="0.2">
      <c r="A461" s="53" t="s">
        <v>813</v>
      </c>
      <c r="B461" s="110">
        <v>50.78</v>
      </c>
      <c r="C461" s="98">
        <v>46</v>
      </c>
      <c r="D461" s="16">
        <v>2335.88</v>
      </c>
    </row>
    <row r="462" spans="1:4" x14ac:dyDescent="0.15">
      <c r="A462" s="20" t="s">
        <v>74</v>
      </c>
      <c r="B462" s="108">
        <v>40.72</v>
      </c>
      <c r="C462" s="97">
        <v>44</v>
      </c>
      <c r="D462" s="16">
        <v>1791.6799999999998</v>
      </c>
    </row>
    <row r="463" spans="1:4" x14ac:dyDescent="0.15">
      <c r="A463" s="20" t="s">
        <v>300</v>
      </c>
      <c r="B463" s="108">
        <v>81.3</v>
      </c>
      <c r="C463" s="97">
        <v>44</v>
      </c>
      <c r="D463" s="16">
        <v>3577.2</v>
      </c>
    </row>
    <row r="464" spans="1:4" x14ac:dyDescent="0.2">
      <c r="A464" s="17" t="s">
        <v>763</v>
      </c>
      <c r="B464" s="115">
        <v>53.4</v>
      </c>
      <c r="C464" s="97">
        <v>44</v>
      </c>
      <c r="D464" s="16">
        <v>2349.6</v>
      </c>
    </row>
    <row r="465" spans="1:4" x14ac:dyDescent="0.15">
      <c r="A465" s="20" t="s">
        <v>258</v>
      </c>
      <c r="B465" s="108">
        <v>49.18</v>
      </c>
      <c r="C465" s="97">
        <v>43</v>
      </c>
      <c r="D465" s="16">
        <v>2114.7399999999998</v>
      </c>
    </row>
    <row r="466" spans="1:4" x14ac:dyDescent="0.2">
      <c r="A466" s="53" t="s">
        <v>305</v>
      </c>
      <c r="B466" s="106">
        <v>80</v>
      </c>
      <c r="C466" s="98">
        <v>42</v>
      </c>
      <c r="D466" s="16">
        <v>3360</v>
      </c>
    </row>
    <row r="467" spans="1:4" x14ac:dyDescent="0.2">
      <c r="A467" s="17" t="s">
        <v>66</v>
      </c>
      <c r="B467" s="105">
        <v>43.81</v>
      </c>
      <c r="C467" s="101">
        <v>42</v>
      </c>
      <c r="D467" s="55">
        <v>1840.02</v>
      </c>
    </row>
    <row r="468" spans="1:4" x14ac:dyDescent="0.2">
      <c r="A468" s="53" t="s">
        <v>141</v>
      </c>
      <c r="B468" s="105">
        <v>7.27</v>
      </c>
      <c r="C468" s="97">
        <v>40</v>
      </c>
      <c r="D468" s="16">
        <v>290.79999999999995</v>
      </c>
    </row>
    <row r="469" spans="1:4" x14ac:dyDescent="0.15">
      <c r="A469" s="57" t="s">
        <v>337</v>
      </c>
      <c r="B469" s="107">
        <v>130</v>
      </c>
      <c r="C469" s="98">
        <v>40</v>
      </c>
      <c r="D469" s="16">
        <v>5200</v>
      </c>
    </row>
    <row r="470" spans="1:4" x14ac:dyDescent="0.2">
      <c r="A470" s="53" t="s">
        <v>846</v>
      </c>
      <c r="B470" s="105">
        <v>12.02</v>
      </c>
      <c r="C470" s="97">
        <v>40</v>
      </c>
      <c r="D470" s="16">
        <v>480.79999999999995</v>
      </c>
    </row>
    <row r="471" spans="1:4" x14ac:dyDescent="0.2">
      <c r="A471" s="53" t="s">
        <v>351</v>
      </c>
      <c r="B471" s="106">
        <v>58.7</v>
      </c>
      <c r="C471" s="98">
        <v>40</v>
      </c>
      <c r="D471" s="16">
        <v>2348</v>
      </c>
    </row>
    <row r="472" spans="1:4" x14ac:dyDescent="0.2">
      <c r="A472" s="53" t="s">
        <v>547</v>
      </c>
      <c r="B472" s="105">
        <v>146.6</v>
      </c>
      <c r="C472" s="97">
        <v>40</v>
      </c>
      <c r="D472" s="16">
        <v>5864</v>
      </c>
    </row>
    <row r="473" spans="1:4" x14ac:dyDescent="0.2">
      <c r="A473" s="53" t="s">
        <v>652</v>
      </c>
      <c r="B473" s="106">
        <v>538.29999999999995</v>
      </c>
      <c r="C473" s="98">
        <v>39</v>
      </c>
      <c r="D473" s="16">
        <v>20993.699999999997</v>
      </c>
    </row>
    <row r="474" spans="1:4" x14ac:dyDescent="0.2">
      <c r="A474" s="53" t="s">
        <v>674</v>
      </c>
      <c r="B474" s="106">
        <v>1271.7</v>
      </c>
      <c r="C474" s="98">
        <v>39</v>
      </c>
      <c r="D474" s="16">
        <v>49596.3</v>
      </c>
    </row>
    <row r="475" spans="1:4" x14ac:dyDescent="0.15">
      <c r="A475" s="20" t="s">
        <v>252</v>
      </c>
      <c r="B475" s="107">
        <v>73.7</v>
      </c>
      <c r="C475" s="97">
        <v>38</v>
      </c>
      <c r="D475" s="55">
        <v>2800.6</v>
      </c>
    </row>
    <row r="476" spans="1:4" x14ac:dyDescent="0.2">
      <c r="A476" s="23" t="s">
        <v>468</v>
      </c>
      <c r="B476" s="104">
        <v>18.97</v>
      </c>
      <c r="C476" s="98">
        <v>37</v>
      </c>
      <c r="D476" s="55">
        <v>701.89</v>
      </c>
    </row>
    <row r="477" spans="1:4" x14ac:dyDescent="0.2">
      <c r="A477" s="17" t="s">
        <v>864</v>
      </c>
      <c r="B477" s="115">
        <v>66.3</v>
      </c>
      <c r="C477" s="97">
        <v>37</v>
      </c>
      <c r="D477" s="16">
        <v>2453.1</v>
      </c>
    </row>
    <row r="478" spans="1:4" x14ac:dyDescent="0.2">
      <c r="A478" s="17" t="s">
        <v>254</v>
      </c>
      <c r="B478" s="105">
        <v>77.5</v>
      </c>
      <c r="C478" s="97">
        <v>36</v>
      </c>
      <c r="D478" s="16">
        <v>2790</v>
      </c>
    </row>
    <row r="479" spans="1:4" x14ac:dyDescent="0.2">
      <c r="A479" s="53" t="s">
        <v>808</v>
      </c>
      <c r="B479" s="106">
        <v>671</v>
      </c>
      <c r="C479" s="98">
        <v>36</v>
      </c>
      <c r="D479" s="16">
        <v>24156</v>
      </c>
    </row>
    <row r="480" spans="1:4" x14ac:dyDescent="0.2">
      <c r="A480" s="30" t="s">
        <v>722</v>
      </c>
      <c r="B480" s="105">
        <v>32.25</v>
      </c>
      <c r="C480" s="97">
        <v>36</v>
      </c>
      <c r="D480" s="16">
        <v>1161</v>
      </c>
    </row>
    <row r="481" spans="1:4" x14ac:dyDescent="0.2">
      <c r="A481" s="17" t="s">
        <v>272</v>
      </c>
      <c r="B481" s="105">
        <v>82.3</v>
      </c>
      <c r="C481" s="97">
        <v>36</v>
      </c>
      <c r="D481" s="16">
        <v>2962.7999999999997</v>
      </c>
    </row>
    <row r="482" spans="1:4" x14ac:dyDescent="0.2">
      <c r="A482" s="53" t="s">
        <v>397</v>
      </c>
      <c r="B482" s="106">
        <v>290</v>
      </c>
      <c r="C482" s="98">
        <v>36</v>
      </c>
      <c r="D482" s="16">
        <v>10440</v>
      </c>
    </row>
    <row r="483" spans="1:4" x14ac:dyDescent="0.15">
      <c r="A483" s="57" t="s">
        <v>333</v>
      </c>
      <c r="B483" s="107">
        <v>81.06</v>
      </c>
      <c r="C483" s="98">
        <v>35</v>
      </c>
      <c r="D483" s="16">
        <v>2837.1</v>
      </c>
    </row>
    <row r="484" spans="1:4" x14ac:dyDescent="0.2">
      <c r="A484" s="32" t="s">
        <v>529</v>
      </c>
      <c r="B484" s="105">
        <v>26.53</v>
      </c>
      <c r="C484" s="97">
        <v>35</v>
      </c>
      <c r="D484" s="16">
        <v>928.55000000000007</v>
      </c>
    </row>
    <row r="485" spans="1:4" x14ac:dyDescent="0.2">
      <c r="A485" s="17" t="s">
        <v>630</v>
      </c>
      <c r="B485" s="105">
        <v>89.9</v>
      </c>
      <c r="C485" s="97">
        <v>34</v>
      </c>
      <c r="D485" s="16">
        <v>3056.6000000000004</v>
      </c>
    </row>
    <row r="486" spans="1:4" x14ac:dyDescent="0.2">
      <c r="A486" s="17" t="s">
        <v>263</v>
      </c>
      <c r="B486" s="105">
        <v>71</v>
      </c>
      <c r="C486" s="97">
        <v>34</v>
      </c>
      <c r="D486" s="16">
        <v>2414</v>
      </c>
    </row>
    <row r="487" spans="1:4" x14ac:dyDescent="0.2">
      <c r="A487" s="17" t="s">
        <v>276</v>
      </c>
      <c r="B487" s="105">
        <v>164.8</v>
      </c>
      <c r="C487" s="97">
        <v>33</v>
      </c>
      <c r="D487" s="16">
        <v>5438.4000000000005</v>
      </c>
    </row>
    <row r="488" spans="1:4" x14ac:dyDescent="0.2">
      <c r="A488" s="53" t="s">
        <v>371</v>
      </c>
      <c r="B488" s="106">
        <v>295</v>
      </c>
      <c r="C488" s="98">
        <v>33</v>
      </c>
      <c r="D488" s="16">
        <v>9735</v>
      </c>
    </row>
    <row r="489" spans="1:4" x14ac:dyDescent="0.2">
      <c r="A489" s="30" t="s">
        <v>861</v>
      </c>
      <c r="B489" s="105">
        <v>10.77</v>
      </c>
      <c r="C489" s="97">
        <v>32</v>
      </c>
      <c r="D489" s="16">
        <v>344.64</v>
      </c>
    </row>
    <row r="490" spans="1:4" x14ac:dyDescent="0.2">
      <c r="A490" s="17" t="s">
        <v>264</v>
      </c>
      <c r="B490" s="105">
        <v>154.55000000000001</v>
      </c>
      <c r="C490" s="97">
        <v>31</v>
      </c>
      <c r="D490" s="16">
        <v>4791.05</v>
      </c>
    </row>
    <row r="491" spans="1:4" x14ac:dyDescent="0.2">
      <c r="A491" s="17" t="s">
        <v>287</v>
      </c>
      <c r="B491" s="105">
        <v>84.66</v>
      </c>
      <c r="C491" s="97">
        <v>31</v>
      </c>
      <c r="D491" s="16">
        <v>2624.46</v>
      </c>
    </row>
    <row r="492" spans="1:4" x14ac:dyDescent="0.2">
      <c r="A492" s="31" t="s">
        <v>525</v>
      </c>
      <c r="B492" s="105">
        <v>77.599999999999994</v>
      </c>
      <c r="C492" s="97">
        <v>31</v>
      </c>
      <c r="D492" s="16">
        <v>2405.6</v>
      </c>
    </row>
    <row r="493" spans="1:4" x14ac:dyDescent="0.2">
      <c r="A493" s="53" t="s">
        <v>503</v>
      </c>
      <c r="B493" s="106">
        <v>159.6</v>
      </c>
      <c r="C493" s="97">
        <v>30</v>
      </c>
      <c r="D493" s="16">
        <v>4788</v>
      </c>
    </row>
    <row r="494" spans="1:4" x14ac:dyDescent="0.2">
      <c r="A494" s="53" t="s">
        <v>858</v>
      </c>
      <c r="B494" s="105">
        <v>247.53</v>
      </c>
      <c r="C494" s="97">
        <v>30</v>
      </c>
      <c r="D494" s="16">
        <v>7425.9</v>
      </c>
    </row>
    <row r="495" spans="1:4" x14ac:dyDescent="0.2">
      <c r="A495" s="53" t="s">
        <v>334</v>
      </c>
      <c r="B495" s="106">
        <v>107</v>
      </c>
      <c r="C495" s="98">
        <v>30</v>
      </c>
      <c r="D495" s="16">
        <v>3210</v>
      </c>
    </row>
    <row r="496" spans="1:4" x14ac:dyDescent="0.2">
      <c r="A496" s="53" t="s">
        <v>548</v>
      </c>
      <c r="B496" s="106">
        <v>76.3</v>
      </c>
      <c r="C496" s="97">
        <v>30</v>
      </c>
      <c r="D496" s="16">
        <v>2289</v>
      </c>
    </row>
    <row r="497" spans="1:4" x14ac:dyDescent="0.2">
      <c r="A497" s="53" t="s">
        <v>394</v>
      </c>
      <c r="B497" s="106">
        <v>220</v>
      </c>
      <c r="C497" s="98">
        <v>29</v>
      </c>
      <c r="D497" s="16">
        <v>6380</v>
      </c>
    </row>
    <row r="498" spans="1:4" x14ac:dyDescent="0.2">
      <c r="A498" s="17" t="s">
        <v>38</v>
      </c>
      <c r="B498" s="105">
        <v>395.23</v>
      </c>
      <c r="C498" s="101">
        <v>28</v>
      </c>
      <c r="D498" s="55">
        <v>11066.44</v>
      </c>
    </row>
    <row r="499" spans="1:4" x14ac:dyDescent="0.2">
      <c r="A499" s="53" t="s">
        <v>862</v>
      </c>
      <c r="B499" s="106">
        <v>111.8</v>
      </c>
      <c r="C499" s="97">
        <v>28</v>
      </c>
      <c r="D499" s="16">
        <v>3130.4</v>
      </c>
    </row>
    <row r="500" spans="1:4" x14ac:dyDescent="0.2">
      <c r="A500" s="53" t="s">
        <v>675</v>
      </c>
      <c r="B500" s="106">
        <v>1161.2</v>
      </c>
      <c r="C500" s="98">
        <v>28</v>
      </c>
      <c r="D500" s="16">
        <v>32513.600000000002</v>
      </c>
    </row>
    <row r="501" spans="1:4" x14ac:dyDescent="0.2">
      <c r="A501" s="53" t="s">
        <v>352</v>
      </c>
      <c r="B501" s="106">
        <v>133.6</v>
      </c>
      <c r="C501" s="98">
        <v>27</v>
      </c>
      <c r="D501" s="16">
        <v>3607.2</v>
      </c>
    </row>
    <row r="502" spans="1:4" x14ac:dyDescent="0.15">
      <c r="A502" s="57" t="s">
        <v>663</v>
      </c>
      <c r="B502" s="107">
        <v>523.9</v>
      </c>
      <c r="C502" s="98">
        <v>27</v>
      </c>
      <c r="D502" s="16">
        <v>14145.3</v>
      </c>
    </row>
    <row r="503" spans="1:4" x14ac:dyDescent="0.15">
      <c r="A503" s="57" t="s">
        <v>396</v>
      </c>
      <c r="B503" s="107">
        <v>394</v>
      </c>
      <c r="C503" s="98">
        <v>25</v>
      </c>
      <c r="D503" s="16">
        <v>9850</v>
      </c>
    </row>
    <row r="504" spans="1:4" x14ac:dyDescent="0.2">
      <c r="A504" s="17" t="s">
        <v>291</v>
      </c>
      <c r="B504" s="105">
        <v>454</v>
      </c>
      <c r="C504" s="97">
        <v>24</v>
      </c>
      <c r="D504" s="16">
        <v>10896</v>
      </c>
    </row>
    <row r="505" spans="1:4" x14ac:dyDescent="0.15">
      <c r="A505" s="20" t="s">
        <v>19</v>
      </c>
      <c r="B505" s="112">
        <v>8.91</v>
      </c>
      <c r="C505" s="98">
        <v>24</v>
      </c>
      <c r="D505" s="55">
        <v>213.84</v>
      </c>
    </row>
    <row r="506" spans="1:4" x14ac:dyDescent="0.2">
      <c r="A506" s="17" t="s">
        <v>293</v>
      </c>
      <c r="B506" s="105">
        <v>483.1</v>
      </c>
      <c r="C506" s="97">
        <v>24</v>
      </c>
      <c r="D506" s="16">
        <v>11594.400000000001</v>
      </c>
    </row>
    <row r="507" spans="1:4" x14ac:dyDescent="0.2">
      <c r="A507" s="17" t="s">
        <v>855</v>
      </c>
      <c r="B507" s="109">
        <v>352.89</v>
      </c>
      <c r="C507" s="97">
        <v>24</v>
      </c>
      <c r="D507" s="16">
        <v>8469.36</v>
      </c>
    </row>
    <row r="508" spans="1:4" x14ac:dyDescent="0.2">
      <c r="A508" s="53" t="s">
        <v>802</v>
      </c>
      <c r="B508" s="106">
        <v>50.78</v>
      </c>
      <c r="C508" s="98">
        <v>22</v>
      </c>
      <c r="D508" s="16">
        <v>1117.1600000000001</v>
      </c>
    </row>
    <row r="509" spans="1:4" x14ac:dyDescent="0.2">
      <c r="A509" s="17" t="s">
        <v>720</v>
      </c>
      <c r="B509" s="105">
        <v>10.83</v>
      </c>
      <c r="C509" s="97">
        <v>22</v>
      </c>
      <c r="D509" s="16">
        <v>238.26</v>
      </c>
    </row>
    <row r="510" spans="1:4" x14ac:dyDescent="0.15">
      <c r="A510" s="57" t="s">
        <v>347</v>
      </c>
      <c r="B510" s="107">
        <v>83.2</v>
      </c>
      <c r="C510" s="98">
        <v>22</v>
      </c>
      <c r="D510" s="16">
        <v>1830.4</v>
      </c>
    </row>
    <row r="511" spans="1:4" x14ac:dyDescent="0.2">
      <c r="A511" s="17" t="s">
        <v>268</v>
      </c>
      <c r="B511" s="105">
        <v>412</v>
      </c>
      <c r="C511" s="97">
        <v>21</v>
      </c>
      <c r="D511" s="16">
        <v>8652</v>
      </c>
    </row>
    <row r="512" spans="1:4" x14ac:dyDescent="0.2">
      <c r="A512" s="53" t="s">
        <v>654</v>
      </c>
      <c r="B512" s="106">
        <v>420.5</v>
      </c>
      <c r="C512" s="98">
        <v>20</v>
      </c>
      <c r="D512" s="16">
        <v>8410</v>
      </c>
    </row>
    <row r="513" spans="1:4" x14ac:dyDescent="0.2">
      <c r="A513" s="53" t="s">
        <v>638</v>
      </c>
      <c r="B513" s="105">
        <v>195</v>
      </c>
      <c r="C513" s="97">
        <v>20</v>
      </c>
      <c r="D513" s="16">
        <v>3900</v>
      </c>
    </row>
    <row r="514" spans="1:4" x14ac:dyDescent="0.2">
      <c r="A514" s="53" t="s">
        <v>343</v>
      </c>
      <c r="B514" s="106">
        <v>3898.5</v>
      </c>
      <c r="C514" s="98">
        <v>20</v>
      </c>
      <c r="D514" s="16">
        <v>77970</v>
      </c>
    </row>
    <row r="515" spans="1:4" x14ac:dyDescent="0.2">
      <c r="A515" s="53" t="s">
        <v>667</v>
      </c>
      <c r="B515" s="106">
        <v>493.55</v>
      </c>
      <c r="C515" s="98">
        <v>20</v>
      </c>
      <c r="D515" s="16">
        <v>9871</v>
      </c>
    </row>
    <row r="516" spans="1:4" x14ac:dyDescent="0.2">
      <c r="A516" s="30" t="s">
        <v>437</v>
      </c>
      <c r="B516" s="105">
        <v>362.2</v>
      </c>
      <c r="C516" s="97">
        <v>20</v>
      </c>
      <c r="D516" s="16">
        <v>7244</v>
      </c>
    </row>
    <row r="517" spans="1:4" x14ac:dyDescent="0.2">
      <c r="A517" s="53" t="s">
        <v>372</v>
      </c>
      <c r="B517" s="106">
        <v>381.6</v>
      </c>
      <c r="C517" s="98">
        <v>20</v>
      </c>
      <c r="D517" s="16">
        <v>7632</v>
      </c>
    </row>
    <row r="518" spans="1:4" x14ac:dyDescent="0.2">
      <c r="A518" s="53" t="s">
        <v>304</v>
      </c>
      <c r="B518" s="106">
        <v>163.69999999999999</v>
      </c>
      <c r="C518" s="98">
        <v>19</v>
      </c>
      <c r="D518" s="16">
        <v>3110.2999999999997</v>
      </c>
    </row>
    <row r="519" spans="1:4" x14ac:dyDescent="0.15">
      <c r="A519" s="20" t="s">
        <v>618</v>
      </c>
      <c r="B519" s="108">
        <v>80</v>
      </c>
      <c r="C519" s="97">
        <v>19</v>
      </c>
      <c r="D519" s="16">
        <v>1520</v>
      </c>
    </row>
    <row r="520" spans="1:4" x14ac:dyDescent="0.2">
      <c r="A520" s="53" t="s">
        <v>795</v>
      </c>
      <c r="B520" s="106">
        <v>274</v>
      </c>
      <c r="C520" s="98">
        <v>19</v>
      </c>
      <c r="D520" s="16">
        <v>5206</v>
      </c>
    </row>
    <row r="521" spans="1:4" x14ac:dyDescent="0.15">
      <c r="A521" s="57" t="s">
        <v>801</v>
      </c>
      <c r="B521" s="107">
        <v>109</v>
      </c>
      <c r="C521" s="98">
        <v>19</v>
      </c>
      <c r="D521" s="16">
        <v>2071</v>
      </c>
    </row>
    <row r="522" spans="1:4" x14ac:dyDescent="0.15">
      <c r="A522" s="57" t="s">
        <v>310</v>
      </c>
      <c r="B522" s="107">
        <v>109.5</v>
      </c>
      <c r="C522" s="98">
        <v>17</v>
      </c>
      <c r="D522" s="16">
        <v>1861.5</v>
      </c>
    </row>
    <row r="523" spans="1:4" x14ac:dyDescent="0.2">
      <c r="A523" s="17" t="s">
        <v>631</v>
      </c>
      <c r="B523" s="105">
        <v>90</v>
      </c>
      <c r="C523" s="97">
        <v>17</v>
      </c>
      <c r="D523" s="16">
        <v>1530</v>
      </c>
    </row>
    <row r="524" spans="1:4" x14ac:dyDescent="0.15">
      <c r="A524" s="57" t="s">
        <v>366</v>
      </c>
      <c r="B524" s="107">
        <v>454.4</v>
      </c>
      <c r="C524" s="98">
        <v>16</v>
      </c>
      <c r="D524" s="16">
        <v>7270.4</v>
      </c>
    </row>
    <row r="525" spans="1:4" x14ac:dyDescent="0.2">
      <c r="A525" s="17" t="s">
        <v>248</v>
      </c>
      <c r="B525" s="105">
        <v>196.5</v>
      </c>
      <c r="C525" s="97">
        <v>15</v>
      </c>
      <c r="D525" s="55">
        <v>2947.5</v>
      </c>
    </row>
    <row r="526" spans="1:4" x14ac:dyDescent="0.2">
      <c r="A526" s="17" t="s">
        <v>259</v>
      </c>
      <c r="B526" s="105">
        <v>345</v>
      </c>
      <c r="C526" s="97">
        <v>15</v>
      </c>
      <c r="D526" s="16">
        <v>5175</v>
      </c>
    </row>
    <row r="527" spans="1:4" x14ac:dyDescent="0.2">
      <c r="A527" s="53" t="s">
        <v>369</v>
      </c>
      <c r="B527" s="106">
        <v>210</v>
      </c>
      <c r="C527" s="98">
        <v>15</v>
      </c>
      <c r="D527" s="16">
        <v>3150</v>
      </c>
    </row>
    <row r="528" spans="1:4" x14ac:dyDescent="0.2">
      <c r="A528" s="53" t="s">
        <v>314</v>
      </c>
      <c r="B528" s="106">
        <v>52.6</v>
      </c>
      <c r="C528" s="98">
        <v>14</v>
      </c>
      <c r="D528" s="16">
        <v>736.4</v>
      </c>
    </row>
    <row r="529" spans="1:4" x14ac:dyDescent="0.2">
      <c r="A529" s="53" t="s">
        <v>320</v>
      </c>
      <c r="B529" s="106">
        <v>247.2</v>
      </c>
      <c r="C529" s="98">
        <v>14</v>
      </c>
      <c r="D529" s="16">
        <v>3460.7999999999997</v>
      </c>
    </row>
    <row r="530" spans="1:4" x14ac:dyDescent="0.15">
      <c r="A530" s="20" t="s">
        <v>255</v>
      </c>
      <c r="B530" s="108">
        <v>107.7</v>
      </c>
      <c r="C530" s="97">
        <v>14</v>
      </c>
      <c r="D530" s="16">
        <v>1507.8</v>
      </c>
    </row>
    <row r="531" spans="1:4" x14ac:dyDescent="0.2">
      <c r="A531" s="53" t="s">
        <v>656</v>
      </c>
      <c r="B531" s="117">
        <v>48</v>
      </c>
      <c r="C531" s="98">
        <v>14</v>
      </c>
      <c r="D531" s="16">
        <v>672</v>
      </c>
    </row>
    <row r="532" spans="1:4" x14ac:dyDescent="0.2">
      <c r="A532" s="53" t="s">
        <v>659</v>
      </c>
      <c r="B532" s="106">
        <v>1309.5999999999999</v>
      </c>
      <c r="C532" s="98">
        <v>14</v>
      </c>
      <c r="D532" s="16">
        <v>18334.399999999998</v>
      </c>
    </row>
    <row r="533" spans="1:4" x14ac:dyDescent="0.2">
      <c r="A533" s="53" t="s">
        <v>348</v>
      </c>
      <c r="B533" s="106">
        <v>115.3</v>
      </c>
      <c r="C533" s="98">
        <v>14</v>
      </c>
      <c r="D533" s="16">
        <v>1614.2</v>
      </c>
    </row>
    <row r="534" spans="1:4" x14ac:dyDescent="0.15">
      <c r="A534" s="57" t="s">
        <v>349</v>
      </c>
      <c r="B534" s="107">
        <v>62</v>
      </c>
      <c r="C534" s="98">
        <v>14</v>
      </c>
      <c r="D534" s="16">
        <v>868</v>
      </c>
    </row>
    <row r="535" spans="1:4" x14ac:dyDescent="0.2">
      <c r="A535" s="17" t="s">
        <v>277</v>
      </c>
      <c r="B535" s="105">
        <v>82.4</v>
      </c>
      <c r="C535" s="97">
        <v>13</v>
      </c>
      <c r="D535" s="16">
        <v>1071.2</v>
      </c>
    </row>
    <row r="536" spans="1:4" x14ac:dyDescent="0.2">
      <c r="A536" s="53" t="s">
        <v>439</v>
      </c>
      <c r="B536" s="106">
        <v>305.10000000000002</v>
      </c>
      <c r="C536" s="98">
        <v>13</v>
      </c>
      <c r="D536" s="16">
        <v>3966.3</v>
      </c>
    </row>
    <row r="537" spans="1:4" x14ac:dyDescent="0.2">
      <c r="A537" s="17" t="s">
        <v>301</v>
      </c>
      <c r="B537" s="105">
        <v>234.3</v>
      </c>
      <c r="C537" s="97">
        <v>13</v>
      </c>
      <c r="D537" s="16">
        <v>3045.9</v>
      </c>
    </row>
    <row r="538" spans="1:4" x14ac:dyDescent="0.2">
      <c r="A538" s="53" t="s">
        <v>821</v>
      </c>
      <c r="B538" s="106">
        <v>943.8</v>
      </c>
      <c r="C538" s="98">
        <v>13</v>
      </c>
      <c r="D538" s="16">
        <v>12269.4</v>
      </c>
    </row>
    <row r="539" spans="1:4" x14ac:dyDescent="0.15">
      <c r="A539" s="20" t="s">
        <v>292</v>
      </c>
      <c r="B539" s="108">
        <v>834.4</v>
      </c>
      <c r="C539" s="97">
        <v>12</v>
      </c>
      <c r="D539" s="16">
        <v>10012.799999999999</v>
      </c>
    </row>
    <row r="540" spans="1:4" x14ac:dyDescent="0.2">
      <c r="A540" s="17" t="s">
        <v>637</v>
      </c>
      <c r="B540" s="105">
        <v>251.3</v>
      </c>
      <c r="C540" s="97">
        <v>12</v>
      </c>
      <c r="D540" s="16">
        <v>3015.6000000000004</v>
      </c>
    </row>
    <row r="541" spans="1:4" x14ac:dyDescent="0.2">
      <c r="A541" s="53" t="s">
        <v>364</v>
      </c>
      <c r="B541" s="106">
        <v>189.8</v>
      </c>
      <c r="C541" s="98">
        <v>12</v>
      </c>
      <c r="D541" s="16">
        <v>2277.6000000000004</v>
      </c>
    </row>
    <row r="542" spans="1:4" x14ac:dyDescent="0.2">
      <c r="A542" s="53" t="s">
        <v>303</v>
      </c>
      <c r="B542" s="106">
        <v>303.75</v>
      </c>
      <c r="C542" s="98">
        <v>11</v>
      </c>
      <c r="D542" s="16">
        <v>3341.25</v>
      </c>
    </row>
    <row r="543" spans="1:4" x14ac:dyDescent="0.15">
      <c r="A543" s="57" t="s">
        <v>797</v>
      </c>
      <c r="B543" s="107">
        <v>637</v>
      </c>
      <c r="C543" s="98">
        <v>11</v>
      </c>
      <c r="D543" s="16">
        <v>7007</v>
      </c>
    </row>
    <row r="544" spans="1:4" x14ac:dyDescent="0.15">
      <c r="A544" s="57" t="s">
        <v>319</v>
      </c>
      <c r="B544" s="107">
        <v>272.60000000000002</v>
      </c>
      <c r="C544" s="98">
        <v>11</v>
      </c>
      <c r="D544" s="16">
        <v>2998.6000000000004</v>
      </c>
    </row>
    <row r="545" spans="1:4" x14ac:dyDescent="0.2">
      <c r="A545" s="31" t="s">
        <v>411</v>
      </c>
      <c r="B545" s="105">
        <v>8.73</v>
      </c>
      <c r="C545" s="97">
        <v>11</v>
      </c>
      <c r="D545" s="16">
        <v>96.03</v>
      </c>
    </row>
    <row r="546" spans="1:4" x14ac:dyDescent="0.2">
      <c r="A546" s="17" t="s">
        <v>626</v>
      </c>
      <c r="B546" s="105">
        <v>310</v>
      </c>
      <c r="C546" s="97">
        <v>11</v>
      </c>
      <c r="D546" s="16">
        <v>3410</v>
      </c>
    </row>
    <row r="547" spans="1:4" x14ac:dyDescent="0.2">
      <c r="A547" s="53" t="s">
        <v>362</v>
      </c>
      <c r="B547" s="117">
        <v>89</v>
      </c>
      <c r="C547" s="98">
        <v>11</v>
      </c>
      <c r="D547" s="16">
        <v>979</v>
      </c>
    </row>
    <row r="548" spans="1:4" x14ac:dyDescent="0.15">
      <c r="A548" s="57" t="s">
        <v>294</v>
      </c>
      <c r="B548" s="108">
        <v>179.6</v>
      </c>
      <c r="C548" s="97">
        <v>10</v>
      </c>
      <c r="D548" s="16">
        <v>1796</v>
      </c>
    </row>
    <row r="549" spans="1:4" x14ac:dyDescent="0.15">
      <c r="A549" s="57" t="s">
        <v>321</v>
      </c>
      <c r="B549" s="107">
        <v>55</v>
      </c>
      <c r="C549" s="98">
        <v>10</v>
      </c>
      <c r="D549" s="16">
        <v>550</v>
      </c>
    </row>
    <row r="550" spans="1:4" x14ac:dyDescent="0.2">
      <c r="A550" s="17" t="s">
        <v>621</v>
      </c>
      <c r="B550" s="105">
        <v>1601.3</v>
      </c>
      <c r="C550" s="97">
        <v>10</v>
      </c>
      <c r="D550" s="16">
        <v>16013</v>
      </c>
    </row>
    <row r="551" spans="1:4" x14ac:dyDescent="0.2">
      <c r="A551" s="53" t="s">
        <v>805</v>
      </c>
      <c r="B551" s="106">
        <v>154.1</v>
      </c>
      <c r="C551" s="98">
        <v>10</v>
      </c>
      <c r="D551" s="16">
        <v>1541</v>
      </c>
    </row>
    <row r="552" spans="1:4" x14ac:dyDescent="0.2">
      <c r="A552" s="53" t="s">
        <v>340</v>
      </c>
      <c r="B552" s="106">
        <v>171.1</v>
      </c>
      <c r="C552" s="98">
        <v>10</v>
      </c>
      <c r="D552" s="16">
        <v>1711</v>
      </c>
    </row>
    <row r="553" spans="1:4" x14ac:dyDescent="0.15">
      <c r="A553" s="20" t="s">
        <v>617</v>
      </c>
      <c r="B553" s="108">
        <v>58</v>
      </c>
      <c r="C553" s="97">
        <v>10</v>
      </c>
      <c r="D553" s="16">
        <v>580</v>
      </c>
    </row>
    <row r="554" spans="1:4" x14ac:dyDescent="0.2">
      <c r="A554" s="17" t="s">
        <v>640</v>
      </c>
      <c r="B554" s="109">
        <v>57.8</v>
      </c>
      <c r="C554" s="97">
        <v>10</v>
      </c>
      <c r="D554" s="16">
        <v>578</v>
      </c>
    </row>
    <row r="555" spans="1:4" x14ac:dyDescent="0.15">
      <c r="A555" s="57" t="s">
        <v>768</v>
      </c>
      <c r="B555" s="107">
        <v>552</v>
      </c>
      <c r="C555" s="98">
        <v>10</v>
      </c>
      <c r="D555" s="16">
        <v>5520</v>
      </c>
    </row>
    <row r="556" spans="1:4" x14ac:dyDescent="0.15">
      <c r="A556" s="20" t="s">
        <v>639</v>
      </c>
      <c r="B556" s="108">
        <v>77.2</v>
      </c>
      <c r="C556" s="97">
        <v>10</v>
      </c>
      <c r="D556" s="16">
        <v>772</v>
      </c>
    </row>
    <row r="557" spans="1:4" x14ac:dyDescent="0.15">
      <c r="A557" s="30" t="s">
        <v>751</v>
      </c>
      <c r="B557" s="107">
        <v>157.5</v>
      </c>
      <c r="C557" s="98">
        <v>10</v>
      </c>
      <c r="D557" s="16">
        <v>1575</v>
      </c>
    </row>
    <row r="558" spans="1:4" x14ac:dyDescent="0.2">
      <c r="A558" s="53" t="s">
        <v>597</v>
      </c>
      <c r="B558" s="105">
        <v>467.5</v>
      </c>
      <c r="C558" s="97">
        <v>10</v>
      </c>
      <c r="D558" s="16">
        <v>4675</v>
      </c>
    </row>
    <row r="559" spans="1:4" x14ac:dyDescent="0.2">
      <c r="A559" s="53" t="s">
        <v>822</v>
      </c>
      <c r="B559" s="106">
        <v>261</v>
      </c>
      <c r="C559" s="98">
        <v>10</v>
      </c>
      <c r="D559" s="16">
        <v>2610</v>
      </c>
    </row>
    <row r="560" spans="1:4" x14ac:dyDescent="0.15">
      <c r="A560" s="57" t="s">
        <v>447</v>
      </c>
      <c r="B560" s="107">
        <v>187</v>
      </c>
      <c r="C560" s="98">
        <v>9</v>
      </c>
      <c r="D560" s="16">
        <v>1683</v>
      </c>
    </row>
    <row r="561" spans="1:4" x14ac:dyDescent="0.15">
      <c r="A561" s="20" t="s">
        <v>459</v>
      </c>
      <c r="B561" s="108">
        <v>74</v>
      </c>
      <c r="C561" s="97">
        <v>9</v>
      </c>
      <c r="D561" s="16">
        <v>666</v>
      </c>
    </row>
    <row r="562" spans="1:4" x14ac:dyDescent="0.15">
      <c r="A562" s="57" t="s">
        <v>793</v>
      </c>
      <c r="B562" s="108">
        <v>1975</v>
      </c>
      <c r="C562" s="97">
        <v>9</v>
      </c>
      <c r="D562" s="16">
        <v>17775</v>
      </c>
    </row>
    <row r="563" spans="1:4" x14ac:dyDescent="0.2">
      <c r="A563" s="53" t="s">
        <v>332</v>
      </c>
      <c r="B563" s="106">
        <v>73.099999999999994</v>
      </c>
      <c r="C563" s="98">
        <v>9</v>
      </c>
      <c r="D563" s="16">
        <v>657.9</v>
      </c>
    </row>
    <row r="564" spans="1:4" x14ac:dyDescent="0.15">
      <c r="A564" s="57" t="s">
        <v>665</v>
      </c>
      <c r="B564" s="107">
        <v>194.6</v>
      </c>
      <c r="C564" s="98">
        <v>9</v>
      </c>
      <c r="D564" s="16">
        <v>1751.3999999999999</v>
      </c>
    </row>
    <row r="565" spans="1:4" x14ac:dyDescent="0.15">
      <c r="A565" s="20" t="s">
        <v>863</v>
      </c>
      <c r="B565" s="108">
        <v>121.6</v>
      </c>
      <c r="C565" s="97">
        <v>9</v>
      </c>
      <c r="D565" s="16">
        <v>1094.3999999999999</v>
      </c>
    </row>
    <row r="566" spans="1:4" x14ac:dyDescent="0.15">
      <c r="A566" s="30" t="s">
        <v>433</v>
      </c>
      <c r="B566" s="107">
        <v>147</v>
      </c>
      <c r="C566" s="98">
        <v>9</v>
      </c>
      <c r="D566" s="16">
        <v>1323</v>
      </c>
    </row>
    <row r="567" spans="1:4" x14ac:dyDescent="0.2">
      <c r="A567" s="17" t="s">
        <v>633</v>
      </c>
      <c r="B567" s="105">
        <v>730.5</v>
      </c>
      <c r="C567" s="97">
        <v>9</v>
      </c>
      <c r="D567" s="16">
        <v>6574.5</v>
      </c>
    </row>
    <row r="568" spans="1:4" x14ac:dyDescent="0.2">
      <c r="A568" s="57" t="s">
        <v>823</v>
      </c>
      <c r="B568" s="106">
        <v>288</v>
      </c>
      <c r="C568" s="98">
        <v>9</v>
      </c>
      <c r="D568" s="16">
        <v>2592</v>
      </c>
    </row>
    <row r="569" spans="1:4" x14ac:dyDescent="0.2">
      <c r="A569" s="17" t="s">
        <v>620</v>
      </c>
      <c r="B569" s="105">
        <v>848.3</v>
      </c>
      <c r="C569" s="97">
        <v>8</v>
      </c>
      <c r="D569" s="16">
        <v>6786.4</v>
      </c>
    </row>
    <row r="570" spans="1:4" x14ac:dyDescent="0.2">
      <c r="A570" s="53" t="s">
        <v>342</v>
      </c>
      <c r="B570" s="106">
        <v>83.7</v>
      </c>
      <c r="C570" s="98">
        <v>8</v>
      </c>
      <c r="D570" s="16">
        <v>669.6</v>
      </c>
    </row>
    <row r="571" spans="1:4" x14ac:dyDescent="0.2">
      <c r="A571" s="53" t="s">
        <v>625</v>
      </c>
      <c r="B571" s="105">
        <v>208.1</v>
      </c>
      <c r="C571" s="97">
        <v>8</v>
      </c>
      <c r="D571" s="16">
        <v>1664.8</v>
      </c>
    </row>
    <row r="572" spans="1:4" x14ac:dyDescent="0.15">
      <c r="A572" s="75" t="s">
        <v>789</v>
      </c>
      <c r="B572" s="108">
        <v>379.5</v>
      </c>
      <c r="C572" s="97">
        <v>8</v>
      </c>
      <c r="D572" s="16">
        <v>3036</v>
      </c>
    </row>
    <row r="573" spans="1:4" x14ac:dyDescent="0.2">
      <c r="A573" s="53" t="s">
        <v>666</v>
      </c>
      <c r="B573" s="106">
        <v>186</v>
      </c>
      <c r="C573" s="98">
        <v>8</v>
      </c>
      <c r="D573" s="16">
        <v>1488</v>
      </c>
    </row>
    <row r="574" spans="1:4" x14ac:dyDescent="0.2">
      <c r="A574" s="53" t="s">
        <v>306</v>
      </c>
      <c r="B574" s="106">
        <v>83.7</v>
      </c>
      <c r="C574" s="98">
        <v>7</v>
      </c>
      <c r="D574" s="16">
        <v>585.9</v>
      </c>
    </row>
    <row r="575" spans="1:4" x14ac:dyDescent="0.2">
      <c r="A575" s="17" t="s">
        <v>622</v>
      </c>
      <c r="B575" s="105">
        <v>2001.8</v>
      </c>
      <c r="C575" s="97">
        <v>7</v>
      </c>
      <c r="D575" s="16">
        <v>14012.6</v>
      </c>
    </row>
    <row r="576" spans="1:4" x14ac:dyDescent="0.15">
      <c r="A576" s="57" t="s">
        <v>742</v>
      </c>
      <c r="B576" s="107">
        <v>208.8</v>
      </c>
      <c r="C576" s="97">
        <v>7</v>
      </c>
      <c r="D576" s="55">
        <v>1461.6000000000001</v>
      </c>
    </row>
    <row r="577" spans="1:4" x14ac:dyDescent="0.15">
      <c r="A577" s="20" t="s">
        <v>256</v>
      </c>
      <c r="B577" s="108">
        <v>66</v>
      </c>
      <c r="C577" s="97">
        <v>7</v>
      </c>
      <c r="D577" s="16">
        <v>462</v>
      </c>
    </row>
    <row r="578" spans="1:4" x14ac:dyDescent="0.2">
      <c r="A578" s="53" t="s">
        <v>257</v>
      </c>
      <c r="B578" s="105">
        <v>48.6</v>
      </c>
      <c r="C578" s="97">
        <v>7</v>
      </c>
      <c r="D578" s="16">
        <v>340.2</v>
      </c>
    </row>
    <row r="579" spans="1:4" x14ac:dyDescent="0.15">
      <c r="A579" s="57" t="s">
        <v>788</v>
      </c>
      <c r="B579" s="108">
        <v>172.8</v>
      </c>
      <c r="C579" s="97">
        <v>7</v>
      </c>
      <c r="D579" s="16">
        <v>1209.6000000000001</v>
      </c>
    </row>
    <row r="580" spans="1:4" x14ac:dyDescent="0.2">
      <c r="A580" s="17" t="s">
        <v>296</v>
      </c>
      <c r="B580" s="109">
        <v>140.19999999999999</v>
      </c>
      <c r="C580" s="97">
        <v>7</v>
      </c>
      <c r="D580" s="16">
        <v>981.39999999999986</v>
      </c>
    </row>
    <row r="581" spans="1:4" x14ac:dyDescent="0.2">
      <c r="A581" s="17" t="s">
        <v>267</v>
      </c>
      <c r="B581" s="105">
        <v>348</v>
      </c>
      <c r="C581" s="97">
        <v>7</v>
      </c>
      <c r="D581" s="16">
        <v>2436</v>
      </c>
    </row>
    <row r="582" spans="1:4" x14ac:dyDescent="0.15">
      <c r="A582" s="57" t="s">
        <v>810</v>
      </c>
      <c r="B582" s="107">
        <v>2229</v>
      </c>
      <c r="C582" s="98">
        <v>7</v>
      </c>
      <c r="D582" s="16">
        <v>15603</v>
      </c>
    </row>
    <row r="583" spans="1:4" x14ac:dyDescent="0.2">
      <c r="A583" s="30" t="s">
        <v>678</v>
      </c>
      <c r="B583" s="106">
        <v>112.3</v>
      </c>
      <c r="C583" s="98">
        <v>7</v>
      </c>
      <c r="D583" s="16">
        <v>786.1</v>
      </c>
    </row>
    <row r="584" spans="1:4" x14ac:dyDescent="0.2">
      <c r="A584" s="17" t="s">
        <v>868</v>
      </c>
      <c r="B584" s="105">
        <v>147</v>
      </c>
      <c r="C584" s="97">
        <v>7</v>
      </c>
      <c r="D584" s="16">
        <v>1029</v>
      </c>
    </row>
    <row r="585" spans="1:4" x14ac:dyDescent="0.2">
      <c r="A585" s="53" t="s">
        <v>661</v>
      </c>
      <c r="B585" s="106">
        <v>612</v>
      </c>
      <c r="C585" s="98">
        <v>7</v>
      </c>
      <c r="D585" s="16">
        <v>4284</v>
      </c>
    </row>
    <row r="586" spans="1:4" x14ac:dyDescent="0.2">
      <c r="A586" s="53" t="s">
        <v>398</v>
      </c>
      <c r="B586" s="106">
        <v>111</v>
      </c>
      <c r="C586" s="98">
        <v>7</v>
      </c>
      <c r="D586" s="16">
        <v>777</v>
      </c>
    </row>
    <row r="587" spans="1:4" x14ac:dyDescent="0.2">
      <c r="A587" s="53" t="s">
        <v>624</v>
      </c>
      <c r="B587" s="105">
        <v>163.19999999999999</v>
      </c>
      <c r="C587" s="97">
        <v>6</v>
      </c>
      <c r="D587" s="16">
        <v>979.19999999999993</v>
      </c>
    </row>
    <row r="588" spans="1:4" x14ac:dyDescent="0.2">
      <c r="A588" s="53" t="s">
        <v>543</v>
      </c>
      <c r="B588" s="117">
        <v>88</v>
      </c>
      <c r="C588" s="98">
        <v>6</v>
      </c>
      <c r="D588" s="16">
        <v>528</v>
      </c>
    </row>
    <row r="589" spans="1:4" x14ac:dyDescent="0.2">
      <c r="A589" s="17" t="s">
        <v>619</v>
      </c>
      <c r="B589" s="105">
        <v>285.36</v>
      </c>
      <c r="C589" s="97">
        <v>6</v>
      </c>
      <c r="D589" s="16">
        <v>1712.16</v>
      </c>
    </row>
    <row r="590" spans="1:4" x14ac:dyDescent="0.2">
      <c r="A590" s="53" t="s">
        <v>816</v>
      </c>
      <c r="B590" s="106">
        <v>3531</v>
      </c>
      <c r="C590" s="98">
        <v>6</v>
      </c>
      <c r="D590" s="16">
        <v>21186</v>
      </c>
    </row>
    <row r="591" spans="1:4" x14ac:dyDescent="0.15">
      <c r="A591" s="57" t="s">
        <v>787</v>
      </c>
      <c r="B591" s="108">
        <v>73</v>
      </c>
      <c r="C591" s="97">
        <v>5</v>
      </c>
      <c r="D591" s="55">
        <v>365</v>
      </c>
    </row>
    <row r="592" spans="1:4" x14ac:dyDescent="0.15">
      <c r="A592" s="57" t="s">
        <v>379</v>
      </c>
      <c r="B592" s="107">
        <v>1177</v>
      </c>
      <c r="C592" s="98">
        <v>5</v>
      </c>
      <c r="D592" s="16">
        <v>5885</v>
      </c>
    </row>
    <row r="593" spans="1:4" x14ac:dyDescent="0.2">
      <c r="A593" s="17" t="s">
        <v>826</v>
      </c>
      <c r="B593" s="105">
        <v>34.909999999999997</v>
      </c>
      <c r="C593" s="99">
        <v>4</v>
      </c>
      <c r="D593" s="16">
        <v>139.63999999999999</v>
      </c>
    </row>
    <row r="594" spans="1:4" x14ac:dyDescent="0.2">
      <c r="A594" s="53" t="s">
        <v>323</v>
      </c>
      <c r="B594" s="106">
        <v>107.1</v>
      </c>
      <c r="C594" s="98">
        <v>4</v>
      </c>
      <c r="D594" s="16">
        <v>428.4</v>
      </c>
    </row>
    <row r="595" spans="1:4" x14ac:dyDescent="0.2">
      <c r="A595" s="53" t="s">
        <v>658</v>
      </c>
      <c r="B595" s="106">
        <v>2014.8</v>
      </c>
      <c r="C595" s="98">
        <v>4</v>
      </c>
      <c r="D595" s="16">
        <v>8059.2</v>
      </c>
    </row>
    <row r="596" spans="1:4" x14ac:dyDescent="0.2">
      <c r="A596" s="53" t="s">
        <v>814</v>
      </c>
      <c r="B596" s="110">
        <v>41108</v>
      </c>
      <c r="C596" s="98">
        <v>4</v>
      </c>
      <c r="D596" s="16">
        <v>164432</v>
      </c>
    </row>
    <row r="597" spans="1:4" x14ac:dyDescent="0.2">
      <c r="A597" s="17" t="s">
        <v>634</v>
      </c>
      <c r="B597" s="105">
        <v>357</v>
      </c>
      <c r="C597" s="97">
        <v>3.5</v>
      </c>
      <c r="D597" s="16">
        <v>1249.5</v>
      </c>
    </row>
    <row r="598" spans="1:4" x14ac:dyDescent="0.2">
      <c r="A598" s="17" t="s">
        <v>641</v>
      </c>
      <c r="B598" s="105">
        <v>1098</v>
      </c>
      <c r="C598" s="97">
        <v>3.5</v>
      </c>
      <c r="D598" s="16">
        <v>3843</v>
      </c>
    </row>
    <row r="599" spans="1:4" x14ac:dyDescent="0.2">
      <c r="A599" s="17" t="s">
        <v>282</v>
      </c>
      <c r="B599" s="105">
        <v>864</v>
      </c>
      <c r="C599" s="97">
        <v>3.3</v>
      </c>
      <c r="D599" s="16">
        <v>2592</v>
      </c>
    </row>
    <row r="600" spans="1:4" x14ac:dyDescent="0.2">
      <c r="A600" s="53" t="s">
        <v>750</v>
      </c>
      <c r="B600" s="117">
        <v>1483</v>
      </c>
      <c r="C600" s="98">
        <v>3</v>
      </c>
      <c r="D600" s="16">
        <v>4449</v>
      </c>
    </row>
    <row r="601" spans="1:4" x14ac:dyDescent="0.15">
      <c r="A601" s="20" t="s">
        <v>741</v>
      </c>
      <c r="B601" s="108">
        <v>4497.2</v>
      </c>
      <c r="C601" s="97">
        <v>3</v>
      </c>
      <c r="D601" s="55">
        <v>13491.599999999999</v>
      </c>
    </row>
    <row r="602" spans="1:4" x14ac:dyDescent="0.2">
      <c r="A602" s="53" t="s">
        <v>327</v>
      </c>
      <c r="B602" s="106">
        <v>38961</v>
      </c>
      <c r="C602" s="98">
        <v>3</v>
      </c>
      <c r="D602" s="16">
        <v>116883</v>
      </c>
    </row>
    <row r="603" spans="1:4" x14ac:dyDescent="0.15">
      <c r="A603" s="20" t="s">
        <v>260</v>
      </c>
      <c r="B603" s="108">
        <v>495.4</v>
      </c>
      <c r="C603" s="97">
        <v>3</v>
      </c>
      <c r="D603" s="16">
        <v>1486.1999999999998</v>
      </c>
    </row>
    <row r="604" spans="1:4" x14ac:dyDescent="0.2">
      <c r="A604" s="17" t="s">
        <v>265</v>
      </c>
      <c r="B604" s="105">
        <v>200.9</v>
      </c>
      <c r="C604" s="97">
        <v>3</v>
      </c>
      <c r="D604" s="16">
        <v>602.70000000000005</v>
      </c>
    </row>
    <row r="605" spans="1:4" x14ac:dyDescent="0.2">
      <c r="A605" s="17" t="s">
        <v>288</v>
      </c>
      <c r="B605" s="105">
        <v>797.3</v>
      </c>
      <c r="C605" s="97">
        <v>3</v>
      </c>
      <c r="D605" s="16">
        <v>2391.8999999999996</v>
      </c>
    </row>
    <row r="606" spans="1:4" x14ac:dyDescent="0.2">
      <c r="A606" s="53" t="s">
        <v>820</v>
      </c>
      <c r="B606" s="106">
        <v>32902</v>
      </c>
      <c r="C606" s="98">
        <v>3</v>
      </c>
      <c r="D606" s="16">
        <v>98706</v>
      </c>
    </row>
    <row r="607" spans="1:4" x14ac:dyDescent="0.15">
      <c r="A607" s="20" t="s">
        <v>275</v>
      </c>
      <c r="B607" s="108">
        <v>3641</v>
      </c>
      <c r="C607" s="97">
        <v>2</v>
      </c>
      <c r="D607" s="16">
        <v>7282</v>
      </c>
    </row>
    <row r="608" spans="1:4" x14ac:dyDescent="0.2">
      <c r="A608" s="53" t="s">
        <v>796</v>
      </c>
      <c r="B608" s="106">
        <v>1800.6</v>
      </c>
      <c r="C608" s="98">
        <v>2</v>
      </c>
      <c r="D608" s="16">
        <v>3601.2</v>
      </c>
    </row>
    <row r="609" spans="1:4" x14ac:dyDescent="0.2">
      <c r="A609" s="53" t="s">
        <v>313</v>
      </c>
      <c r="B609" s="106">
        <v>35931</v>
      </c>
      <c r="C609" s="98">
        <v>2</v>
      </c>
      <c r="D609" s="16">
        <v>71862</v>
      </c>
    </row>
    <row r="610" spans="1:4" x14ac:dyDescent="0.15">
      <c r="A610" s="20" t="s">
        <v>253</v>
      </c>
      <c r="B610" s="108">
        <v>488.7</v>
      </c>
      <c r="C610" s="97">
        <v>2</v>
      </c>
      <c r="D610" s="55">
        <v>977.4</v>
      </c>
    </row>
    <row r="611" spans="1:4" x14ac:dyDescent="0.2">
      <c r="A611" s="53" t="s">
        <v>280</v>
      </c>
      <c r="B611" s="106">
        <v>1140</v>
      </c>
      <c r="C611" s="97">
        <v>2</v>
      </c>
      <c r="D611" s="16">
        <v>2280</v>
      </c>
    </row>
    <row r="612" spans="1:4" x14ac:dyDescent="0.15">
      <c r="A612" s="57" t="s">
        <v>377</v>
      </c>
      <c r="B612" s="107">
        <v>499</v>
      </c>
      <c r="C612" s="98">
        <v>2</v>
      </c>
      <c r="D612" s="16">
        <v>998</v>
      </c>
    </row>
    <row r="613" spans="1:4" x14ac:dyDescent="0.2">
      <c r="A613" s="53" t="s">
        <v>400</v>
      </c>
      <c r="B613" s="106">
        <v>2930</v>
      </c>
      <c r="C613" s="98">
        <v>2</v>
      </c>
      <c r="D613" s="16">
        <v>5860</v>
      </c>
    </row>
    <row r="614" spans="1:4" x14ac:dyDescent="0.2">
      <c r="A614" s="53" t="s">
        <v>399</v>
      </c>
      <c r="B614" s="106">
        <v>2930</v>
      </c>
      <c r="C614" s="98">
        <v>2</v>
      </c>
      <c r="D614" s="16">
        <v>5860</v>
      </c>
    </row>
    <row r="615" spans="1:4" x14ac:dyDescent="0.2">
      <c r="A615" s="53" t="s">
        <v>803</v>
      </c>
      <c r="B615" s="106">
        <v>1717</v>
      </c>
      <c r="C615" s="98">
        <v>2</v>
      </c>
      <c r="D615" s="16">
        <v>3434</v>
      </c>
    </row>
    <row r="616" spans="1:4" x14ac:dyDescent="0.2">
      <c r="A616" s="53" t="s">
        <v>336</v>
      </c>
      <c r="B616" s="106">
        <v>7999.6</v>
      </c>
      <c r="C616" s="98">
        <v>2</v>
      </c>
      <c r="D616" s="16">
        <v>15999.2</v>
      </c>
    </row>
    <row r="617" spans="1:4" x14ac:dyDescent="0.2">
      <c r="A617" s="53" t="s">
        <v>655</v>
      </c>
      <c r="B617" s="106">
        <v>20623</v>
      </c>
      <c r="C617" s="98">
        <v>2</v>
      </c>
      <c r="D617" s="16">
        <v>41246</v>
      </c>
    </row>
    <row r="618" spans="1:4" x14ac:dyDescent="0.15">
      <c r="A618" s="57" t="s">
        <v>809</v>
      </c>
      <c r="B618" s="107">
        <v>2129</v>
      </c>
      <c r="C618" s="98">
        <v>2</v>
      </c>
      <c r="D618" s="16">
        <v>4258</v>
      </c>
    </row>
    <row r="619" spans="1:4" x14ac:dyDescent="0.15">
      <c r="A619" s="57" t="s">
        <v>354</v>
      </c>
      <c r="B619" s="107">
        <v>1261.5999999999999</v>
      </c>
      <c r="C619" s="98">
        <v>2</v>
      </c>
      <c r="D619" s="16">
        <v>2523.1999999999998</v>
      </c>
    </row>
    <row r="620" spans="1:4" x14ac:dyDescent="0.2">
      <c r="A620" s="53" t="s">
        <v>815</v>
      </c>
      <c r="B620" s="106">
        <v>62.7</v>
      </c>
      <c r="C620" s="98">
        <v>2</v>
      </c>
      <c r="D620" s="16">
        <v>125.4</v>
      </c>
    </row>
    <row r="621" spans="1:4" x14ac:dyDescent="0.2">
      <c r="A621" s="53" t="s">
        <v>817</v>
      </c>
      <c r="B621" s="117">
        <v>975</v>
      </c>
      <c r="C621" s="98">
        <v>2</v>
      </c>
      <c r="D621" s="16">
        <v>1950</v>
      </c>
    </row>
    <row r="622" spans="1:4" x14ac:dyDescent="0.15">
      <c r="A622" s="20" t="s">
        <v>880</v>
      </c>
      <c r="B622" s="108">
        <v>1034</v>
      </c>
      <c r="C622" s="97">
        <v>2</v>
      </c>
      <c r="D622" s="16">
        <v>2068</v>
      </c>
    </row>
    <row r="623" spans="1:4" x14ac:dyDescent="0.2">
      <c r="A623" s="17" t="s">
        <v>289</v>
      </c>
      <c r="B623" s="105">
        <v>4700</v>
      </c>
      <c r="C623" s="97">
        <v>2</v>
      </c>
      <c r="D623" s="16">
        <v>9400</v>
      </c>
    </row>
    <row r="624" spans="1:4" x14ac:dyDescent="0.2">
      <c r="A624" s="57" t="s">
        <v>627</v>
      </c>
      <c r="B624" s="104">
        <v>1319</v>
      </c>
      <c r="C624" s="97">
        <v>1</v>
      </c>
      <c r="D624" s="16">
        <v>1319</v>
      </c>
    </row>
    <row r="625" spans="1:4" x14ac:dyDescent="0.2">
      <c r="A625" s="53" t="s">
        <v>309</v>
      </c>
      <c r="B625" s="106">
        <v>4032</v>
      </c>
      <c r="C625" s="98">
        <v>1</v>
      </c>
      <c r="D625" s="16">
        <v>4032</v>
      </c>
    </row>
    <row r="626" spans="1:4" x14ac:dyDescent="0.2">
      <c r="A626" s="53" t="s">
        <v>800</v>
      </c>
      <c r="B626" s="106">
        <v>9089</v>
      </c>
      <c r="C626" s="98">
        <v>1</v>
      </c>
      <c r="D626" s="16">
        <v>9089</v>
      </c>
    </row>
    <row r="627" spans="1:4" x14ac:dyDescent="0.2">
      <c r="A627" s="53" t="s">
        <v>312</v>
      </c>
      <c r="B627" s="106">
        <v>29907</v>
      </c>
      <c r="C627" s="98">
        <v>1</v>
      </c>
      <c r="D627" s="16">
        <v>29907</v>
      </c>
    </row>
    <row r="628" spans="1:4" x14ac:dyDescent="0.2">
      <c r="A628" s="53" t="s">
        <v>677</v>
      </c>
      <c r="B628" s="106">
        <v>2598</v>
      </c>
      <c r="C628" s="98">
        <v>1</v>
      </c>
      <c r="D628" s="16">
        <v>2598</v>
      </c>
    </row>
    <row r="629" spans="1:4" x14ac:dyDescent="0.15">
      <c r="A629" s="20" t="s">
        <v>278</v>
      </c>
      <c r="B629" s="108">
        <v>1702</v>
      </c>
      <c r="C629" s="97">
        <v>1</v>
      </c>
      <c r="D629" s="16">
        <v>1702</v>
      </c>
    </row>
    <row r="630" spans="1:4" x14ac:dyDescent="0.2">
      <c r="A630" s="17" t="s">
        <v>876</v>
      </c>
      <c r="B630" s="106">
        <v>2527</v>
      </c>
      <c r="C630" s="97">
        <v>1</v>
      </c>
      <c r="D630" s="16">
        <v>2527</v>
      </c>
    </row>
    <row r="631" spans="1:4" x14ac:dyDescent="0.15">
      <c r="A631" s="57" t="s">
        <v>322</v>
      </c>
      <c r="B631" s="107">
        <v>123.8</v>
      </c>
      <c r="C631" s="98">
        <v>1</v>
      </c>
      <c r="D631" s="16">
        <v>123.8</v>
      </c>
    </row>
    <row r="632" spans="1:4" x14ac:dyDescent="0.15">
      <c r="A632" s="20" t="s">
        <v>295</v>
      </c>
      <c r="B632" s="108">
        <v>319.3</v>
      </c>
      <c r="C632" s="97">
        <v>1</v>
      </c>
      <c r="D632" s="16">
        <v>319.3</v>
      </c>
    </row>
    <row r="633" spans="1:4" x14ac:dyDescent="0.2">
      <c r="A633" s="53" t="s">
        <v>328</v>
      </c>
      <c r="B633" s="106">
        <v>49996</v>
      </c>
      <c r="C633" s="98">
        <v>1</v>
      </c>
      <c r="D633" s="16">
        <v>49996</v>
      </c>
    </row>
    <row r="634" spans="1:4" x14ac:dyDescent="0.2">
      <c r="A634" s="53" t="s">
        <v>330</v>
      </c>
      <c r="B634" s="106">
        <v>24411</v>
      </c>
      <c r="C634" s="98">
        <v>1</v>
      </c>
      <c r="D634" s="16">
        <v>24411</v>
      </c>
    </row>
    <row r="635" spans="1:4" x14ac:dyDescent="0.2">
      <c r="A635" s="53" t="s">
        <v>331</v>
      </c>
      <c r="B635" s="106">
        <v>32112</v>
      </c>
      <c r="C635" s="98">
        <v>1</v>
      </c>
      <c r="D635" s="16">
        <v>32112</v>
      </c>
    </row>
    <row r="636" spans="1:4" x14ac:dyDescent="0.15">
      <c r="A636" s="57" t="s">
        <v>388</v>
      </c>
      <c r="B636" s="107">
        <v>6877</v>
      </c>
      <c r="C636" s="98">
        <v>1</v>
      </c>
      <c r="D636" s="16">
        <v>6877</v>
      </c>
    </row>
    <row r="637" spans="1:4" x14ac:dyDescent="0.2">
      <c r="A637" s="53" t="s">
        <v>806</v>
      </c>
      <c r="B637" s="117">
        <v>2437</v>
      </c>
      <c r="C637" s="98">
        <v>1</v>
      </c>
      <c r="D637" s="16">
        <v>2437</v>
      </c>
    </row>
    <row r="638" spans="1:4" x14ac:dyDescent="0.2">
      <c r="A638" s="53" t="s">
        <v>807</v>
      </c>
      <c r="B638" s="117">
        <v>1760</v>
      </c>
      <c r="C638" s="98">
        <v>1</v>
      </c>
      <c r="D638" s="16">
        <v>1760</v>
      </c>
    </row>
    <row r="639" spans="1:4" x14ac:dyDescent="0.15">
      <c r="A639" s="20" t="s">
        <v>847</v>
      </c>
      <c r="B639" s="108">
        <v>55850</v>
      </c>
      <c r="C639" s="97">
        <v>1</v>
      </c>
      <c r="D639" s="16">
        <v>55850</v>
      </c>
    </row>
    <row r="640" spans="1:4" x14ac:dyDescent="0.15">
      <c r="A640" s="20" t="s">
        <v>848</v>
      </c>
      <c r="B640" s="108">
        <v>88220</v>
      </c>
      <c r="C640" s="97">
        <v>1</v>
      </c>
      <c r="D640" s="16">
        <v>88220</v>
      </c>
    </row>
    <row r="641" spans="1:4" x14ac:dyDescent="0.15">
      <c r="A641" s="57" t="s">
        <v>811</v>
      </c>
      <c r="B641" s="107">
        <v>2170</v>
      </c>
      <c r="C641" s="98">
        <v>1</v>
      </c>
      <c r="D641" s="16">
        <v>2170</v>
      </c>
    </row>
    <row r="642" spans="1:4" x14ac:dyDescent="0.2">
      <c r="A642" s="17" t="s">
        <v>269</v>
      </c>
      <c r="B642" s="105">
        <v>1002</v>
      </c>
      <c r="C642" s="97">
        <v>1</v>
      </c>
      <c r="D642" s="16">
        <v>1002</v>
      </c>
    </row>
    <row r="643" spans="1:4" x14ac:dyDescent="0.2">
      <c r="A643" s="20" t="s">
        <v>643</v>
      </c>
      <c r="B643" s="105">
        <v>235</v>
      </c>
      <c r="C643" s="97">
        <v>1</v>
      </c>
      <c r="D643" s="16">
        <v>235</v>
      </c>
    </row>
    <row r="644" spans="1:4" x14ac:dyDescent="0.15">
      <c r="A644" s="57" t="s">
        <v>382</v>
      </c>
      <c r="B644" s="107">
        <v>30580</v>
      </c>
      <c r="C644" s="98">
        <v>1</v>
      </c>
      <c r="D644" s="16">
        <v>30580</v>
      </c>
    </row>
    <row r="645" spans="1:4" x14ac:dyDescent="0.2">
      <c r="A645" s="57" t="s">
        <v>754</v>
      </c>
      <c r="B645" s="117">
        <v>2227</v>
      </c>
      <c r="C645" s="98">
        <v>1</v>
      </c>
      <c r="D645" s="16">
        <v>2227</v>
      </c>
    </row>
    <row r="646" spans="1:4" x14ac:dyDescent="0.2">
      <c r="A646" s="17" t="s">
        <v>860</v>
      </c>
      <c r="B646" s="105">
        <v>77149</v>
      </c>
      <c r="C646" s="97">
        <v>1</v>
      </c>
      <c r="D646" s="16">
        <v>77149</v>
      </c>
    </row>
    <row r="647" spans="1:4" x14ac:dyDescent="0.2">
      <c r="A647" s="53" t="s">
        <v>374</v>
      </c>
      <c r="B647" s="117">
        <v>5639</v>
      </c>
      <c r="C647" s="98">
        <v>1</v>
      </c>
      <c r="D647" s="16">
        <v>5639</v>
      </c>
    </row>
    <row r="648" spans="1:4" x14ac:dyDescent="0.2">
      <c r="A648" s="53" t="s">
        <v>818</v>
      </c>
      <c r="B648" s="106">
        <v>20572</v>
      </c>
      <c r="C648" s="98">
        <v>1</v>
      </c>
      <c r="D648" s="16">
        <v>20572</v>
      </c>
    </row>
    <row r="649" spans="1:4" x14ac:dyDescent="0.2">
      <c r="A649" s="53" t="s">
        <v>819</v>
      </c>
      <c r="B649" s="106">
        <v>27073</v>
      </c>
      <c r="C649" s="98">
        <v>1</v>
      </c>
      <c r="D649" s="16">
        <v>27073</v>
      </c>
    </row>
    <row r="650" spans="1:4" x14ac:dyDescent="0.2">
      <c r="A650" s="30" t="s">
        <v>725</v>
      </c>
      <c r="B650" s="105">
        <v>182.1</v>
      </c>
      <c r="C650" s="97">
        <v>1</v>
      </c>
      <c r="D650" s="16">
        <v>182.1</v>
      </c>
    </row>
    <row r="651" spans="1:4" x14ac:dyDescent="0.2">
      <c r="A651" s="17" t="s">
        <v>528</v>
      </c>
      <c r="B651" s="108">
        <v>4226</v>
      </c>
      <c r="C651" s="97">
        <v>1</v>
      </c>
      <c r="D651" s="16">
        <v>4226</v>
      </c>
    </row>
    <row r="652" spans="1:4" x14ac:dyDescent="0.2">
      <c r="A652" s="17" t="s">
        <v>466</v>
      </c>
      <c r="B652" s="84">
        <v>20.23</v>
      </c>
      <c r="C652" s="98">
        <v>0</v>
      </c>
      <c r="D652" s="55">
        <v>0</v>
      </c>
    </row>
    <row r="653" spans="1:4" x14ac:dyDescent="0.2">
      <c r="A653" s="53" t="s">
        <v>375</v>
      </c>
      <c r="B653" s="106">
        <v>1362</v>
      </c>
      <c r="C653" s="98">
        <v>0</v>
      </c>
      <c r="D653" s="16">
        <v>0</v>
      </c>
    </row>
    <row r="654" spans="1:4" x14ac:dyDescent="0.15">
      <c r="A654" s="57" t="s">
        <v>836</v>
      </c>
      <c r="B654" s="108">
        <v>8.5</v>
      </c>
      <c r="C654" s="97">
        <v>0</v>
      </c>
      <c r="D654" s="16">
        <v>0</v>
      </c>
    </row>
    <row r="655" spans="1:4" x14ac:dyDescent="0.15">
      <c r="A655" s="57" t="s">
        <v>644</v>
      </c>
      <c r="B655" s="107">
        <v>1368</v>
      </c>
      <c r="C655" s="98">
        <v>0</v>
      </c>
      <c r="D655" s="16">
        <v>0</v>
      </c>
    </row>
    <row r="656" spans="1:4" x14ac:dyDescent="0.2">
      <c r="A656" s="53" t="s">
        <v>798</v>
      </c>
      <c r="B656" s="106">
        <v>43356</v>
      </c>
      <c r="C656" s="98">
        <v>0</v>
      </c>
      <c r="D656" s="16">
        <v>0</v>
      </c>
    </row>
    <row r="657" spans="1:4" x14ac:dyDescent="0.2">
      <c r="A657" s="53" t="s">
        <v>878</v>
      </c>
      <c r="B657" s="106">
        <v>727</v>
      </c>
      <c r="C657" s="98">
        <v>0</v>
      </c>
      <c r="D657" s="16">
        <v>0</v>
      </c>
    </row>
    <row r="658" spans="1:4" x14ac:dyDescent="0.2">
      <c r="A658" s="53" t="s">
        <v>316</v>
      </c>
      <c r="B658" s="106">
        <v>530</v>
      </c>
      <c r="C658" s="98">
        <v>0</v>
      </c>
      <c r="D658" s="16">
        <v>0</v>
      </c>
    </row>
    <row r="659" spans="1:4" x14ac:dyDescent="0.2">
      <c r="A659" s="53" t="s">
        <v>317</v>
      </c>
      <c r="B659" s="106">
        <v>19.2</v>
      </c>
      <c r="C659" s="98">
        <v>0</v>
      </c>
      <c r="D659" s="16">
        <v>0</v>
      </c>
    </row>
    <row r="660" spans="1:4" x14ac:dyDescent="0.2">
      <c r="A660" s="53" t="s">
        <v>318</v>
      </c>
      <c r="B660" s="106">
        <v>52.1</v>
      </c>
      <c r="C660" s="98">
        <v>0</v>
      </c>
      <c r="D660" s="16">
        <v>0</v>
      </c>
    </row>
    <row r="661" spans="1:4" x14ac:dyDescent="0.15">
      <c r="A661" s="57" t="s">
        <v>325</v>
      </c>
      <c r="B661" s="107">
        <v>405.4</v>
      </c>
      <c r="C661" s="98">
        <v>0</v>
      </c>
      <c r="D661" s="16">
        <v>0</v>
      </c>
    </row>
    <row r="662" spans="1:4" x14ac:dyDescent="0.2">
      <c r="A662" s="53" t="s">
        <v>261</v>
      </c>
      <c r="B662" s="105">
        <v>123.38</v>
      </c>
      <c r="C662" s="97">
        <v>0</v>
      </c>
      <c r="D662" s="16">
        <v>0</v>
      </c>
    </row>
    <row r="663" spans="1:4" x14ac:dyDescent="0.15">
      <c r="A663" s="57" t="s">
        <v>463</v>
      </c>
      <c r="B663" s="118">
        <v>22.3</v>
      </c>
      <c r="C663" s="98">
        <v>0</v>
      </c>
      <c r="D663" s="55">
        <v>0</v>
      </c>
    </row>
    <row r="664" spans="1:4" x14ac:dyDescent="0.15">
      <c r="A664" s="57" t="s">
        <v>824</v>
      </c>
      <c r="B664" s="107">
        <v>710</v>
      </c>
      <c r="C664" s="98">
        <v>0</v>
      </c>
      <c r="D664" s="16">
        <v>0</v>
      </c>
    </row>
    <row r="665" spans="1:4" x14ac:dyDescent="0.2">
      <c r="A665" s="53" t="s">
        <v>391</v>
      </c>
      <c r="B665" s="106">
        <v>48.8</v>
      </c>
      <c r="C665" s="98">
        <v>0</v>
      </c>
      <c r="D665" s="16">
        <v>0</v>
      </c>
    </row>
    <row r="666" spans="1:4" x14ac:dyDescent="0.2">
      <c r="A666" s="53" t="s">
        <v>812</v>
      </c>
      <c r="B666" s="106">
        <v>21900</v>
      </c>
      <c r="C666" s="98">
        <v>0</v>
      </c>
      <c r="D666" s="16">
        <v>0</v>
      </c>
    </row>
    <row r="667" spans="1:4" x14ac:dyDescent="0.2">
      <c r="A667" s="53" t="s">
        <v>395</v>
      </c>
      <c r="B667" s="106">
        <v>269</v>
      </c>
      <c r="C667" s="98">
        <v>0</v>
      </c>
      <c r="D667" s="16">
        <v>0</v>
      </c>
    </row>
    <row r="668" spans="1:4" x14ac:dyDescent="0.2">
      <c r="A668" s="53" t="s">
        <v>361</v>
      </c>
      <c r="B668" s="106">
        <v>199</v>
      </c>
      <c r="C668" s="98">
        <v>0</v>
      </c>
      <c r="D668" s="16">
        <v>0</v>
      </c>
    </row>
    <row r="669" spans="1:4" x14ac:dyDescent="0.2">
      <c r="A669" s="53" t="s">
        <v>715</v>
      </c>
      <c r="B669" s="106">
        <v>584.5</v>
      </c>
      <c r="C669" s="98">
        <v>0</v>
      </c>
      <c r="D669" s="16">
        <v>0</v>
      </c>
    </row>
    <row r="670" spans="1:4" x14ac:dyDescent="0.2">
      <c r="A670" s="17" t="s">
        <v>48</v>
      </c>
      <c r="B670" s="105">
        <v>980</v>
      </c>
      <c r="C670" s="101">
        <v>0</v>
      </c>
      <c r="D670" s="55">
        <v>0</v>
      </c>
    </row>
    <row r="671" spans="1:4" x14ac:dyDescent="0.2">
      <c r="A671" s="20" t="s">
        <v>873</v>
      </c>
      <c r="B671" s="108">
        <v>1634</v>
      </c>
      <c r="C671" s="101">
        <v>0</v>
      </c>
      <c r="D671" s="55">
        <v>0</v>
      </c>
    </row>
    <row r="672" spans="1:4" x14ac:dyDescent="0.2">
      <c r="A672" s="53" t="s">
        <v>368</v>
      </c>
      <c r="B672" s="106">
        <v>86.4</v>
      </c>
      <c r="C672" s="98">
        <v>0</v>
      </c>
      <c r="D672" s="16">
        <v>0</v>
      </c>
    </row>
    <row r="673" spans="1:4" x14ac:dyDescent="0.2">
      <c r="A673" s="17"/>
      <c r="B673" s="105"/>
      <c r="C673" s="97"/>
      <c r="D673" s="16">
        <f>SUM(D4:D672)</f>
        <v>10421362.315081961</v>
      </c>
    </row>
  </sheetData>
  <sortState xmlns:xlrd2="http://schemas.microsoft.com/office/spreadsheetml/2017/richdata2" ref="A4:F687">
    <sortCondition descending="1" ref="C4:C687"/>
  </sortState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77"/>
  <sheetViews>
    <sheetView workbookViewId="0">
      <pane ySplit="1" topLeftCell="A134" activePane="bottomLeft" state="frozen"/>
      <selection pane="bottomLeft" activeCell="L164" sqref="L164"/>
    </sheetView>
  </sheetViews>
  <sheetFormatPr defaultRowHeight="13.2" x14ac:dyDescent="0.2"/>
  <cols>
    <col min="1" max="1" width="3.6640625" customWidth="1"/>
    <col min="2" max="2" width="38.88671875" customWidth="1"/>
    <col min="3" max="3" width="9" style="9"/>
    <col min="5" max="5" width="9.21875" style="9" bestFit="1" customWidth="1"/>
    <col min="6" max="6" width="14.33203125" customWidth="1"/>
  </cols>
  <sheetData>
    <row r="1" spans="1:9" x14ac:dyDescent="0.2">
      <c r="B1" s="168" t="s">
        <v>4</v>
      </c>
      <c r="C1" s="169" t="s">
        <v>6</v>
      </c>
      <c r="D1" s="170" t="s">
        <v>14</v>
      </c>
      <c r="E1" s="163" t="s">
        <v>16</v>
      </c>
      <c r="G1" t="s">
        <v>1494</v>
      </c>
    </row>
    <row r="2" spans="1:9" x14ac:dyDescent="0.2">
      <c r="A2" s="15" t="s">
        <v>882</v>
      </c>
      <c r="B2" s="137" t="s">
        <v>869</v>
      </c>
      <c r="C2" s="149">
        <v>22.26</v>
      </c>
      <c r="D2" s="138">
        <v>69</v>
      </c>
      <c r="E2" s="136">
        <v>1535.94</v>
      </c>
      <c r="F2" s="62">
        <f>E2-E3</f>
        <v>-19969.060000000001</v>
      </c>
    </row>
    <row r="3" spans="1:9" x14ac:dyDescent="0.2">
      <c r="A3" s="15"/>
      <c r="B3" s="15" t="s">
        <v>883</v>
      </c>
      <c r="C3" s="16">
        <v>935</v>
      </c>
      <c r="D3" s="15">
        <v>23</v>
      </c>
      <c r="E3" s="16">
        <v>21505</v>
      </c>
      <c r="F3" s="62">
        <f>E3-E3</f>
        <v>0</v>
      </c>
    </row>
    <row r="4" spans="1:9" x14ac:dyDescent="0.2">
      <c r="A4" s="15" t="s">
        <v>882</v>
      </c>
      <c r="B4" s="137" t="s">
        <v>870</v>
      </c>
      <c r="C4" s="149">
        <v>45.2</v>
      </c>
      <c r="D4" s="138">
        <v>145</v>
      </c>
      <c r="E4" s="136">
        <v>6554</v>
      </c>
      <c r="F4" s="62">
        <f>E4-E5</f>
        <v>-61798</v>
      </c>
    </row>
    <row r="5" spans="1:9" x14ac:dyDescent="0.2">
      <c r="A5" s="15"/>
      <c r="B5" s="15" t="s">
        <v>884</v>
      </c>
      <c r="C5" s="16">
        <v>8544</v>
      </c>
      <c r="D5" s="15">
        <v>8</v>
      </c>
      <c r="E5" s="16">
        <v>68352</v>
      </c>
      <c r="F5" s="62">
        <f>E5-E5</f>
        <v>0</v>
      </c>
    </row>
    <row r="6" spans="1:9" x14ac:dyDescent="0.2">
      <c r="A6" s="15" t="s">
        <v>882</v>
      </c>
      <c r="B6" s="137" t="s">
        <v>478</v>
      </c>
      <c r="C6" s="149">
        <v>32.86</v>
      </c>
      <c r="D6" s="138">
        <v>103</v>
      </c>
      <c r="E6" s="136">
        <v>3384.58</v>
      </c>
      <c r="F6" s="62">
        <f>E6-E7</f>
        <v>3384.58</v>
      </c>
    </row>
    <row r="7" spans="1:9" x14ac:dyDescent="0.2">
      <c r="A7" s="15"/>
      <c r="B7" s="20"/>
      <c r="C7" s="152"/>
      <c r="D7" s="146"/>
      <c r="E7" s="122"/>
      <c r="F7" s="62">
        <f>E7-E7</f>
        <v>0</v>
      </c>
    </row>
    <row r="8" spans="1:9" x14ac:dyDescent="0.2">
      <c r="A8" s="15" t="s">
        <v>882</v>
      </c>
      <c r="B8" s="139" t="s">
        <v>52</v>
      </c>
      <c r="C8" s="150">
        <v>30.3</v>
      </c>
      <c r="D8" s="138">
        <v>272</v>
      </c>
      <c r="E8" s="136">
        <v>8241.6</v>
      </c>
      <c r="F8" s="62">
        <f>E8-E9</f>
        <v>-123502.39999999999</v>
      </c>
    </row>
    <row r="9" spans="1:9" x14ac:dyDescent="0.2">
      <c r="A9" s="15"/>
      <c r="B9" s="15" t="s">
        <v>885</v>
      </c>
      <c r="C9" s="16">
        <v>5728</v>
      </c>
      <c r="D9" s="15">
        <v>23</v>
      </c>
      <c r="E9" s="16">
        <v>131744</v>
      </c>
      <c r="F9" s="62">
        <f>E9-E9</f>
        <v>0</v>
      </c>
    </row>
    <row r="10" spans="1:9" x14ac:dyDescent="0.2">
      <c r="A10" s="15" t="s">
        <v>882</v>
      </c>
      <c r="B10" s="139" t="s">
        <v>53</v>
      </c>
      <c r="C10" s="151">
        <v>21.39</v>
      </c>
      <c r="D10" s="138">
        <v>61</v>
      </c>
      <c r="E10" s="136">
        <v>1304.79</v>
      </c>
      <c r="F10" s="62">
        <f>E10-E11</f>
        <v>-6781.21</v>
      </c>
    </row>
    <row r="11" spans="1:9" x14ac:dyDescent="0.2">
      <c r="A11" s="15"/>
      <c r="B11" s="15" t="s">
        <v>886</v>
      </c>
      <c r="C11" s="16">
        <v>4043</v>
      </c>
      <c r="D11" s="15">
        <v>2</v>
      </c>
      <c r="E11" s="16">
        <v>8086</v>
      </c>
      <c r="F11" s="62">
        <f>E11-E11</f>
        <v>0</v>
      </c>
    </row>
    <row r="12" spans="1:9" x14ac:dyDescent="0.2">
      <c r="A12" s="15" t="s">
        <v>882</v>
      </c>
      <c r="B12" s="139" t="s">
        <v>54</v>
      </c>
      <c r="C12" s="150">
        <v>40.08</v>
      </c>
      <c r="D12" s="138">
        <v>258</v>
      </c>
      <c r="E12" s="136">
        <v>10340.64</v>
      </c>
      <c r="F12" s="62">
        <f>E12-E13</f>
        <v>-35115.360000000001</v>
      </c>
    </row>
    <row r="13" spans="1:9" x14ac:dyDescent="0.2">
      <c r="A13" s="15"/>
      <c r="B13" s="15" t="s">
        <v>887</v>
      </c>
      <c r="C13" s="16">
        <v>7576</v>
      </c>
      <c r="D13" s="15">
        <v>6</v>
      </c>
      <c r="E13" s="16">
        <v>45456</v>
      </c>
      <c r="F13" s="62">
        <f>E13-E13</f>
        <v>0</v>
      </c>
    </row>
    <row r="14" spans="1:9" x14ac:dyDescent="0.2">
      <c r="A14" s="15" t="s">
        <v>882</v>
      </c>
      <c r="B14" s="139" t="s">
        <v>55</v>
      </c>
      <c r="C14" s="150">
        <v>41</v>
      </c>
      <c r="D14" s="138">
        <v>341</v>
      </c>
      <c r="E14" s="136">
        <v>13981</v>
      </c>
      <c r="F14" s="62">
        <f>E14-E15</f>
        <v>6231</v>
      </c>
      <c r="I14" t="s">
        <v>420</v>
      </c>
    </row>
    <row r="15" spans="1:9" x14ac:dyDescent="0.2">
      <c r="A15" s="15"/>
      <c r="B15" s="15" t="s">
        <v>888</v>
      </c>
      <c r="C15" s="16">
        <v>7750</v>
      </c>
      <c r="D15" s="15">
        <v>1</v>
      </c>
      <c r="E15" s="16">
        <v>7750</v>
      </c>
      <c r="F15" s="62">
        <f>E15-E15</f>
        <v>0</v>
      </c>
    </row>
    <row r="16" spans="1:9" x14ac:dyDescent="0.2">
      <c r="A16" s="15" t="s">
        <v>882</v>
      </c>
      <c r="B16" s="139" t="s">
        <v>56</v>
      </c>
      <c r="C16" s="150">
        <v>36.24</v>
      </c>
      <c r="D16" s="138">
        <v>756</v>
      </c>
      <c r="E16" s="136">
        <v>27397.440000000002</v>
      </c>
      <c r="F16" s="62">
        <f>E16-E17</f>
        <v>-1158160.56</v>
      </c>
    </row>
    <row r="17" spans="1:6" x14ac:dyDescent="0.2">
      <c r="A17" s="15"/>
      <c r="B17" s="15" t="s">
        <v>889</v>
      </c>
      <c r="C17" s="16">
        <v>8385</v>
      </c>
      <c r="D17" s="15">
        <v>253</v>
      </c>
      <c r="E17" s="16">
        <v>1185558</v>
      </c>
      <c r="F17" s="62">
        <f>E17-E17</f>
        <v>0</v>
      </c>
    </row>
    <row r="18" spans="1:6" x14ac:dyDescent="0.2">
      <c r="A18" s="15" t="s">
        <v>882</v>
      </c>
      <c r="B18" s="139" t="s">
        <v>57</v>
      </c>
      <c r="C18" s="150">
        <v>31.06</v>
      </c>
      <c r="D18" s="138">
        <v>510</v>
      </c>
      <c r="E18" s="136">
        <v>15840.599999999999</v>
      </c>
      <c r="F18" s="62">
        <f>E18-E19</f>
        <v>-72224.399999999994</v>
      </c>
    </row>
    <row r="19" spans="1:6" x14ac:dyDescent="0.2">
      <c r="A19" s="15"/>
      <c r="B19" s="15" t="s">
        <v>890</v>
      </c>
      <c r="C19" s="16">
        <v>5871</v>
      </c>
      <c r="D19" s="15">
        <v>15</v>
      </c>
      <c r="E19" s="16">
        <v>88065</v>
      </c>
      <c r="F19" s="62">
        <f>E19-E19</f>
        <v>0</v>
      </c>
    </row>
    <row r="20" spans="1:6" x14ac:dyDescent="0.2">
      <c r="A20" s="15" t="s">
        <v>882</v>
      </c>
      <c r="B20" s="139" t="s">
        <v>58</v>
      </c>
      <c r="C20" s="150">
        <v>23.62</v>
      </c>
      <c r="D20" s="138">
        <v>64</v>
      </c>
      <c r="E20" s="136">
        <v>1511.68</v>
      </c>
      <c r="F20" s="62">
        <f>E20-E21</f>
        <v>-16344.32</v>
      </c>
    </row>
    <row r="21" spans="1:6" x14ac:dyDescent="0.2">
      <c r="A21" s="15"/>
      <c r="B21" s="15" t="s">
        <v>891</v>
      </c>
      <c r="C21" s="16">
        <v>992</v>
      </c>
      <c r="D21" s="15">
        <v>18</v>
      </c>
      <c r="E21" s="16">
        <v>17856</v>
      </c>
      <c r="F21" s="62">
        <f>E21-E21</f>
        <v>0</v>
      </c>
    </row>
    <row r="22" spans="1:6" x14ac:dyDescent="0.2">
      <c r="A22" s="15" t="s">
        <v>882</v>
      </c>
      <c r="B22" s="139" t="s">
        <v>59</v>
      </c>
      <c r="C22" s="150">
        <v>32.090000000000003</v>
      </c>
      <c r="D22" s="138">
        <v>273</v>
      </c>
      <c r="E22" s="136">
        <v>8760.5700000000015</v>
      </c>
      <c r="F22" s="62">
        <f>E22-E23</f>
        <v>-161059.43</v>
      </c>
    </row>
    <row r="23" spans="1:6" x14ac:dyDescent="0.2">
      <c r="A23" s="15"/>
      <c r="B23" s="15" t="s">
        <v>892</v>
      </c>
      <c r="C23" s="16">
        <v>6065</v>
      </c>
      <c r="D23" s="15">
        <v>28</v>
      </c>
      <c r="E23" s="16">
        <v>169820</v>
      </c>
      <c r="F23" s="62">
        <f>E23-E23</f>
        <v>0</v>
      </c>
    </row>
    <row r="24" spans="1:6" x14ac:dyDescent="0.2">
      <c r="A24" s="15" t="s">
        <v>882</v>
      </c>
      <c r="B24" s="139" t="s">
        <v>60</v>
      </c>
      <c r="C24" s="150">
        <v>30.84</v>
      </c>
      <c r="D24" s="138">
        <v>636</v>
      </c>
      <c r="E24" s="136">
        <v>19614.240000000002</v>
      </c>
      <c r="F24" s="62">
        <f>E24-E25</f>
        <v>-784649.76</v>
      </c>
    </row>
    <row r="25" spans="1:6" x14ac:dyDescent="0.2">
      <c r="A25" s="15"/>
      <c r="B25" s="15" t="s">
        <v>893</v>
      </c>
      <c r="C25" s="16">
        <v>5828</v>
      </c>
      <c r="D25" s="15">
        <v>138</v>
      </c>
      <c r="E25" s="16">
        <v>804264</v>
      </c>
      <c r="F25" s="62">
        <f>E25-E25</f>
        <v>0</v>
      </c>
    </row>
    <row r="26" spans="1:6" x14ac:dyDescent="0.2">
      <c r="A26" s="15" t="s">
        <v>882</v>
      </c>
      <c r="B26" s="139" t="s">
        <v>479</v>
      </c>
      <c r="C26" s="150">
        <v>52.02</v>
      </c>
      <c r="D26" s="138">
        <v>46</v>
      </c>
      <c r="E26" s="136">
        <v>2392.92</v>
      </c>
      <c r="F26" s="62">
        <f>E26-E27</f>
        <v>-36937.08</v>
      </c>
    </row>
    <row r="27" spans="1:6" x14ac:dyDescent="0.2">
      <c r="A27" s="15"/>
      <c r="B27" s="15" t="s">
        <v>894</v>
      </c>
      <c r="C27" s="16">
        <v>2185</v>
      </c>
      <c r="D27" s="15">
        <v>18</v>
      </c>
      <c r="E27" s="16">
        <v>39330</v>
      </c>
      <c r="F27" s="62">
        <f>E27-E27</f>
        <v>0</v>
      </c>
    </row>
    <row r="28" spans="1:6" x14ac:dyDescent="0.2">
      <c r="A28" s="15" t="s">
        <v>882</v>
      </c>
      <c r="B28" s="139" t="s">
        <v>67</v>
      </c>
      <c r="C28" s="150">
        <v>5.26</v>
      </c>
      <c r="D28" s="135">
        <v>959</v>
      </c>
      <c r="E28" s="136">
        <v>5044.34</v>
      </c>
      <c r="F28" s="62">
        <f>E28-E29</f>
        <v>-60674.66</v>
      </c>
    </row>
    <row r="29" spans="1:6" x14ac:dyDescent="0.2">
      <c r="A29" s="15"/>
      <c r="B29" s="15" t="s">
        <v>67</v>
      </c>
      <c r="C29" s="16">
        <v>8412</v>
      </c>
      <c r="D29" s="15">
        <v>31</v>
      </c>
      <c r="E29" s="16">
        <v>65719</v>
      </c>
      <c r="F29" s="62">
        <f>E29-E29</f>
        <v>0</v>
      </c>
    </row>
    <row r="30" spans="1:6" x14ac:dyDescent="0.15">
      <c r="A30" s="15" t="s">
        <v>882</v>
      </c>
      <c r="B30" s="137" t="s">
        <v>281</v>
      </c>
      <c r="C30" s="149">
        <v>36.6</v>
      </c>
      <c r="D30" s="135">
        <v>290</v>
      </c>
      <c r="E30" s="136">
        <v>10614</v>
      </c>
      <c r="F30" s="62">
        <f>E30-E31</f>
        <v>10614</v>
      </c>
    </row>
    <row r="31" spans="1:6" x14ac:dyDescent="0.15">
      <c r="A31" s="15"/>
      <c r="B31" s="20"/>
      <c r="C31" s="152"/>
      <c r="D31" s="147"/>
      <c r="E31" s="122"/>
      <c r="F31" s="62">
        <f>E31-E31</f>
        <v>0</v>
      </c>
    </row>
    <row r="32" spans="1:6" x14ac:dyDescent="0.2">
      <c r="A32" s="15" t="s">
        <v>882</v>
      </c>
      <c r="B32" s="139" t="s">
        <v>1499</v>
      </c>
      <c r="C32" s="150">
        <v>22.72</v>
      </c>
      <c r="D32" s="138">
        <v>454</v>
      </c>
      <c r="E32" s="136">
        <v>10314.879999999999</v>
      </c>
      <c r="F32" s="62">
        <f>E32-E33</f>
        <v>-49796.12</v>
      </c>
    </row>
    <row r="33" spans="1:6" x14ac:dyDescent="0.2">
      <c r="A33" s="15"/>
      <c r="B33" s="15" t="s">
        <v>895</v>
      </c>
      <c r="C33" s="16">
        <v>6679</v>
      </c>
      <c r="D33" s="15">
        <v>9</v>
      </c>
      <c r="E33" s="16">
        <v>60111</v>
      </c>
      <c r="F33" s="62">
        <f>E33-E33</f>
        <v>0</v>
      </c>
    </row>
    <row r="34" spans="1:6" x14ac:dyDescent="0.2">
      <c r="A34" s="15" t="s">
        <v>882</v>
      </c>
      <c r="B34" s="141"/>
      <c r="C34" s="136"/>
      <c r="D34" s="141"/>
      <c r="E34" s="136"/>
      <c r="F34" s="62">
        <f>E34-E35</f>
        <v>-10640</v>
      </c>
    </row>
    <row r="35" spans="1:6" x14ac:dyDescent="0.2">
      <c r="A35" s="15"/>
      <c r="B35" s="15" t="s">
        <v>896</v>
      </c>
      <c r="C35" s="16">
        <v>2128</v>
      </c>
      <c r="D35" s="15">
        <v>5</v>
      </c>
      <c r="E35" s="16">
        <v>10640</v>
      </c>
      <c r="F35" s="62">
        <f>E35-E35</f>
        <v>0</v>
      </c>
    </row>
    <row r="36" spans="1:6" x14ac:dyDescent="0.2">
      <c r="A36" s="15" t="s">
        <v>882</v>
      </c>
      <c r="B36" s="139" t="s">
        <v>1500</v>
      </c>
      <c r="C36" s="150">
        <v>111.83</v>
      </c>
      <c r="D36" s="138">
        <v>267</v>
      </c>
      <c r="E36" s="136">
        <v>29858.61</v>
      </c>
      <c r="F36" s="62">
        <f>E36-E37</f>
        <v>-68775.39</v>
      </c>
    </row>
    <row r="37" spans="1:6" x14ac:dyDescent="0.2">
      <c r="A37" s="15"/>
      <c r="B37" s="15" t="s">
        <v>897</v>
      </c>
      <c r="C37" s="16">
        <v>32878</v>
      </c>
      <c r="D37" s="15">
        <v>3</v>
      </c>
      <c r="E37" s="16">
        <v>98634</v>
      </c>
      <c r="F37" s="62">
        <f>E37-E37</f>
        <v>0</v>
      </c>
    </row>
    <row r="38" spans="1:6" x14ac:dyDescent="0.2">
      <c r="A38" s="15" t="s">
        <v>882</v>
      </c>
      <c r="B38" s="139" t="s">
        <v>1495</v>
      </c>
      <c r="C38" s="150">
        <v>24.17</v>
      </c>
      <c r="D38" s="138">
        <v>129</v>
      </c>
      <c r="E38" s="136">
        <v>3117.9300000000003</v>
      </c>
      <c r="F38" s="62">
        <f>E38-E39</f>
        <v>-26317.07</v>
      </c>
    </row>
    <row r="39" spans="1:6" x14ac:dyDescent="0.2">
      <c r="A39" s="15"/>
      <c r="B39" s="15" t="s">
        <v>898</v>
      </c>
      <c r="C39" s="16">
        <v>1015</v>
      </c>
      <c r="D39" s="15">
        <v>29</v>
      </c>
      <c r="E39" s="16">
        <v>29435</v>
      </c>
      <c r="F39" s="62">
        <f>E39-E39</f>
        <v>0</v>
      </c>
    </row>
    <row r="40" spans="1:6" x14ac:dyDescent="0.2">
      <c r="A40" s="15" t="s">
        <v>882</v>
      </c>
      <c r="B40" s="139" t="s">
        <v>1496</v>
      </c>
      <c r="C40" s="150">
        <v>33.26</v>
      </c>
      <c r="D40" s="138">
        <v>152</v>
      </c>
      <c r="E40" s="136">
        <v>5055.5199999999995</v>
      </c>
      <c r="F40" s="62">
        <f>E40-E41</f>
        <v>-63397.48</v>
      </c>
    </row>
    <row r="41" spans="1:6" x14ac:dyDescent="0.2">
      <c r="A41" s="15"/>
      <c r="B41" s="15" t="s">
        <v>899</v>
      </c>
      <c r="C41" s="16">
        <v>1397</v>
      </c>
      <c r="D41" s="15">
        <v>49</v>
      </c>
      <c r="E41" s="16">
        <v>68453</v>
      </c>
      <c r="F41" s="62">
        <f>E41-E41</f>
        <v>0</v>
      </c>
    </row>
    <row r="42" spans="1:6" x14ac:dyDescent="0.2">
      <c r="A42" s="15" t="s">
        <v>882</v>
      </c>
      <c r="B42" s="139" t="s">
        <v>1498</v>
      </c>
      <c r="C42" s="151">
        <v>26.9</v>
      </c>
      <c r="D42" s="138">
        <v>120</v>
      </c>
      <c r="E42" s="136">
        <v>3228</v>
      </c>
      <c r="F42" s="62">
        <f>E42-E43</f>
        <v>-18242</v>
      </c>
    </row>
    <row r="43" spans="1:6" x14ac:dyDescent="0.2">
      <c r="A43" s="15"/>
      <c r="B43" s="15" t="s">
        <v>900</v>
      </c>
      <c r="C43" s="16">
        <v>1130</v>
      </c>
      <c r="D43" s="15">
        <v>19</v>
      </c>
      <c r="E43" s="16">
        <v>21470</v>
      </c>
      <c r="F43" s="62">
        <f>E43-E43</f>
        <v>0</v>
      </c>
    </row>
    <row r="44" spans="1:6" x14ac:dyDescent="0.2">
      <c r="A44" s="15" t="s">
        <v>882</v>
      </c>
      <c r="B44" s="139" t="s">
        <v>1501</v>
      </c>
      <c r="C44" s="150">
        <v>45.43</v>
      </c>
      <c r="D44" s="138">
        <v>423</v>
      </c>
      <c r="E44" s="136">
        <v>19216.89</v>
      </c>
      <c r="F44" s="62">
        <f>E44-E45</f>
        <v>-101005.11</v>
      </c>
    </row>
    <row r="45" spans="1:6" x14ac:dyDescent="0.2">
      <c r="A45" s="15"/>
      <c r="B45" s="15" t="s">
        <v>901</v>
      </c>
      <c r="C45" s="16">
        <v>13358</v>
      </c>
      <c r="D45" s="15">
        <v>9</v>
      </c>
      <c r="E45" s="16">
        <v>120222</v>
      </c>
      <c r="F45" s="62">
        <f>E45-E45</f>
        <v>0</v>
      </c>
    </row>
    <row r="46" spans="1:6" x14ac:dyDescent="0.2">
      <c r="A46" s="15" t="s">
        <v>882</v>
      </c>
      <c r="B46" s="139" t="s">
        <v>1497</v>
      </c>
      <c r="C46" s="150">
        <v>43.81</v>
      </c>
      <c r="D46" s="138">
        <v>42</v>
      </c>
      <c r="E46" s="136">
        <v>1840.02</v>
      </c>
      <c r="F46" s="62">
        <f>E46-E47</f>
        <v>1840.02</v>
      </c>
    </row>
    <row r="47" spans="1:6" x14ac:dyDescent="0.2">
      <c r="A47" s="15"/>
      <c r="B47" s="17"/>
      <c r="C47" s="154"/>
      <c r="D47" s="146"/>
      <c r="E47" s="122"/>
      <c r="F47" s="62">
        <f>E47-E47</f>
        <v>0</v>
      </c>
    </row>
    <row r="48" spans="1:6" x14ac:dyDescent="0.15">
      <c r="A48" s="15" t="s">
        <v>882</v>
      </c>
      <c r="B48" s="137" t="s">
        <v>68</v>
      </c>
      <c r="C48" s="149">
        <v>5.58</v>
      </c>
      <c r="D48" s="135">
        <v>77.215189873417714</v>
      </c>
      <c r="E48" s="136">
        <v>430.86075949367086</v>
      </c>
      <c r="F48" s="62">
        <f>E48-E49</f>
        <v>-17425.139240506331</v>
      </c>
    </row>
    <row r="49" spans="1:6" x14ac:dyDescent="0.2">
      <c r="A49" s="15"/>
      <c r="B49" s="15" t="s">
        <v>1210</v>
      </c>
      <c r="C49" s="16">
        <v>2232</v>
      </c>
      <c r="D49" s="15">
        <v>8</v>
      </c>
      <c r="E49" s="16">
        <v>17856</v>
      </c>
      <c r="F49" s="62">
        <f>E49-E49</f>
        <v>0</v>
      </c>
    </row>
    <row r="50" spans="1:6" x14ac:dyDescent="0.2">
      <c r="A50" s="15" t="s">
        <v>882</v>
      </c>
      <c r="B50" s="139" t="s">
        <v>41</v>
      </c>
      <c r="C50" s="150">
        <v>5.14</v>
      </c>
      <c r="D50" s="138">
        <v>1056</v>
      </c>
      <c r="E50" s="136">
        <v>5427.8399999999992</v>
      </c>
      <c r="F50" s="62">
        <f>E50-E51</f>
        <v>-25422.16</v>
      </c>
    </row>
    <row r="51" spans="1:6" x14ac:dyDescent="0.2">
      <c r="A51" s="15"/>
      <c r="B51" s="15" t="s">
        <v>1266</v>
      </c>
      <c r="C51" s="16">
        <v>6170</v>
      </c>
      <c r="D51" s="15">
        <v>5</v>
      </c>
      <c r="E51" s="16">
        <v>30850</v>
      </c>
      <c r="F51" s="62">
        <f>E51-E51</f>
        <v>0</v>
      </c>
    </row>
    <row r="52" spans="1:6" x14ac:dyDescent="0.2">
      <c r="A52" s="15" t="s">
        <v>882</v>
      </c>
      <c r="B52" s="141"/>
      <c r="C52" s="136"/>
      <c r="D52" s="141"/>
      <c r="E52" s="136"/>
      <c r="F52" s="62">
        <f>E52-E53</f>
        <v>-41354</v>
      </c>
    </row>
    <row r="53" spans="1:6" x14ac:dyDescent="0.2">
      <c r="A53" s="15"/>
      <c r="B53" s="15" t="s">
        <v>1183</v>
      </c>
      <c r="C53" s="16">
        <v>899</v>
      </c>
      <c r="D53" s="15">
        <v>46</v>
      </c>
      <c r="E53" s="16">
        <v>41354</v>
      </c>
      <c r="F53" s="62">
        <f>E53-E53</f>
        <v>0</v>
      </c>
    </row>
    <row r="54" spans="1:6" x14ac:dyDescent="0.2">
      <c r="A54" s="15" t="s">
        <v>882</v>
      </c>
      <c r="B54" s="137" t="s">
        <v>627</v>
      </c>
      <c r="C54" s="155">
        <v>1319</v>
      </c>
      <c r="D54" s="135">
        <v>1</v>
      </c>
      <c r="E54" s="136">
        <v>1319</v>
      </c>
      <c r="F54" s="62">
        <f>E54-E55</f>
        <v>1319</v>
      </c>
    </row>
    <row r="55" spans="1:6" x14ac:dyDescent="0.2">
      <c r="A55" s="15"/>
      <c r="B55" s="15"/>
      <c r="C55" s="16"/>
      <c r="D55" s="15"/>
      <c r="E55" s="16"/>
      <c r="F55" s="62">
        <f>E55-E55</f>
        <v>0</v>
      </c>
    </row>
    <row r="56" spans="1:6" x14ac:dyDescent="0.2">
      <c r="A56" s="15" t="s">
        <v>882</v>
      </c>
      <c r="B56" s="139" t="s">
        <v>466</v>
      </c>
      <c r="C56" s="156">
        <v>20.23</v>
      </c>
      <c r="D56" s="140">
        <v>0</v>
      </c>
      <c r="E56" s="136">
        <v>0</v>
      </c>
      <c r="F56" s="62">
        <f>E56-E57</f>
        <v>-10115</v>
      </c>
    </row>
    <row r="57" spans="1:6" x14ac:dyDescent="0.2">
      <c r="A57" s="15"/>
      <c r="B57" s="15" t="s">
        <v>972</v>
      </c>
      <c r="C57" s="16">
        <v>2023</v>
      </c>
      <c r="D57" s="15">
        <v>5</v>
      </c>
      <c r="E57" s="16">
        <v>10115</v>
      </c>
      <c r="F57" s="62">
        <f>E57-E57</f>
        <v>0</v>
      </c>
    </row>
    <row r="58" spans="1:6" x14ac:dyDescent="0.2">
      <c r="A58" s="15" t="s">
        <v>882</v>
      </c>
      <c r="B58" s="139" t="s">
        <v>302</v>
      </c>
      <c r="C58" s="150">
        <v>52.6</v>
      </c>
      <c r="D58" s="140">
        <v>57</v>
      </c>
      <c r="E58" s="136">
        <v>2998.2000000000003</v>
      </c>
      <c r="F58" s="62">
        <f>E58-E59</f>
        <v>-2261.7999999999997</v>
      </c>
    </row>
    <row r="59" spans="1:6" x14ac:dyDescent="0.2">
      <c r="A59" s="15"/>
      <c r="B59" s="15" t="s">
        <v>973</v>
      </c>
      <c r="C59" s="16">
        <v>2630</v>
      </c>
      <c r="D59" s="15">
        <v>2</v>
      </c>
      <c r="E59" s="16">
        <v>5260</v>
      </c>
      <c r="F59" s="62">
        <f>E59-E59</f>
        <v>0</v>
      </c>
    </row>
    <row r="60" spans="1:6" x14ac:dyDescent="0.2">
      <c r="A60" s="15" t="s">
        <v>882</v>
      </c>
      <c r="B60" s="139" t="s">
        <v>248</v>
      </c>
      <c r="C60" s="150">
        <v>196.5</v>
      </c>
      <c r="D60" s="135">
        <v>15</v>
      </c>
      <c r="E60" s="136">
        <v>2947.5</v>
      </c>
      <c r="F60" s="62">
        <f>E60-E61</f>
        <v>-6877.5</v>
      </c>
    </row>
    <row r="61" spans="1:6" x14ac:dyDescent="0.2">
      <c r="A61" s="15"/>
      <c r="B61" s="15" t="s">
        <v>1305</v>
      </c>
      <c r="C61" s="16">
        <v>1965</v>
      </c>
      <c r="D61" s="15">
        <v>5</v>
      </c>
      <c r="E61" s="16">
        <v>9825</v>
      </c>
      <c r="F61" s="62">
        <f>E61-E61</f>
        <v>0</v>
      </c>
    </row>
    <row r="62" spans="1:6" x14ac:dyDescent="0.2">
      <c r="A62" s="15" t="s">
        <v>882</v>
      </c>
      <c r="B62" s="139" t="s">
        <v>303</v>
      </c>
      <c r="C62" s="150">
        <v>303.75</v>
      </c>
      <c r="D62" s="140">
        <v>11</v>
      </c>
      <c r="E62" s="136">
        <v>3341.25</v>
      </c>
      <c r="F62" s="62">
        <f>E62-E63</f>
        <v>-112083.75</v>
      </c>
    </row>
    <row r="63" spans="1:6" x14ac:dyDescent="0.2">
      <c r="A63" s="15"/>
      <c r="B63" s="15" t="s">
        <v>1370</v>
      </c>
      <c r="C63" s="16">
        <v>6075</v>
      </c>
      <c r="D63" s="15">
        <v>19</v>
      </c>
      <c r="E63" s="16">
        <v>115425</v>
      </c>
      <c r="F63" s="62">
        <f>E63-E63</f>
        <v>0</v>
      </c>
    </row>
    <row r="64" spans="1:6" x14ac:dyDescent="0.2">
      <c r="A64" s="15" t="s">
        <v>882</v>
      </c>
      <c r="B64" s="139" t="s">
        <v>375</v>
      </c>
      <c r="C64" s="150">
        <v>1362</v>
      </c>
      <c r="D64" s="140">
        <v>0</v>
      </c>
      <c r="E64" s="136">
        <v>0</v>
      </c>
      <c r="F64" s="62">
        <f>E64-E65</f>
        <v>0</v>
      </c>
    </row>
    <row r="65" spans="1:6" x14ac:dyDescent="0.2">
      <c r="A65" s="15"/>
      <c r="B65" s="17"/>
      <c r="C65" s="154"/>
      <c r="D65" s="99"/>
      <c r="E65" s="122"/>
      <c r="F65" s="62">
        <f>E65-E65</f>
        <v>0</v>
      </c>
    </row>
    <row r="66" spans="1:6" x14ac:dyDescent="0.2">
      <c r="A66" s="15" t="s">
        <v>882</v>
      </c>
      <c r="B66" s="141" t="s">
        <v>403</v>
      </c>
      <c r="C66" s="150">
        <v>26.46</v>
      </c>
      <c r="D66" s="135">
        <v>124</v>
      </c>
      <c r="E66" s="136">
        <v>3281.04</v>
      </c>
      <c r="F66" s="62">
        <f>E66-E67</f>
        <v>-17886.96</v>
      </c>
    </row>
    <row r="67" spans="1:6" x14ac:dyDescent="0.2">
      <c r="A67" s="15"/>
      <c r="B67" s="15" t="s">
        <v>1470</v>
      </c>
      <c r="C67" s="16">
        <v>2646</v>
      </c>
      <c r="D67" s="15">
        <v>8</v>
      </c>
      <c r="E67" s="16">
        <v>21168</v>
      </c>
      <c r="F67" s="62">
        <f>E67-E67</f>
        <v>0</v>
      </c>
    </row>
    <row r="68" spans="1:6" x14ac:dyDescent="0.2">
      <c r="A68" s="15" t="s">
        <v>882</v>
      </c>
      <c r="B68" s="139" t="s">
        <v>650</v>
      </c>
      <c r="C68" s="150">
        <v>341.2</v>
      </c>
      <c r="D68" s="140">
        <v>80</v>
      </c>
      <c r="E68" s="136">
        <v>27296</v>
      </c>
      <c r="F68" s="62">
        <f>E68-E69</f>
        <v>-17060</v>
      </c>
    </row>
    <row r="69" spans="1:6" x14ac:dyDescent="0.2">
      <c r="A69" s="15"/>
      <c r="B69" s="15" t="s">
        <v>1476</v>
      </c>
      <c r="C69" s="16">
        <v>3412</v>
      </c>
      <c r="D69" s="15">
        <v>13</v>
      </c>
      <c r="E69" s="16">
        <v>44356</v>
      </c>
      <c r="F69" s="62">
        <f>E69-E69</f>
        <v>0</v>
      </c>
    </row>
    <row r="70" spans="1:6" x14ac:dyDescent="0.15">
      <c r="A70" s="15" t="s">
        <v>882</v>
      </c>
      <c r="B70" s="137" t="s">
        <v>732</v>
      </c>
      <c r="C70" s="149">
        <v>51.25</v>
      </c>
      <c r="D70" s="135">
        <v>105</v>
      </c>
      <c r="E70" s="136">
        <v>5381.25</v>
      </c>
      <c r="F70" s="62">
        <f>E70-E71</f>
        <v>-768.75</v>
      </c>
    </row>
    <row r="71" spans="1:6" x14ac:dyDescent="0.2">
      <c r="A71" s="15"/>
      <c r="B71" s="15" t="s">
        <v>1463</v>
      </c>
      <c r="C71" s="16">
        <v>3075</v>
      </c>
      <c r="D71" s="15">
        <v>2</v>
      </c>
      <c r="E71" s="16">
        <v>6150</v>
      </c>
      <c r="F71" s="62">
        <f>E71-E71</f>
        <v>0</v>
      </c>
    </row>
    <row r="72" spans="1:6" x14ac:dyDescent="0.15">
      <c r="A72" s="15" t="s">
        <v>882</v>
      </c>
      <c r="B72" s="137" t="s">
        <v>731</v>
      </c>
      <c r="C72" s="149">
        <v>27</v>
      </c>
      <c r="D72" s="135">
        <v>1272.3333333333335</v>
      </c>
      <c r="E72" s="136">
        <v>34353.000000000007</v>
      </c>
      <c r="F72" s="62">
        <f>E72-E73</f>
        <v>-203315</v>
      </c>
    </row>
    <row r="73" spans="1:6" x14ac:dyDescent="0.2">
      <c r="A73" s="15"/>
      <c r="B73" s="15" t="s">
        <v>1184</v>
      </c>
      <c r="C73" s="16">
        <v>8102</v>
      </c>
      <c r="D73" s="15">
        <v>54</v>
      </c>
      <c r="E73" s="16">
        <v>237668</v>
      </c>
      <c r="F73" s="62">
        <f>E73-E73</f>
        <v>0</v>
      </c>
    </row>
    <row r="74" spans="1:6" x14ac:dyDescent="0.2">
      <c r="A74" s="15" t="s">
        <v>882</v>
      </c>
      <c r="B74" s="141" t="s">
        <v>530</v>
      </c>
      <c r="C74" s="150">
        <v>49.09</v>
      </c>
      <c r="D74" s="135">
        <v>67</v>
      </c>
      <c r="E74" s="136">
        <v>3289.03</v>
      </c>
      <c r="F74" s="62">
        <f>E74-E75</f>
        <v>-1619.9699999999998</v>
      </c>
    </row>
    <row r="75" spans="1:6" x14ac:dyDescent="0.2">
      <c r="A75" s="15"/>
      <c r="B75" s="15" t="s">
        <v>1185</v>
      </c>
      <c r="C75" s="16">
        <v>4909</v>
      </c>
      <c r="D75" s="15">
        <v>1</v>
      </c>
      <c r="E75" s="16">
        <v>4909</v>
      </c>
      <c r="F75" s="62">
        <f>E75-E75</f>
        <v>0</v>
      </c>
    </row>
    <row r="76" spans="1:6" x14ac:dyDescent="0.2">
      <c r="A76" s="15" t="s">
        <v>882</v>
      </c>
      <c r="B76" s="139" t="s">
        <v>794</v>
      </c>
      <c r="C76" s="150">
        <v>72.2</v>
      </c>
      <c r="D76" s="140">
        <v>93</v>
      </c>
      <c r="E76" s="136">
        <v>6714.6</v>
      </c>
      <c r="F76" s="62">
        <f>E76-E77</f>
        <v>-7725.4</v>
      </c>
    </row>
    <row r="77" spans="1:6" x14ac:dyDescent="0.2">
      <c r="A77" s="15"/>
      <c r="B77" s="15" t="s">
        <v>1342</v>
      </c>
      <c r="C77" s="16">
        <v>7220</v>
      </c>
      <c r="D77" s="15">
        <v>2</v>
      </c>
      <c r="E77" s="16">
        <v>14440</v>
      </c>
      <c r="F77" s="62">
        <f>E77-E77</f>
        <v>0</v>
      </c>
    </row>
    <row r="78" spans="1:6" x14ac:dyDescent="0.2">
      <c r="A78" s="15" t="s">
        <v>882</v>
      </c>
      <c r="B78" s="139" t="s">
        <v>250</v>
      </c>
      <c r="C78" s="150">
        <v>94.4</v>
      </c>
      <c r="D78" s="135">
        <v>57</v>
      </c>
      <c r="E78" s="136">
        <v>5380.8</v>
      </c>
      <c r="F78" s="62">
        <f>E78-E79</f>
        <v>-32379.200000000001</v>
      </c>
    </row>
    <row r="79" spans="1:6" x14ac:dyDescent="0.2">
      <c r="A79" s="15"/>
      <c r="B79" s="15" t="s">
        <v>1307</v>
      </c>
      <c r="C79" s="16">
        <v>944</v>
      </c>
      <c r="D79" s="15">
        <v>40</v>
      </c>
      <c r="E79" s="16">
        <v>37760</v>
      </c>
      <c r="F79" s="62">
        <f>E79-E79</f>
        <v>0</v>
      </c>
    </row>
    <row r="80" spans="1:6" x14ac:dyDescent="0.2">
      <c r="A80" s="15" t="s">
        <v>882</v>
      </c>
      <c r="B80" s="139" t="s">
        <v>482</v>
      </c>
      <c r="C80" s="150">
        <v>5.07</v>
      </c>
      <c r="D80" s="135">
        <v>1256.4285714285716</v>
      </c>
      <c r="E80" s="136">
        <v>6370.0928571428585</v>
      </c>
      <c r="F80" s="62">
        <f>E80-E81</f>
        <v>-171850.90714285715</v>
      </c>
    </row>
    <row r="81" spans="1:6" x14ac:dyDescent="0.2">
      <c r="A81" s="15"/>
      <c r="B81" s="15" t="s">
        <v>1347</v>
      </c>
      <c r="C81" s="16">
        <v>3046</v>
      </c>
      <c r="D81" s="15">
        <v>87</v>
      </c>
      <c r="E81" s="16">
        <v>178221</v>
      </c>
      <c r="F81" s="62">
        <f>E81-E81</f>
        <v>0</v>
      </c>
    </row>
    <row r="82" spans="1:6" x14ac:dyDescent="0.2">
      <c r="A82" s="15" t="s">
        <v>882</v>
      </c>
      <c r="B82" s="139" t="s">
        <v>475</v>
      </c>
      <c r="C82" s="156">
        <v>5.79</v>
      </c>
      <c r="D82" s="140">
        <v>557</v>
      </c>
      <c r="E82" s="136">
        <v>3225.03</v>
      </c>
      <c r="F82" s="62">
        <f>E82-E83</f>
        <v>-11249.97</v>
      </c>
    </row>
    <row r="83" spans="1:6" x14ac:dyDescent="0.2">
      <c r="A83" s="15"/>
      <c r="B83" s="15" t="s">
        <v>1349</v>
      </c>
      <c r="C83" s="16">
        <v>2895</v>
      </c>
      <c r="D83" s="15">
        <v>5</v>
      </c>
      <c r="E83" s="16">
        <v>14475</v>
      </c>
      <c r="F83" s="62">
        <f>E83-E83</f>
        <v>0</v>
      </c>
    </row>
    <row r="84" spans="1:6" x14ac:dyDescent="0.2">
      <c r="A84" s="15" t="s">
        <v>882</v>
      </c>
      <c r="B84" s="139" t="s">
        <v>481</v>
      </c>
      <c r="C84" s="150">
        <v>5.26</v>
      </c>
      <c r="D84" s="135">
        <v>920</v>
      </c>
      <c r="E84" s="136">
        <v>4839.2</v>
      </c>
      <c r="F84" s="62">
        <f>E84-E85</f>
        <v>-89768.8</v>
      </c>
    </row>
    <row r="85" spans="1:6" x14ac:dyDescent="0.2">
      <c r="A85" s="15"/>
      <c r="B85" s="15" t="s">
        <v>1350</v>
      </c>
      <c r="C85" s="16">
        <v>5256</v>
      </c>
      <c r="D85" s="15">
        <v>18</v>
      </c>
      <c r="E85" s="16">
        <v>94608</v>
      </c>
      <c r="F85" s="62">
        <f>E85-E85</f>
        <v>0</v>
      </c>
    </row>
    <row r="86" spans="1:6" x14ac:dyDescent="0.2">
      <c r="A86" s="15" t="s">
        <v>882</v>
      </c>
      <c r="B86" s="139" t="s">
        <v>304</v>
      </c>
      <c r="C86" s="150">
        <v>163.69999999999999</v>
      </c>
      <c r="D86" s="140">
        <v>19</v>
      </c>
      <c r="E86" s="136">
        <v>3110.2999999999997</v>
      </c>
      <c r="F86" s="62">
        <f>E86-E87</f>
        <v>-104931.7</v>
      </c>
    </row>
    <row r="87" spans="1:6" x14ac:dyDescent="0.2">
      <c r="A87" s="15"/>
      <c r="B87" s="15" t="s">
        <v>1351</v>
      </c>
      <c r="C87" s="16">
        <v>1637</v>
      </c>
      <c r="D87" s="15">
        <v>66</v>
      </c>
      <c r="E87" s="16">
        <v>108042</v>
      </c>
      <c r="F87" s="62">
        <f>E87-E87</f>
        <v>0</v>
      </c>
    </row>
    <row r="88" spans="1:6" x14ac:dyDescent="0.15">
      <c r="A88" s="15" t="s">
        <v>882</v>
      </c>
      <c r="B88" s="137" t="s">
        <v>618</v>
      </c>
      <c r="C88" s="149">
        <v>80</v>
      </c>
      <c r="D88" s="135">
        <v>19</v>
      </c>
      <c r="E88" s="136">
        <v>1520</v>
      </c>
      <c r="F88" s="62">
        <f>E88-E89</f>
        <v>-80</v>
      </c>
    </row>
    <row r="89" spans="1:6" x14ac:dyDescent="0.2">
      <c r="A89" s="15"/>
      <c r="B89" s="15" t="s">
        <v>1137</v>
      </c>
      <c r="C89" s="16">
        <v>800</v>
      </c>
      <c r="D89" s="15">
        <v>2</v>
      </c>
      <c r="E89" s="16">
        <v>1600</v>
      </c>
      <c r="F89" s="62">
        <f>E89-E89</f>
        <v>0</v>
      </c>
    </row>
    <row r="90" spans="1:6" x14ac:dyDescent="0.2">
      <c r="A90" s="141" t="s">
        <v>1502</v>
      </c>
      <c r="B90" s="141"/>
      <c r="C90" s="136"/>
      <c r="D90" s="141"/>
      <c r="E90" s="136"/>
      <c r="F90" s="62">
        <f>E90-E91</f>
        <v>-68824</v>
      </c>
    </row>
    <row r="91" spans="1:6" x14ac:dyDescent="0.2">
      <c r="A91" s="15"/>
      <c r="B91" s="15" t="s">
        <v>902</v>
      </c>
      <c r="C91" s="16">
        <v>68824</v>
      </c>
      <c r="D91" s="15">
        <v>1</v>
      </c>
      <c r="E91" s="16">
        <v>68824</v>
      </c>
      <c r="F91" s="62">
        <f>E91-E91</f>
        <v>0</v>
      </c>
    </row>
    <row r="92" spans="1:6" x14ac:dyDescent="0.2">
      <c r="A92" s="15" t="s">
        <v>882</v>
      </c>
      <c r="B92" s="139" t="s">
        <v>795</v>
      </c>
      <c r="C92" s="150">
        <v>274</v>
      </c>
      <c r="D92" s="140">
        <v>19</v>
      </c>
      <c r="E92" s="136">
        <v>5206</v>
      </c>
      <c r="F92" s="62">
        <f>E92-E93</f>
        <v>-5754</v>
      </c>
    </row>
    <row r="93" spans="1:6" x14ac:dyDescent="0.2">
      <c r="A93" s="15"/>
      <c r="B93" s="15" t="s">
        <v>962</v>
      </c>
      <c r="C93" s="16">
        <v>5480</v>
      </c>
      <c r="D93" s="15">
        <v>2</v>
      </c>
      <c r="E93" s="16">
        <v>10960</v>
      </c>
      <c r="F93" s="62">
        <f>E93-E93</f>
        <v>0</v>
      </c>
    </row>
    <row r="94" spans="1:6" x14ac:dyDescent="0.2">
      <c r="A94" s="15" t="s">
        <v>882</v>
      </c>
      <c r="B94" s="139" t="s">
        <v>750</v>
      </c>
      <c r="C94" s="151">
        <v>1483</v>
      </c>
      <c r="D94" s="140">
        <v>3</v>
      </c>
      <c r="E94" s="136">
        <v>4449</v>
      </c>
      <c r="F94" s="62">
        <f>E94-E95</f>
        <v>-99361</v>
      </c>
    </row>
    <row r="95" spans="1:6" x14ac:dyDescent="0.2">
      <c r="A95" s="15"/>
      <c r="B95" s="15" t="s">
        <v>1352</v>
      </c>
      <c r="C95" s="16">
        <v>14830</v>
      </c>
      <c r="D95" s="15">
        <v>7</v>
      </c>
      <c r="E95" s="16">
        <v>103810</v>
      </c>
      <c r="F95" s="62">
        <f>E95-E95</f>
        <v>0</v>
      </c>
    </row>
    <row r="96" spans="1:6" x14ac:dyDescent="0.2">
      <c r="A96" s="15" t="s">
        <v>882</v>
      </c>
      <c r="B96" s="139" t="s">
        <v>834</v>
      </c>
      <c r="C96" s="150">
        <v>10.95</v>
      </c>
      <c r="D96" s="135">
        <v>95</v>
      </c>
      <c r="E96" s="136">
        <v>1040.25</v>
      </c>
      <c r="F96" s="62">
        <f>E96-E97</f>
        <v>-1149.75</v>
      </c>
    </row>
    <row r="97" spans="1:6" x14ac:dyDescent="0.2">
      <c r="A97" s="15"/>
      <c r="B97" s="15" t="s">
        <v>1174</v>
      </c>
      <c r="C97" s="16">
        <v>1095</v>
      </c>
      <c r="D97" s="15">
        <v>2</v>
      </c>
      <c r="E97" s="16">
        <v>2190</v>
      </c>
      <c r="F97" s="62">
        <f>E97-E97</f>
        <v>0</v>
      </c>
    </row>
    <row r="98" spans="1:6" x14ac:dyDescent="0.2">
      <c r="A98" s="141" t="s">
        <v>1502</v>
      </c>
      <c r="B98" s="141"/>
      <c r="C98" s="136"/>
      <c r="D98" s="141"/>
      <c r="E98" s="136"/>
      <c r="F98" s="62">
        <f>E98-E99</f>
        <v>-899</v>
      </c>
    </row>
    <row r="99" spans="1:6" x14ac:dyDescent="0.2">
      <c r="A99" s="15"/>
      <c r="B99" s="15" t="s">
        <v>1173</v>
      </c>
      <c r="C99" s="16">
        <v>899</v>
      </c>
      <c r="D99" s="15">
        <v>1</v>
      </c>
      <c r="E99" s="16">
        <v>899</v>
      </c>
      <c r="F99" s="62">
        <f>E99-E99</f>
        <v>0</v>
      </c>
    </row>
    <row r="100" spans="1:6" x14ac:dyDescent="0.2">
      <c r="A100" s="15" t="s">
        <v>882</v>
      </c>
      <c r="B100" s="139" t="s">
        <v>835</v>
      </c>
      <c r="C100" s="150">
        <v>13.28</v>
      </c>
      <c r="D100" s="135">
        <v>120</v>
      </c>
      <c r="E100" s="136">
        <v>1593.6</v>
      </c>
      <c r="F100" s="62">
        <f>E100-E101</f>
        <v>-24966.400000000001</v>
      </c>
    </row>
    <row r="101" spans="1:6" x14ac:dyDescent="0.2">
      <c r="A101" s="15"/>
      <c r="B101" s="15" t="s">
        <v>1199</v>
      </c>
      <c r="C101" s="16">
        <v>1328</v>
      </c>
      <c r="D101" s="15">
        <v>20</v>
      </c>
      <c r="E101" s="16">
        <v>26560</v>
      </c>
      <c r="F101" s="62">
        <f>E101-E101</f>
        <v>0</v>
      </c>
    </row>
    <row r="102" spans="1:6" x14ac:dyDescent="0.2">
      <c r="A102" s="15" t="s">
        <v>882</v>
      </c>
      <c r="B102" s="139" t="s">
        <v>69</v>
      </c>
      <c r="C102" s="150">
        <v>5.44</v>
      </c>
      <c r="D102" s="135">
        <v>752.1052631578948</v>
      </c>
      <c r="E102" s="136">
        <v>4091.4526315789481</v>
      </c>
      <c r="F102" s="62">
        <f>E102-E103</f>
        <v>-14404.547368421052</v>
      </c>
    </row>
    <row r="103" spans="1:6" x14ac:dyDescent="0.2">
      <c r="A103" s="15"/>
      <c r="B103" s="15" t="s">
        <v>984</v>
      </c>
      <c r="C103" s="16">
        <v>544</v>
      </c>
      <c r="D103" s="15">
        <v>34</v>
      </c>
      <c r="E103" s="16">
        <v>18496</v>
      </c>
      <c r="F103" s="62">
        <f>E103-E103</f>
        <v>0</v>
      </c>
    </row>
    <row r="104" spans="1:6" x14ac:dyDescent="0.2">
      <c r="A104" s="15" t="s">
        <v>882</v>
      </c>
      <c r="B104" s="139" t="s">
        <v>70</v>
      </c>
      <c r="C104" s="150">
        <v>8.99</v>
      </c>
      <c r="D104" s="135">
        <v>269.23076923076923</v>
      </c>
      <c r="E104" s="136">
        <v>2420.3846153846152</v>
      </c>
      <c r="F104" s="62">
        <f>E104-E105</f>
        <v>2420.3846153846152</v>
      </c>
    </row>
    <row r="105" spans="1:6" x14ac:dyDescent="0.2">
      <c r="A105" s="15"/>
      <c r="B105" s="17"/>
      <c r="C105" s="154"/>
      <c r="D105" s="147"/>
      <c r="E105" s="122"/>
      <c r="F105" s="62">
        <f>E105-E105</f>
        <v>0</v>
      </c>
    </row>
    <row r="106" spans="1:6" x14ac:dyDescent="0.15">
      <c r="A106" s="15" t="s">
        <v>882</v>
      </c>
      <c r="B106" s="137" t="s">
        <v>275</v>
      </c>
      <c r="C106" s="149">
        <v>3641</v>
      </c>
      <c r="D106" s="135">
        <v>2</v>
      </c>
      <c r="E106" s="136">
        <v>7282</v>
      </c>
      <c r="F106" s="62">
        <f>E106-E107</f>
        <v>-76461</v>
      </c>
    </row>
    <row r="107" spans="1:6" x14ac:dyDescent="0.2">
      <c r="A107" s="15"/>
      <c r="B107" s="15" t="s">
        <v>1231</v>
      </c>
      <c r="C107" s="16">
        <v>3641</v>
      </c>
      <c r="D107" s="15">
        <v>23</v>
      </c>
      <c r="E107" s="16">
        <v>83743</v>
      </c>
      <c r="F107" s="62">
        <f>E107-E107</f>
        <v>0</v>
      </c>
    </row>
    <row r="108" spans="1:6" x14ac:dyDescent="0.15">
      <c r="A108" s="15" t="s">
        <v>882</v>
      </c>
      <c r="B108" s="137" t="s">
        <v>17</v>
      </c>
      <c r="C108" s="157">
        <v>30.2</v>
      </c>
      <c r="D108" s="140">
        <v>100</v>
      </c>
      <c r="E108" s="136">
        <v>3020</v>
      </c>
      <c r="F108" s="62">
        <f>E108-E109</f>
        <v>-3020</v>
      </c>
    </row>
    <row r="109" spans="1:6" x14ac:dyDescent="0.2">
      <c r="A109" s="15"/>
      <c r="B109" s="15" t="s">
        <v>1381</v>
      </c>
      <c r="C109" s="16">
        <v>3020</v>
      </c>
      <c r="D109" s="15">
        <v>2</v>
      </c>
      <c r="E109" s="16">
        <v>6040</v>
      </c>
      <c r="F109" s="62">
        <f>E109-E109</f>
        <v>0</v>
      </c>
    </row>
    <row r="110" spans="1:6" x14ac:dyDescent="0.15">
      <c r="A110" s="15" t="s">
        <v>882</v>
      </c>
      <c r="B110" s="137" t="s">
        <v>71</v>
      </c>
      <c r="C110" s="149">
        <v>7.28</v>
      </c>
      <c r="D110" s="135">
        <v>970</v>
      </c>
      <c r="E110" s="136">
        <v>7061.6</v>
      </c>
      <c r="F110" s="62">
        <f>E110-E111</f>
        <v>-25707.4</v>
      </c>
    </row>
    <row r="111" spans="1:6" x14ac:dyDescent="0.2">
      <c r="A111" s="15"/>
      <c r="B111" s="15" t="s">
        <v>1382</v>
      </c>
      <c r="C111" s="16">
        <v>3641</v>
      </c>
      <c r="D111" s="15">
        <v>9</v>
      </c>
      <c r="E111" s="16">
        <v>32769</v>
      </c>
      <c r="F111" s="62">
        <f>E111-E111</f>
        <v>0</v>
      </c>
    </row>
    <row r="112" spans="1:6" x14ac:dyDescent="0.2">
      <c r="A112" s="15" t="s">
        <v>882</v>
      </c>
      <c r="B112" s="139" t="s">
        <v>305</v>
      </c>
      <c r="C112" s="150">
        <v>80</v>
      </c>
      <c r="D112" s="140">
        <v>42</v>
      </c>
      <c r="E112" s="136">
        <v>3360</v>
      </c>
      <c r="F112" s="62">
        <f>E112-E113</f>
        <v>-70240</v>
      </c>
    </row>
    <row r="113" spans="1:8" x14ac:dyDescent="0.2">
      <c r="A113" s="15"/>
      <c r="B113" s="15" t="s">
        <v>1383</v>
      </c>
      <c r="C113" s="16">
        <v>4800</v>
      </c>
      <c r="D113" s="15">
        <v>84</v>
      </c>
      <c r="E113" s="16">
        <v>73600</v>
      </c>
      <c r="F113" s="62">
        <f>E113-E113</f>
        <v>0</v>
      </c>
      <c r="G113" s="62"/>
      <c r="H113" s="62"/>
    </row>
    <row r="114" spans="1:8" x14ac:dyDescent="0.2">
      <c r="A114" s="15" t="s">
        <v>882</v>
      </c>
      <c r="B114" s="139" t="s">
        <v>875</v>
      </c>
      <c r="C114" s="150">
        <v>106.66</v>
      </c>
      <c r="D114" s="135">
        <v>50</v>
      </c>
      <c r="E114" s="136">
        <v>5333</v>
      </c>
      <c r="F114" s="62">
        <f>E114-E115</f>
        <v>0</v>
      </c>
    </row>
    <row r="115" spans="1:8" x14ac:dyDescent="0.2">
      <c r="A115" s="15"/>
      <c r="B115" s="15" t="s">
        <v>1308</v>
      </c>
      <c r="C115" s="16">
        <v>5333</v>
      </c>
      <c r="D115" s="15">
        <v>1</v>
      </c>
      <c r="E115" s="16">
        <v>5333</v>
      </c>
      <c r="F115" s="62">
        <f>E115-E115</f>
        <v>0</v>
      </c>
    </row>
    <row r="116" spans="1:8" x14ac:dyDescent="0.15">
      <c r="A116" s="15" t="s">
        <v>882</v>
      </c>
      <c r="B116" s="137" t="s">
        <v>699</v>
      </c>
      <c r="C116" s="149">
        <v>44.45</v>
      </c>
      <c r="D116" s="135">
        <v>1218</v>
      </c>
      <c r="E116" s="136">
        <v>54140.100000000006</v>
      </c>
      <c r="F116" s="62">
        <f>E116-E117</f>
        <v>-82787.899999999994</v>
      </c>
    </row>
    <row r="117" spans="1:8" x14ac:dyDescent="0.2">
      <c r="A117" s="15"/>
      <c r="B117" s="15" t="s">
        <v>1073</v>
      </c>
      <c r="C117" s="16">
        <v>6224</v>
      </c>
      <c r="D117" s="15">
        <v>22</v>
      </c>
      <c r="E117" s="16">
        <v>136928</v>
      </c>
      <c r="F117" s="62">
        <f>E117-E117</f>
        <v>0</v>
      </c>
    </row>
    <row r="118" spans="1:8" x14ac:dyDescent="0.15">
      <c r="A118" s="15" t="s">
        <v>882</v>
      </c>
      <c r="B118" s="137" t="s">
        <v>700</v>
      </c>
      <c r="C118" s="149">
        <v>58.42</v>
      </c>
      <c r="D118" s="135">
        <v>1220</v>
      </c>
      <c r="E118" s="136">
        <v>71272.400000000009</v>
      </c>
      <c r="F118" s="62">
        <f>E118-E119</f>
        <v>-337677.6</v>
      </c>
    </row>
    <row r="119" spans="1:8" x14ac:dyDescent="0.2">
      <c r="A119" s="15"/>
      <c r="B119" s="15" t="s">
        <v>1074</v>
      </c>
      <c r="C119" s="16">
        <v>8179</v>
      </c>
      <c r="D119" s="15">
        <v>50</v>
      </c>
      <c r="E119" s="16">
        <v>408950</v>
      </c>
      <c r="F119" s="62">
        <f>E119-E119</f>
        <v>0</v>
      </c>
    </row>
    <row r="120" spans="1:8" x14ac:dyDescent="0.15">
      <c r="A120" s="15" t="s">
        <v>882</v>
      </c>
      <c r="B120" s="137" t="s">
        <v>771</v>
      </c>
      <c r="C120" s="149">
        <v>12.64</v>
      </c>
      <c r="D120" s="135">
        <v>3349.4444444444443</v>
      </c>
      <c r="E120" s="136">
        <v>42336.977777777778</v>
      </c>
      <c r="F120" s="62">
        <f>E120-E121</f>
        <v>-130721.02222222222</v>
      </c>
    </row>
    <row r="121" spans="1:8" x14ac:dyDescent="0.2">
      <c r="A121" s="15"/>
      <c r="B121" s="15" t="s">
        <v>1211</v>
      </c>
      <c r="C121" s="16">
        <v>10556</v>
      </c>
      <c r="D121" s="15">
        <v>61</v>
      </c>
      <c r="E121" s="16">
        <v>173058</v>
      </c>
      <c r="F121" s="62">
        <f>E121-E121</f>
        <v>0</v>
      </c>
    </row>
    <row r="122" spans="1:8" x14ac:dyDescent="0.2">
      <c r="A122" s="15" t="s">
        <v>882</v>
      </c>
      <c r="B122" s="139" t="s">
        <v>306</v>
      </c>
      <c r="C122" s="150">
        <v>83.7</v>
      </c>
      <c r="D122" s="140">
        <v>7</v>
      </c>
      <c r="E122" s="136">
        <v>585.9</v>
      </c>
      <c r="F122" s="62">
        <f>E122-E123</f>
        <v>585.9</v>
      </c>
    </row>
    <row r="123" spans="1:8" x14ac:dyDescent="0.2">
      <c r="A123" s="15"/>
      <c r="B123" s="17"/>
      <c r="C123" s="154"/>
      <c r="D123" s="99"/>
      <c r="E123" s="122"/>
      <c r="F123" s="62">
        <f>E123-E123</f>
        <v>0</v>
      </c>
    </row>
    <row r="124" spans="1:8" x14ac:dyDescent="0.2">
      <c r="A124" s="15" t="s">
        <v>882</v>
      </c>
      <c r="B124" s="141" t="s">
        <v>401</v>
      </c>
      <c r="C124" s="150">
        <v>57.33</v>
      </c>
      <c r="D124" s="135">
        <v>80</v>
      </c>
      <c r="E124" s="136">
        <v>4586.3999999999996</v>
      </c>
      <c r="F124" s="62">
        <f>E124-E125</f>
        <v>-41853.599999999999</v>
      </c>
    </row>
    <row r="125" spans="1:8" x14ac:dyDescent="0.2">
      <c r="A125" s="15"/>
      <c r="B125" s="15" t="s">
        <v>1436</v>
      </c>
      <c r="C125" s="16">
        <v>1720</v>
      </c>
      <c r="D125" s="15">
        <v>27</v>
      </c>
      <c r="E125" s="16">
        <v>46440</v>
      </c>
      <c r="F125" s="62">
        <f>E125-E125</f>
        <v>0</v>
      </c>
    </row>
    <row r="126" spans="1:8" x14ac:dyDescent="0.15">
      <c r="A126" s="15" t="s">
        <v>882</v>
      </c>
      <c r="B126" s="137" t="s">
        <v>836</v>
      </c>
      <c r="C126" s="149">
        <v>8.5</v>
      </c>
      <c r="D126" s="135">
        <v>0</v>
      </c>
      <c r="E126" s="136">
        <v>0</v>
      </c>
      <c r="F126" s="62">
        <f>E126-E127</f>
        <v>0</v>
      </c>
    </row>
    <row r="127" spans="1:8" x14ac:dyDescent="0.15">
      <c r="A127" s="15"/>
      <c r="B127" s="20"/>
      <c r="C127" s="152"/>
      <c r="D127" s="147"/>
      <c r="E127" s="122"/>
      <c r="F127" s="62">
        <f>E127-E127</f>
        <v>0</v>
      </c>
    </row>
    <row r="128" spans="1:8" x14ac:dyDescent="0.15">
      <c r="A128" s="15" t="s">
        <v>882</v>
      </c>
      <c r="B128" s="137" t="s">
        <v>72</v>
      </c>
      <c r="C128" s="149">
        <v>11.51</v>
      </c>
      <c r="D128" s="135">
        <v>200</v>
      </c>
      <c r="E128" s="136">
        <v>2302</v>
      </c>
      <c r="F128" s="62">
        <f>E128-E129</f>
        <v>2302</v>
      </c>
    </row>
    <row r="129" spans="1:6" x14ac:dyDescent="0.15">
      <c r="A129" s="15"/>
      <c r="B129" s="20"/>
      <c r="C129" s="152"/>
      <c r="D129" s="147"/>
      <c r="E129" s="122"/>
      <c r="F129" s="62">
        <f>E129-E129</f>
        <v>0</v>
      </c>
    </row>
    <row r="130" spans="1:6" x14ac:dyDescent="0.2">
      <c r="A130" s="15" t="s">
        <v>882</v>
      </c>
      <c r="B130" s="139" t="s">
        <v>796</v>
      </c>
      <c r="C130" s="150">
        <v>1800.6</v>
      </c>
      <c r="D130" s="140">
        <v>2</v>
      </c>
      <c r="E130" s="136">
        <v>3601.2</v>
      </c>
      <c r="F130" s="62">
        <f>E130-E131</f>
        <v>3601.2</v>
      </c>
    </row>
    <row r="131" spans="1:6" x14ac:dyDescent="0.2">
      <c r="A131" s="15"/>
      <c r="B131" s="17"/>
      <c r="C131" s="154"/>
      <c r="D131" s="99"/>
      <c r="E131" s="122"/>
      <c r="F131" s="62">
        <f>E131-E131</f>
        <v>0</v>
      </c>
    </row>
    <row r="132" spans="1:6" x14ac:dyDescent="0.2">
      <c r="A132" s="15" t="s">
        <v>882</v>
      </c>
      <c r="B132" s="139"/>
      <c r="C132" s="150"/>
      <c r="D132" s="140"/>
      <c r="E132" s="136"/>
      <c r="F132" s="62">
        <f>E132-E133</f>
        <v>-15372</v>
      </c>
    </row>
    <row r="133" spans="1:6" x14ac:dyDescent="0.2">
      <c r="A133" s="15"/>
      <c r="B133" s="15" t="s">
        <v>1225</v>
      </c>
      <c r="C133" s="16">
        <v>5124</v>
      </c>
      <c r="D133" s="15">
        <v>3</v>
      </c>
      <c r="E133" s="16">
        <v>15372</v>
      </c>
      <c r="F133" s="62">
        <f>E133-E133</f>
        <v>0</v>
      </c>
    </row>
    <row r="134" spans="1:6" x14ac:dyDescent="0.15">
      <c r="A134" s="15" t="s">
        <v>882</v>
      </c>
      <c r="B134" s="137" t="s">
        <v>251</v>
      </c>
      <c r="C134" s="149">
        <v>22.7</v>
      </c>
      <c r="D134" s="135">
        <v>85</v>
      </c>
      <c r="E134" s="136">
        <v>1929.5</v>
      </c>
      <c r="F134" s="62">
        <f>E134-E135</f>
        <v>1929.5</v>
      </c>
    </row>
    <row r="135" spans="1:6" x14ac:dyDescent="0.15">
      <c r="A135" s="15"/>
      <c r="B135" s="20"/>
      <c r="C135" s="152"/>
      <c r="D135" s="147"/>
      <c r="E135" s="122"/>
      <c r="F135" s="62">
        <f>E135-E135</f>
        <v>0</v>
      </c>
    </row>
    <row r="136" spans="1:6" x14ac:dyDescent="0.15">
      <c r="A136" s="15" t="s">
        <v>882</v>
      </c>
      <c r="B136" s="137" t="s">
        <v>73</v>
      </c>
      <c r="C136" s="149">
        <v>4.96</v>
      </c>
      <c r="D136" s="135">
        <v>890.66666666666674</v>
      </c>
      <c r="E136" s="136">
        <v>4417.7066666666669</v>
      </c>
      <c r="F136" s="62">
        <f>E136-E137</f>
        <v>-5502.2933333333331</v>
      </c>
    </row>
    <row r="137" spans="1:6" x14ac:dyDescent="0.2">
      <c r="A137" s="15"/>
      <c r="B137" s="15" t="s">
        <v>974</v>
      </c>
      <c r="C137" s="16">
        <v>496</v>
      </c>
      <c r="D137" s="15">
        <v>20</v>
      </c>
      <c r="E137" s="16">
        <v>9920</v>
      </c>
      <c r="F137" s="62">
        <f>E137-E137</f>
        <v>0</v>
      </c>
    </row>
    <row r="138" spans="1:6" x14ac:dyDescent="0.15">
      <c r="A138" s="15" t="s">
        <v>882</v>
      </c>
      <c r="B138" s="137" t="s">
        <v>74</v>
      </c>
      <c r="C138" s="149">
        <v>40.72</v>
      </c>
      <c r="D138" s="135">
        <v>44</v>
      </c>
      <c r="E138" s="136">
        <v>1791.6799999999998</v>
      </c>
      <c r="F138" s="62">
        <f>E138-E139</f>
        <v>1791.6799999999998</v>
      </c>
    </row>
    <row r="139" spans="1:6" x14ac:dyDescent="0.15">
      <c r="A139" s="15"/>
      <c r="B139" s="20"/>
      <c r="C139" s="152"/>
      <c r="D139" s="147"/>
      <c r="E139" s="122"/>
      <c r="F139" s="62">
        <f>E139-E139</f>
        <v>0</v>
      </c>
    </row>
    <row r="140" spans="1:6" x14ac:dyDescent="0.15">
      <c r="A140" s="15" t="s">
        <v>882</v>
      </c>
      <c r="B140" s="137" t="s">
        <v>75</v>
      </c>
      <c r="C140" s="149">
        <v>87.2</v>
      </c>
      <c r="D140" s="135">
        <v>930.28571428571422</v>
      </c>
      <c r="E140" s="136">
        <v>81120.914285714287</v>
      </c>
      <c r="F140" s="62">
        <f>E140-E141</f>
        <v>-2622079.0857142857</v>
      </c>
    </row>
    <row r="141" spans="1:6" x14ac:dyDescent="0.2">
      <c r="A141" s="15"/>
      <c r="B141" s="15" t="s">
        <v>1255</v>
      </c>
      <c r="C141" s="16">
        <v>43600</v>
      </c>
      <c r="D141" s="15">
        <v>62</v>
      </c>
      <c r="E141" s="16">
        <v>2703200</v>
      </c>
      <c r="F141" s="62">
        <f>E141-E141</f>
        <v>0</v>
      </c>
    </row>
    <row r="142" spans="1:6" x14ac:dyDescent="0.2">
      <c r="A142" s="15" t="s">
        <v>882</v>
      </c>
      <c r="B142" s="139" t="s">
        <v>38</v>
      </c>
      <c r="C142" s="150">
        <v>395.23</v>
      </c>
      <c r="D142" s="138">
        <v>28</v>
      </c>
      <c r="E142" s="136">
        <v>11066.44</v>
      </c>
      <c r="F142" s="62">
        <f>E142-E143</f>
        <v>-80233.56</v>
      </c>
    </row>
    <row r="143" spans="1:6" x14ac:dyDescent="0.2">
      <c r="A143" s="15"/>
      <c r="B143" s="15" t="s">
        <v>1362</v>
      </c>
      <c r="C143" s="16">
        <v>8300</v>
      </c>
      <c r="D143" s="15">
        <v>11</v>
      </c>
      <c r="E143" s="16">
        <v>91300</v>
      </c>
      <c r="F143" s="62">
        <f>E143-E143</f>
        <v>0</v>
      </c>
    </row>
    <row r="144" spans="1:6" x14ac:dyDescent="0.15">
      <c r="A144" s="15" t="s">
        <v>882</v>
      </c>
      <c r="B144" s="137" t="s">
        <v>797</v>
      </c>
      <c r="C144" s="149">
        <v>637</v>
      </c>
      <c r="D144" s="140">
        <v>11</v>
      </c>
      <c r="E144" s="136">
        <v>7007</v>
      </c>
      <c r="F144" s="62">
        <f>E144-E145</f>
        <v>-5733</v>
      </c>
    </row>
    <row r="145" spans="1:6" x14ac:dyDescent="0.2">
      <c r="A145" s="15"/>
      <c r="B145" s="15" t="s">
        <v>1363</v>
      </c>
      <c r="C145" s="16">
        <v>12740</v>
      </c>
      <c r="D145" s="15">
        <v>1</v>
      </c>
      <c r="E145" s="16">
        <v>12740</v>
      </c>
      <c r="F145" s="62">
        <f>E145-E145</f>
        <v>0</v>
      </c>
    </row>
    <row r="146" spans="1:6" x14ac:dyDescent="0.2">
      <c r="A146" s="15" t="s">
        <v>882</v>
      </c>
      <c r="B146" s="139" t="s">
        <v>76</v>
      </c>
      <c r="C146" s="150">
        <v>8.99</v>
      </c>
      <c r="D146" s="135">
        <v>3001</v>
      </c>
      <c r="E146" s="136">
        <v>26978.99</v>
      </c>
      <c r="F146" s="62">
        <f>E146-E147</f>
        <v>-773843.01</v>
      </c>
    </row>
    <row r="147" spans="1:6" x14ac:dyDescent="0.2">
      <c r="A147" s="15"/>
      <c r="B147" s="15" t="s">
        <v>1200</v>
      </c>
      <c r="C147" s="16">
        <v>8998</v>
      </c>
      <c r="D147" s="15">
        <v>178</v>
      </c>
      <c r="E147" s="16">
        <v>800822</v>
      </c>
      <c r="F147" s="62">
        <f>E147-E147</f>
        <v>0</v>
      </c>
    </row>
    <row r="148" spans="1:6" x14ac:dyDescent="0.15">
      <c r="A148" s="15" t="s">
        <v>882</v>
      </c>
      <c r="B148" s="137" t="s">
        <v>628</v>
      </c>
      <c r="C148" s="149">
        <v>249.96</v>
      </c>
      <c r="D148" s="135">
        <v>133</v>
      </c>
      <c r="E148" s="136">
        <v>33244.68</v>
      </c>
      <c r="F148" s="62">
        <f>E148-E149</f>
        <v>-523177.32</v>
      </c>
    </row>
    <row r="149" spans="1:6" ht="12.75" customHeight="1" x14ac:dyDescent="0.2">
      <c r="A149" s="15"/>
      <c r="B149" s="15" t="s">
        <v>1101</v>
      </c>
      <c r="C149" s="16">
        <v>10499</v>
      </c>
      <c r="D149" s="15">
        <v>81</v>
      </c>
      <c r="E149" s="16">
        <v>556422</v>
      </c>
      <c r="F149" s="62">
        <f>E149-E149</f>
        <v>0</v>
      </c>
    </row>
    <row r="150" spans="1:6" ht="12.75" customHeight="1" x14ac:dyDescent="0.2">
      <c r="A150" s="15" t="s">
        <v>882</v>
      </c>
      <c r="B150" s="141"/>
      <c r="C150" s="136"/>
      <c r="D150" s="141"/>
      <c r="E150" s="136"/>
      <c r="F150" s="62">
        <f>E150-E151</f>
        <v>-10819</v>
      </c>
    </row>
    <row r="151" spans="1:6" x14ac:dyDescent="0.2">
      <c r="A151" s="15"/>
      <c r="B151" s="15" t="s">
        <v>1102</v>
      </c>
      <c r="C151" s="16">
        <v>10819</v>
      </c>
      <c r="D151" s="15">
        <v>1</v>
      </c>
      <c r="E151" s="16">
        <v>10819</v>
      </c>
      <c r="F151" s="62">
        <f>E151-E151</f>
        <v>0</v>
      </c>
    </row>
    <row r="152" spans="1:6" x14ac:dyDescent="0.2">
      <c r="A152" s="15" t="s">
        <v>882</v>
      </c>
      <c r="B152" s="139" t="s">
        <v>492</v>
      </c>
      <c r="C152" s="150">
        <v>21.12</v>
      </c>
      <c r="D152" s="140">
        <v>1904</v>
      </c>
      <c r="E152" s="136">
        <v>40212.480000000003</v>
      </c>
      <c r="F152" s="62">
        <f>E152-E153</f>
        <v>-225851.51999999999</v>
      </c>
    </row>
    <row r="153" spans="1:6" x14ac:dyDescent="0.2">
      <c r="A153" s="15"/>
      <c r="B153" s="15" t="s">
        <v>1017</v>
      </c>
      <c r="C153" s="154"/>
      <c r="D153" s="99"/>
      <c r="E153" s="122">
        <v>266064</v>
      </c>
      <c r="F153" s="62">
        <f>E153-E153</f>
        <v>0</v>
      </c>
    </row>
    <row r="154" spans="1:6" x14ac:dyDescent="0.2">
      <c r="A154" s="15" t="s">
        <v>882</v>
      </c>
      <c r="B154" s="139" t="s">
        <v>491</v>
      </c>
      <c r="C154" s="150">
        <v>5.88</v>
      </c>
      <c r="D154" s="140">
        <v>2215.7777777777778</v>
      </c>
      <c r="E154" s="136">
        <v>13028.773333333333</v>
      </c>
      <c r="F154" s="62">
        <f>E154-E155</f>
        <v>-42831.226666666669</v>
      </c>
    </row>
    <row r="155" spans="1:6" x14ac:dyDescent="0.2">
      <c r="A155" s="15"/>
      <c r="B155" s="15" t="s">
        <v>1018</v>
      </c>
      <c r="C155" s="154"/>
      <c r="D155" s="99"/>
      <c r="E155" s="122">
        <v>55860</v>
      </c>
      <c r="F155" s="62">
        <f>E155-E155</f>
        <v>0</v>
      </c>
    </row>
    <row r="156" spans="1:6" x14ac:dyDescent="0.2">
      <c r="A156" s="15" t="s">
        <v>882</v>
      </c>
      <c r="B156" s="139" t="s">
        <v>493</v>
      </c>
      <c r="C156" s="150">
        <v>10.96</v>
      </c>
      <c r="D156" s="140">
        <v>1290</v>
      </c>
      <c r="E156" s="136">
        <v>14138.400000000001</v>
      </c>
      <c r="F156" s="62">
        <f>E156-E157</f>
        <v>-83405.600000000006</v>
      </c>
    </row>
    <row r="157" spans="1:6" x14ac:dyDescent="0.2">
      <c r="A157" s="15"/>
      <c r="B157" s="15" t="s">
        <v>1019</v>
      </c>
      <c r="C157" s="16">
        <v>1096</v>
      </c>
      <c r="D157" s="15">
        <v>9</v>
      </c>
      <c r="E157" s="16">
        <v>97544</v>
      </c>
      <c r="F157" s="62">
        <f>E157-E157</f>
        <v>0</v>
      </c>
    </row>
    <row r="158" spans="1:6" x14ac:dyDescent="0.2">
      <c r="A158" s="15" t="s">
        <v>882</v>
      </c>
      <c r="B158" s="142" t="s">
        <v>462</v>
      </c>
      <c r="C158" s="155">
        <v>17.2</v>
      </c>
      <c r="D158" s="140">
        <v>102</v>
      </c>
      <c r="E158" s="136">
        <v>1754.3999999999999</v>
      </c>
      <c r="F158" s="62">
        <f>E158-E159</f>
        <v>-27485.599999999999</v>
      </c>
    </row>
    <row r="159" spans="1:6" x14ac:dyDescent="0.2">
      <c r="A159" s="15"/>
      <c r="B159" s="15" t="s">
        <v>1020</v>
      </c>
      <c r="C159" s="16">
        <v>1720</v>
      </c>
      <c r="D159" s="15">
        <v>17</v>
      </c>
      <c r="E159" s="16">
        <v>29240</v>
      </c>
      <c r="F159" s="62">
        <f>E159-E159</f>
        <v>0</v>
      </c>
    </row>
    <row r="160" spans="1:6" x14ac:dyDescent="0.2">
      <c r="A160" s="15" t="s">
        <v>882</v>
      </c>
      <c r="B160" s="139" t="s">
        <v>773</v>
      </c>
      <c r="C160" s="150">
        <v>5.3</v>
      </c>
      <c r="D160" s="140">
        <v>944</v>
      </c>
      <c r="E160" s="136">
        <v>5003.2</v>
      </c>
      <c r="F160" s="62">
        <f>E160-E161</f>
        <v>-23086.799999999999</v>
      </c>
    </row>
    <row r="161" spans="1:6" x14ac:dyDescent="0.2">
      <c r="A161" s="15"/>
      <c r="B161" s="15" t="s">
        <v>1021</v>
      </c>
      <c r="C161" s="16">
        <v>530</v>
      </c>
      <c r="D161" s="15">
        <v>53</v>
      </c>
      <c r="E161" s="16">
        <v>28090</v>
      </c>
      <c r="F161" s="62">
        <f>E161-E161</f>
        <v>0</v>
      </c>
    </row>
    <row r="162" spans="1:6" x14ac:dyDescent="0.2">
      <c r="A162" s="15" t="s">
        <v>882</v>
      </c>
      <c r="B162" s="139" t="s">
        <v>716</v>
      </c>
      <c r="C162" s="150">
        <v>12.59</v>
      </c>
      <c r="D162" s="135">
        <v>270</v>
      </c>
      <c r="E162" s="136">
        <v>3399.3</v>
      </c>
      <c r="F162" s="62">
        <f>E162-E163</f>
        <v>-123759.7</v>
      </c>
    </row>
    <row r="163" spans="1:6" x14ac:dyDescent="0.2">
      <c r="A163" s="15"/>
      <c r="B163" s="15" t="s">
        <v>1175</v>
      </c>
      <c r="C163" s="16">
        <v>1259</v>
      </c>
      <c r="D163" s="15">
        <v>101</v>
      </c>
      <c r="E163" s="16">
        <v>127159</v>
      </c>
      <c r="F163" s="62">
        <f>E163-E163</f>
        <v>0</v>
      </c>
    </row>
    <row r="164" spans="1:6" x14ac:dyDescent="0.15">
      <c r="A164" s="15" t="s">
        <v>882</v>
      </c>
      <c r="B164" s="137" t="s">
        <v>765</v>
      </c>
      <c r="C164" s="149">
        <v>5.3</v>
      </c>
      <c r="D164" s="140">
        <v>2083.333333333333</v>
      </c>
      <c r="E164" s="136">
        <v>11041.666666666664</v>
      </c>
      <c r="F164" s="62">
        <f>E164-E165</f>
        <v>-145838.33333333334</v>
      </c>
    </row>
    <row r="165" spans="1:6" x14ac:dyDescent="0.2">
      <c r="A165" s="15"/>
      <c r="B165" s="15" t="s">
        <v>1337</v>
      </c>
      <c r="C165" s="16">
        <v>530</v>
      </c>
      <c r="D165" s="15">
        <v>1</v>
      </c>
      <c r="E165" s="16">
        <v>156880</v>
      </c>
      <c r="F165" s="62">
        <f>E165-E165</f>
        <v>0</v>
      </c>
    </row>
    <row r="166" spans="1:6" x14ac:dyDescent="0.2">
      <c r="A166" s="15" t="s">
        <v>882</v>
      </c>
      <c r="B166" s="139" t="s">
        <v>309</v>
      </c>
      <c r="C166" s="150">
        <v>4032</v>
      </c>
      <c r="D166" s="140">
        <v>1</v>
      </c>
      <c r="E166" s="136">
        <v>4032</v>
      </c>
      <c r="F166" s="62">
        <f>E166-E167</f>
        <v>-60480</v>
      </c>
    </row>
    <row r="167" spans="1:6" x14ac:dyDescent="0.2">
      <c r="A167" s="15"/>
      <c r="B167" s="15" t="s">
        <v>1486</v>
      </c>
      <c r="C167" s="16">
        <v>4032</v>
      </c>
      <c r="D167" s="15">
        <v>16</v>
      </c>
      <c r="E167" s="16">
        <v>64512</v>
      </c>
      <c r="F167" s="62">
        <f>E167-E167</f>
        <v>0</v>
      </c>
    </row>
    <row r="168" spans="1:6" x14ac:dyDescent="0.2">
      <c r="A168" s="141" t="s">
        <v>1502</v>
      </c>
      <c r="B168" s="141"/>
      <c r="C168" s="136"/>
      <c r="D168" s="141"/>
      <c r="E168" s="136"/>
      <c r="F168" s="62">
        <f>E168-E169</f>
        <v>-1976</v>
      </c>
    </row>
    <row r="169" spans="1:6" x14ac:dyDescent="0.2">
      <c r="A169" s="15"/>
      <c r="B169" s="15" t="s">
        <v>1309</v>
      </c>
      <c r="C169" s="16">
        <v>988</v>
      </c>
      <c r="D169" s="15">
        <v>2</v>
      </c>
      <c r="E169" s="16">
        <v>1976</v>
      </c>
      <c r="F169" s="62">
        <f>E169-E169</f>
        <v>0</v>
      </c>
    </row>
    <row r="170" spans="1:6" x14ac:dyDescent="0.2">
      <c r="A170" s="15" t="s">
        <v>882</v>
      </c>
      <c r="B170" s="139" t="s">
        <v>291</v>
      </c>
      <c r="C170" s="150">
        <v>454</v>
      </c>
      <c r="D170" s="135">
        <v>24</v>
      </c>
      <c r="E170" s="136">
        <v>10896</v>
      </c>
      <c r="F170" s="62">
        <f>E170-E171</f>
        <v>-9654</v>
      </c>
    </row>
    <row r="171" spans="1:6" x14ac:dyDescent="0.2">
      <c r="A171" s="15"/>
      <c r="B171" s="15" t="s">
        <v>1138</v>
      </c>
      <c r="C171" s="16">
        <v>4110</v>
      </c>
      <c r="D171" s="15">
        <v>5</v>
      </c>
      <c r="E171" s="16">
        <v>20550</v>
      </c>
      <c r="F171" s="62">
        <f>E171-E171</f>
        <v>0</v>
      </c>
    </row>
    <row r="172" spans="1:6" x14ac:dyDescent="0.15">
      <c r="A172" s="15" t="s">
        <v>882</v>
      </c>
      <c r="B172" s="137" t="s">
        <v>18</v>
      </c>
      <c r="C172" s="157">
        <v>10.79</v>
      </c>
      <c r="D172" s="140">
        <v>339</v>
      </c>
      <c r="E172" s="136">
        <v>3657.8099999999995</v>
      </c>
      <c r="F172" s="62">
        <f>E172-E173</f>
        <v>-12509.19</v>
      </c>
    </row>
    <row r="173" spans="1:6" x14ac:dyDescent="0.2">
      <c r="A173" s="15"/>
      <c r="B173" s="15" t="s">
        <v>939</v>
      </c>
      <c r="C173" s="16">
        <v>5389</v>
      </c>
      <c r="D173" s="15">
        <v>3</v>
      </c>
      <c r="E173" s="16">
        <v>16167</v>
      </c>
      <c r="F173" s="62">
        <f>E173-E173</f>
        <v>0</v>
      </c>
    </row>
    <row r="174" spans="1:6" x14ac:dyDescent="0.15">
      <c r="A174" s="15" t="s">
        <v>882</v>
      </c>
      <c r="B174" s="137" t="s">
        <v>310</v>
      </c>
      <c r="C174" s="149">
        <v>109.5</v>
      </c>
      <c r="D174" s="140">
        <v>17</v>
      </c>
      <c r="E174" s="136">
        <v>1861.5</v>
      </c>
      <c r="F174" s="62">
        <f>E174-E175</f>
        <v>-1423.5</v>
      </c>
    </row>
    <row r="175" spans="1:6" x14ac:dyDescent="0.2">
      <c r="A175" s="15"/>
      <c r="B175" s="15" t="s">
        <v>940</v>
      </c>
      <c r="C175" s="16">
        <v>1095</v>
      </c>
      <c r="D175" s="15">
        <v>3</v>
      </c>
      <c r="E175" s="16">
        <v>3285</v>
      </c>
      <c r="F175" s="62">
        <f>E175-E175</f>
        <v>0</v>
      </c>
    </row>
    <row r="176" spans="1:6" x14ac:dyDescent="0.15">
      <c r="A176" s="15" t="s">
        <v>882</v>
      </c>
      <c r="B176" s="137" t="s">
        <v>77</v>
      </c>
      <c r="C176" s="149">
        <v>6.86</v>
      </c>
      <c r="D176" s="140">
        <v>2315.7894736842109</v>
      </c>
      <c r="E176" s="136">
        <v>15886.315789473687</v>
      </c>
      <c r="F176" s="62">
        <f>E176-E177</f>
        <v>-4705.6842105263131</v>
      </c>
    </row>
    <row r="177" spans="1:6" x14ac:dyDescent="0.2">
      <c r="A177" s="15"/>
      <c r="B177" s="15" t="s">
        <v>1410</v>
      </c>
      <c r="C177" s="16">
        <v>6864</v>
      </c>
      <c r="D177" s="15">
        <v>3</v>
      </c>
      <c r="E177" s="16">
        <v>20592</v>
      </c>
      <c r="F177" s="62">
        <f>E177-E178</f>
        <v>20592</v>
      </c>
    </row>
    <row r="178" spans="1:6" x14ac:dyDescent="0.2">
      <c r="A178" s="141" t="s">
        <v>1502</v>
      </c>
      <c r="B178" s="141"/>
      <c r="C178" s="136"/>
      <c r="D178" s="141"/>
      <c r="E178" s="136"/>
      <c r="F178" s="62">
        <f>E178-E179</f>
        <v>-180024</v>
      </c>
    </row>
    <row r="179" spans="1:6" x14ac:dyDescent="0.2">
      <c r="A179" s="15"/>
      <c r="B179" s="15" t="s">
        <v>1386</v>
      </c>
      <c r="C179" s="16">
        <v>30004</v>
      </c>
      <c r="D179" s="15">
        <v>6</v>
      </c>
      <c r="E179" s="16">
        <v>180024</v>
      </c>
      <c r="F179" s="62">
        <f>E179-E179</f>
        <v>0</v>
      </c>
    </row>
    <row r="180" spans="1:6" x14ac:dyDescent="0.2">
      <c r="A180" s="15" t="s">
        <v>1503</v>
      </c>
      <c r="B180" s="141"/>
      <c r="C180" s="136"/>
      <c r="D180" s="141"/>
      <c r="E180" s="136"/>
      <c r="F180" s="62">
        <f>E180-E181</f>
        <v>-390052</v>
      </c>
    </row>
    <row r="181" spans="1:6" x14ac:dyDescent="0.2">
      <c r="A181" s="15"/>
      <c r="B181" s="15" t="s">
        <v>1387</v>
      </c>
      <c r="C181" s="16">
        <v>30004</v>
      </c>
      <c r="D181" s="15">
        <v>13</v>
      </c>
      <c r="E181" s="16">
        <v>390052</v>
      </c>
      <c r="F181" s="62">
        <f>E181-E181</f>
        <v>0</v>
      </c>
    </row>
    <row r="182" spans="1:6" x14ac:dyDescent="0.2">
      <c r="A182" s="15" t="s">
        <v>882</v>
      </c>
      <c r="B182" s="139" t="s">
        <v>78</v>
      </c>
      <c r="C182" s="150">
        <v>11.35</v>
      </c>
      <c r="D182" s="140">
        <v>469</v>
      </c>
      <c r="E182" s="136">
        <v>5323.15</v>
      </c>
      <c r="F182" s="62">
        <f>E182-E183</f>
        <v>-176276.85</v>
      </c>
    </row>
    <row r="183" spans="1:6" x14ac:dyDescent="0.2">
      <c r="A183" s="15"/>
      <c r="B183" s="15" t="s">
        <v>1397</v>
      </c>
      <c r="C183" s="16">
        <v>11350</v>
      </c>
      <c r="D183" s="15">
        <v>16</v>
      </c>
      <c r="E183" s="16">
        <v>181600</v>
      </c>
      <c r="F183" s="62">
        <f>E183-E183</f>
        <v>0</v>
      </c>
    </row>
    <row r="184" spans="1:6" x14ac:dyDescent="0.2">
      <c r="A184" s="15" t="s">
        <v>882</v>
      </c>
      <c r="B184" s="139" t="s">
        <v>394</v>
      </c>
      <c r="C184" s="150">
        <v>220</v>
      </c>
      <c r="D184" s="140">
        <v>29</v>
      </c>
      <c r="E184" s="136">
        <v>6380</v>
      </c>
      <c r="F184" s="62">
        <f>E184-E185</f>
        <v>-50820</v>
      </c>
    </row>
    <row r="185" spans="1:6" x14ac:dyDescent="0.2">
      <c r="A185" s="15"/>
      <c r="B185" s="15" t="s">
        <v>1302</v>
      </c>
      <c r="C185" s="16">
        <v>220</v>
      </c>
      <c r="D185" s="15">
        <v>260</v>
      </c>
      <c r="E185" s="16">
        <v>57200</v>
      </c>
      <c r="F185" s="62">
        <f>E185-E185</f>
        <v>0</v>
      </c>
    </row>
    <row r="186" spans="1:6" x14ac:dyDescent="0.15">
      <c r="A186" s="15" t="s">
        <v>882</v>
      </c>
      <c r="B186" s="137" t="s">
        <v>644</v>
      </c>
      <c r="C186" s="149">
        <v>1368</v>
      </c>
      <c r="D186" s="140">
        <v>0</v>
      </c>
      <c r="E186" s="136">
        <v>0</v>
      </c>
      <c r="F186" s="62">
        <f>E186-E187</f>
        <v>-529416</v>
      </c>
    </row>
    <row r="187" spans="1:6" x14ac:dyDescent="0.2">
      <c r="A187" s="15"/>
      <c r="B187" s="15" t="s">
        <v>1421</v>
      </c>
      <c r="C187" s="16">
        <v>1368</v>
      </c>
      <c r="D187" s="15">
        <v>387</v>
      </c>
      <c r="E187" s="16">
        <v>529416</v>
      </c>
      <c r="F187" s="62">
        <f>E187-E187</f>
        <v>0</v>
      </c>
    </row>
    <row r="188" spans="1:6" x14ac:dyDescent="0.15">
      <c r="A188" s="15" t="s">
        <v>882</v>
      </c>
      <c r="B188" s="137" t="s">
        <v>498</v>
      </c>
      <c r="C188" s="149">
        <v>93.22</v>
      </c>
      <c r="D188" s="140">
        <v>675</v>
      </c>
      <c r="E188" s="136">
        <v>62923.5</v>
      </c>
      <c r="F188" s="62">
        <f>E188-E189</f>
        <v>-39618.5</v>
      </c>
    </row>
    <row r="189" spans="1:6" x14ac:dyDescent="0.2">
      <c r="A189" s="15"/>
      <c r="B189" s="15" t="s">
        <v>1075</v>
      </c>
      <c r="C189" s="16">
        <v>9322</v>
      </c>
      <c r="D189" s="15">
        <v>11</v>
      </c>
      <c r="E189" s="16">
        <v>102542</v>
      </c>
      <c r="F189" s="62">
        <f>E189-E189</f>
        <v>0</v>
      </c>
    </row>
    <row r="190" spans="1:6" x14ac:dyDescent="0.15">
      <c r="A190" s="15" t="s">
        <v>882</v>
      </c>
      <c r="B190" s="137" t="s">
        <v>499</v>
      </c>
      <c r="C190" s="149">
        <v>154.03</v>
      </c>
      <c r="D190" s="140">
        <v>763.5</v>
      </c>
      <c r="E190" s="136">
        <v>117601.905</v>
      </c>
      <c r="F190" s="62">
        <f>E190-E191</f>
        <v>-282876.09499999997</v>
      </c>
    </row>
    <row r="191" spans="1:6" x14ac:dyDescent="0.2">
      <c r="A191" s="15"/>
      <c r="B191" s="15" t="s">
        <v>1076</v>
      </c>
      <c r="C191" s="16">
        <v>15403</v>
      </c>
      <c r="D191" s="15">
        <v>26</v>
      </c>
      <c r="E191" s="16">
        <v>400478</v>
      </c>
      <c r="F191" s="62">
        <f>E191-E191</f>
        <v>0</v>
      </c>
    </row>
    <row r="192" spans="1:6" x14ac:dyDescent="0.2">
      <c r="A192" s="15" t="s">
        <v>882</v>
      </c>
      <c r="B192" s="139" t="s">
        <v>798</v>
      </c>
      <c r="C192" s="150">
        <v>43356</v>
      </c>
      <c r="D192" s="140">
        <v>0</v>
      </c>
      <c r="E192" s="136">
        <v>0</v>
      </c>
      <c r="F192" s="62">
        <f>E192-E193</f>
        <v>-8411064</v>
      </c>
    </row>
    <row r="193" spans="1:6" x14ac:dyDescent="0.2">
      <c r="A193" s="15"/>
      <c r="B193" s="15" t="s">
        <v>1422</v>
      </c>
      <c r="C193" s="16">
        <v>43356</v>
      </c>
      <c r="D193" s="15">
        <v>194</v>
      </c>
      <c r="E193" s="16">
        <v>8411064</v>
      </c>
      <c r="F193" s="62">
        <f>E193-E193</f>
        <v>0</v>
      </c>
    </row>
    <row r="194" spans="1:6" x14ac:dyDescent="0.2">
      <c r="A194" s="15" t="s">
        <v>882</v>
      </c>
      <c r="B194" s="143" t="s">
        <v>523</v>
      </c>
      <c r="C194" s="150">
        <v>59.77</v>
      </c>
      <c r="D194" s="135">
        <v>169</v>
      </c>
      <c r="E194" s="136">
        <v>10101.130000000001</v>
      </c>
      <c r="F194" s="62">
        <f>E194-E195</f>
        <v>-13806.869999999999</v>
      </c>
    </row>
    <row r="195" spans="1:6" x14ac:dyDescent="0.2">
      <c r="A195" s="15"/>
      <c r="B195" s="15" t="s">
        <v>1267</v>
      </c>
      <c r="C195" s="16">
        <v>5977</v>
      </c>
      <c r="D195" s="15">
        <v>4</v>
      </c>
      <c r="E195" s="16">
        <v>23908</v>
      </c>
      <c r="F195" s="62">
        <f>E195-E195</f>
        <v>0</v>
      </c>
    </row>
    <row r="196" spans="1:6" x14ac:dyDescent="0.2">
      <c r="A196" s="15" t="s">
        <v>882</v>
      </c>
      <c r="B196" s="139" t="s">
        <v>702</v>
      </c>
      <c r="C196" s="150">
        <v>8.6999999999999993</v>
      </c>
      <c r="D196" s="140">
        <v>9549</v>
      </c>
      <c r="E196" s="136">
        <v>83076.299999999988</v>
      </c>
      <c r="F196" s="62">
        <f>E196-E197</f>
        <v>-26803.700000000012</v>
      </c>
    </row>
    <row r="197" spans="1:6" x14ac:dyDescent="0.2">
      <c r="A197" s="15"/>
      <c r="B197" s="15" t="s">
        <v>1186</v>
      </c>
      <c r="C197" s="16">
        <v>870</v>
      </c>
      <c r="D197" s="15">
        <v>5</v>
      </c>
      <c r="E197" s="16">
        <v>109880</v>
      </c>
      <c r="F197" s="62">
        <f>E197-E197</f>
        <v>0</v>
      </c>
    </row>
    <row r="198" spans="1:6" x14ac:dyDescent="0.2">
      <c r="A198" s="15" t="s">
        <v>882</v>
      </c>
      <c r="B198" s="139" t="s">
        <v>79</v>
      </c>
      <c r="C198" s="150">
        <v>201.6</v>
      </c>
      <c r="D198" s="140">
        <v>344.14285714285717</v>
      </c>
      <c r="E198" s="136">
        <v>69379.199999999997</v>
      </c>
      <c r="F198" s="62">
        <f>E198-E199</f>
        <v>-555580.80000000005</v>
      </c>
    </row>
    <row r="199" spans="1:6" x14ac:dyDescent="0.2">
      <c r="A199" s="15"/>
      <c r="B199" s="15" t="s">
        <v>79</v>
      </c>
      <c r="C199" s="16">
        <v>20160</v>
      </c>
      <c r="D199" s="15">
        <v>31</v>
      </c>
      <c r="E199" s="16">
        <v>624960</v>
      </c>
      <c r="F199" s="62">
        <f>E199-E199</f>
        <v>0</v>
      </c>
    </row>
    <row r="200" spans="1:6" x14ac:dyDescent="0.2">
      <c r="A200" s="15" t="s">
        <v>882</v>
      </c>
      <c r="B200" s="139" t="s">
        <v>80</v>
      </c>
      <c r="C200" s="150">
        <v>371.36</v>
      </c>
      <c r="D200" s="140">
        <v>666.66666666666663</v>
      </c>
      <c r="E200" s="136">
        <v>247573.33333333331</v>
      </c>
      <c r="F200" s="62">
        <f>E200-E201</f>
        <v>-3837386.6666666665</v>
      </c>
    </row>
    <row r="201" spans="1:6" x14ac:dyDescent="0.2">
      <c r="A201" s="15"/>
      <c r="B201" s="15" t="s">
        <v>1022</v>
      </c>
      <c r="C201" s="16">
        <v>37136</v>
      </c>
      <c r="D201" s="15">
        <v>110</v>
      </c>
      <c r="E201" s="16">
        <v>4084960</v>
      </c>
      <c r="F201" s="62">
        <f>E201-E201</f>
        <v>0</v>
      </c>
    </row>
    <row r="202" spans="1:6" x14ac:dyDescent="0.2">
      <c r="A202" s="15" t="s">
        <v>882</v>
      </c>
      <c r="B202" s="139" t="s">
        <v>276</v>
      </c>
      <c r="C202" s="150">
        <v>164.8</v>
      </c>
      <c r="D202" s="135">
        <v>33</v>
      </c>
      <c r="E202" s="136">
        <v>5438.4000000000005</v>
      </c>
      <c r="F202" s="62">
        <f>E202-E203</f>
        <v>-19281.599999999999</v>
      </c>
    </row>
    <row r="203" spans="1:6" x14ac:dyDescent="0.2">
      <c r="A203" s="15"/>
      <c r="B203" s="15" t="s">
        <v>1310</v>
      </c>
      <c r="C203" s="16">
        <v>1648</v>
      </c>
      <c r="D203" s="15">
        <v>15</v>
      </c>
      <c r="E203" s="16">
        <v>24720</v>
      </c>
      <c r="F203" s="62">
        <f>E203-E203</f>
        <v>0</v>
      </c>
    </row>
    <row r="204" spans="1:6" x14ac:dyDescent="0.2">
      <c r="A204" s="15" t="s">
        <v>882</v>
      </c>
      <c r="B204" s="139" t="s">
        <v>277</v>
      </c>
      <c r="C204" s="150">
        <v>82.4</v>
      </c>
      <c r="D204" s="135">
        <v>13</v>
      </c>
      <c r="E204" s="136">
        <v>1071.2</v>
      </c>
      <c r="F204" s="62">
        <f>E204-E205</f>
        <v>-14584.8</v>
      </c>
    </row>
    <row r="205" spans="1:6" x14ac:dyDescent="0.2">
      <c r="A205" s="15"/>
      <c r="B205" s="15" t="s">
        <v>1311</v>
      </c>
      <c r="C205" s="16">
        <v>824</v>
      </c>
      <c r="D205" s="15">
        <v>19</v>
      </c>
      <c r="E205" s="16">
        <v>15656</v>
      </c>
      <c r="F205" s="62">
        <f>E205-E205</f>
        <v>0</v>
      </c>
    </row>
    <row r="206" spans="1:6" x14ac:dyDescent="0.2">
      <c r="A206" s="15" t="s">
        <v>882</v>
      </c>
      <c r="B206" s="139" t="s">
        <v>774</v>
      </c>
      <c r="C206" s="150">
        <v>8.7899999999999991</v>
      </c>
      <c r="D206" s="140">
        <v>780</v>
      </c>
      <c r="E206" s="136">
        <v>6856.1999999999989</v>
      </c>
      <c r="F206" s="62">
        <f>E206-E207</f>
        <v>-6328.8000000000011</v>
      </c>
    </row>
    <row r="207" spans="1:6" x14ac:dyDescent="0.2">
      <c r="A207" s="15"/>
      <c r="B207" s="15" t="s">
        <v>1163</v>
      </c>
      <c r="C207" s="16">
        <v>4395</v>
      </c>
      <c r="D207" s="15">
        <v>3</v>
      </c>
      <c r="E207" s="16">
        <v>13185</v>
      </c>
      <c r="F207" s="62">
        <f>E207-E207</f>
        <v>0</v>
      </c>
    </row>
    <row r="208" spans="1:6" x14ac:dyDescent="0.2">
      <c r="A208" s="15" t="s">
        <v>882</v>
      </c>
      <c r="B208" s="139" t="s">
        <v>878</v>
      </c>
      <c r="C208" s="150">
        <v>727</v>
      </c>
      <c r="D208" s="140">
        <v>0</v>
      </c>
      <c r="E208" s="136">
        <v>0</v>
      </c>
      <c r="F208" s="62">
        <f>E208-E209</f>
        <v>0</v>
      </c>
    </row>
    <row r="209" spans="1:6" x14ac:dyDescent="0.2">
      <c r="A209" s="15"/>
      <c r="B209" s="17"/>
      <c r="C209" s="154"/>
      <c r="D209" s="99"/>
      <c r="E209" s="122"/>
      <c r="F209" s="62">
        <f>E209-E209</f>
        <v>0</v>
      </c>
    </row>
    <row r="210" spans="1:6" x14ac:dyDescent="0.15">
      <c r="A210" s="15" t="s">
        <v>882</v>
      </c>
      <c r="B210" s="137" t="s">
        <v>19</v>
      </c>
      <c r="C210" s="157">
        <v>8.91</v>
      </c>
      <c r="D210" s="140">
        <v>24</v>
      </c>
      <c r="E210" s="136">
        <v>213.84</v>
      </c>
      <c r="F210" s="62">
        <f>E210-E211</f>
        <v>213.84</v>
      </c>
    </row>
    <row r="211" spans="1:6" x14ac:dyDescent="0.15">
      <c r="A211" s="15"/>
      <c r="B211" s="20"/>
      <c r="C211" s="158"/>
      <c r="D211" s="99"/>
      <c r="E211" s="122"/>
      <c r="F211" s="62">
        <f>E211-E211</f>
        <v>0</v>
      </c>
    </row>
    <row r="212" spans="1:6" x14ac:dyDescent="0.15">
      <c r="A212" s="15" t="s">
        <v>882</v>
      </c>
      <c r="B212" s="137" t="s">
        <v>81</v>
      </c>
      <c r="C212" s="149">
        <v>7.9</v>
      </c>
      <c r="D212" s="135">
        <v>543.33333333333326</v>
      </c>
      <c r="E212" s="136">
        <v>4292.333333333333</v>
      </c>
      <c r="F212" s="62">
        <f>E212-E213</f>
        <v>-114207.66666666667</v>
      </c>
    </row>
    <row r="213" spans="1:6" x14ac:dyDescent="0.2">
      <c r="A213" s="15"/>
      <c r="B213" s="15" t="s">
        <v>1265</v>
      </c>
      <c r="C213" s="16">
        <v>7900</v>
      </c>
      <c r="D213" s="15">
        <v>15</v>
      </c>
      <c r="E213" s="16">
        <v>118500</v>
      </c>
    </row>
    <row r="214" spans="1:6" x14ac:dyDescent="0.15">
      <c r="A214" s="15" t="s">
        <v>882</v>
      </c>
      <c r="B214" s="137" t="s">
        <v>787</v>
      </c>
      <c r="C214" s="149">
        <v>73</v>
      </c>
      <c r="D214" s="135">
        <v>5</v>
      </c>
      <c r="E214" s="136">
        <v>365</v>
      </c>
      <c r="F214" s="62">
        <f>E214-E215</f>
        <v>-3290</v>
      </c>
    </row>
    <row r="215" spans="1:6" x14ac:dyDescent="0.2">
      <c r="A215" s="15"/>
      <c r="B215" s="15" t="s">
        <v>1330</v>
      </c>
      <c r="C215" s="16">
        <v>731</v>
      </c>
      <c r="D215" s="15">
        <v>5</v>
      </c>
      <c r="E215" s="16">
        <v>3655</v>
      </c>
      <c r="F215" s="62">
        <f>E215-E215</f>
        <v>0</v>
      </c>
    </row>
    <row r="216" spans="1:6" x14ac:dyDescent="0.15">
      <c r="A216" s="15" t="s">
        <v>882</v>
      </c>
      <c r="B216" s="137" t="s">
        <v>292</v>
      </c>
      <c r="C216" s="149">
        <v>834.4</v>
      </c>
      <c r="D216" s="135">
        <v>12</v>
      </c>
      <c r="E216" s="136">
        <v>10012.799999999999</v>
      </c>
      <c r="F216" s="62">
        <f>E216-E217</f>
        <v>10012.799999999999</v>
      </c>
    </row>
    <row r="217" spans="1:6" x14ac:dyDescent="0.15">
      <c r="A217" s="15"/>
      <c r="B217" s="20"/>
      <c r="C217" s="152"/>
      <c r="D217" s="147"/>
      <c r="E217" s="122"/>
      <c r="F217" s="62">
        <f>E217-E217</f>
        <v>0</v>
      </c>
    </row>
    <row r="218" spans="1:6" x14ac:dyDescent="0.15">
      <c r="A218" s="15" t="s">
        <v>882</v>
      </c>
      <c r="B218" s="137" t="s">
        <v>703</v>
      </c>
      <c r="C218" s="149">
        <v>46.8</v>
      </c>
      <c r="D218" s="140">
        <v>1549.6666666666665</v>
      </c>
      <c r="E218" s="136">
        <v>72524.399999999994</v>
      </c>
      <c r="F218" s="62">
        <f>E218-E219</f>
        <v>-493755.6</v>
      </c>
    </row>
    <row r="219" spans="1:6" x14ac:dyDescent="0.2">
      <c r="A219" s="15"/>
      <c r="B219" s="15" t="s">
        <v>1077</v>
      </c>
      <c r="C219" s="16">
        <v>4680</v>
      </c>
      <c r="D219" s="15">
        <v>73</v>
      </c>
      <c r="E219" s="16">
        <v>566280</v>
      </c>
      <c r="F219" s="62">
        <f>E219-E219</f>
        <v>0</v>
      </c>
    </row>
    <row r="220" spans="1:6" x14ac:dyDescent="0.15">
      <c r="A220" s="15" t="s">
        <v>882</v>
      </c>
      <c r="B220" s="137" t="s">
        <v>704</v>
      </c>
      <c r="C220" s="149">
        <v>7.12</v>
      </c>
      <c r="D220" s="140">
        <v>944</v>
      </c>
      <c r="E220" s="136">
        <v>6721.28</v>
      </c>
      <c r="F220" s="62">
        <f>E220-E221</f>
        <v>-66614.720000000001</v>
      </c>
    </row>
    <row r="221" spans="1:6" x14ac:dyDescent="0.2">
      <c r="A221" s="15"/>
      <c r="B221" s="15" t="s">
        <v>906</v>
      </c>
      <c r="C221" s="16">
        <v>712</v>
      </c>
      <c r="D221" s="15">
        <v>33</v>
      </c>
      <c r="E221" s="16">
        <v>73336</v>
      </c>
      <c r="F221" s="62">
        <f>E221-E221</f>
        <v>0</v>
      </c>
    </row>
    <row r="222" spans="1:6" x14ac:dyDescent="0.15">
      <c r="A222" s="15" t="s">
        <v>882</v>
      </c>
      <c r="B222" s="137" t="s">
        <v>705</v>
      </c>
      <c r="C222" s="149">
        <v>27.2</v>
      </c>
      <c r="D222" s="135">
        <v>73</v>
      </c>
      <c r="E222" s="136">
        <v>1985.6</v>
      </c>
      <c r="F222" s="62">
        <f>E222-E223</f>
        <v>-14334.4</v>
      </c>
    </row>
    <row r="223" spans="1:6" x14ac:dyDescent="0.2">
      <c r="A223" s="15"/>
      <c r="B223" s="15" t="s">
        <v>1212</v>
      </c>
      <c r="C223" s="16">
        <v>2720</v>
      </c>
      <c r="D223" s="15">
        <v>6</v>
      </c>
      <c r="E223" s="16">
        <v>16320</v>
      </c>
      <c r="F223" s="62">
        <f>E223-E223</f>
        <v>0</v>
      </c>
    </row>
    <row r="224" spans="1:6" x14ac:dyDescent="0.15">
      <c r="A224" s="15" t="s">
        <v>882</v>
      </c>
      <c r="B224" s="137" t="s">
        <v>775</v>
      </c>
      <c r="C224" s="149">
        <v>37.24</v>
      </c>
      <c r="D224" s="140">
        <v>1818</v>
      </c>
      <c r="E224" s="136">
        <v>67702.320000000007</v>
      </c>
      <c r="F224" s="62">
        <f>E224-E225</f>
        <v>-44017.679999999993</v>
      </c>
    </row>
    <row r="225" spans="1:6" ht="14.25" customHeight="1" x14ac:dyDescent="0.2">
      <c r="A225" s="15"/>
      <c r="B225" s="15" t="s">
        <v>1240</v>
      </c>
      <c r="C225" s="16">
        <v>18620</v>
      </c>
      <c r="D225" s="15">
        <v>4</v>
      </c>
      <c r="E225" s="16">
        <v>111720</v>
      </c>
      <c r="F225" s="62">
        <f>E225-E225</f>
        <v>0</v>
      </c>
    </row>
    <row r="226" spans="1:6" x14ac:dyDescent="0.2">
      <c r="A226" s="15" t="s">
        <v>882</v>
      </c>
      <c r="B226" s="139" t="s">
        <v>706</v>
      </c>
      <c r="C226" s="150">
        <v>5.4</v>
      </c>
      <c r="D226" s="140">
        <v>2504.272727272727</v>
      </c>
      <c r="E226" s="136">
        <v>13523.072727272727</v>
      </c>
      <c r="F226" s="62">
        <f>E226-E227</f>
        <v>-40476.927272727276</v>
      </c>
    </row>
    <row r="227" spans="1:6" x14ac:dyDescent="0.2">
      <c r="A227" s="15"/>
      <c r="B227" s="15" t="s">
        <v>907</v>
      </c>
      <c r="C227" s="16">
        <v>5400</v>
      </c>
      <c r="D227" s="15">
        <v>5</v>
      </c>
      <c r="E227" s="16">
        <v>54000</v>
      </c>
      <c r="F227" s="62">
        <f>E227-E227</f>
        <v>0</v>
      </c>
    </row>
    <row r="228" spans="1:6" x14ac:dyDescent="0.2">
      <c r="A228" s="15" t="s">
        <v>882</v>
      </c>
      <c r="B228" s="139" t="s">
        <v>707</v>
      </c>
      <c r="C228" s="150">
        <v>8.3000000000000007</v>
      </c>
      <c r="D228" s="140">
        <v>3032.9230769230771</v>
      </c>
      <c r="E228" s="136">
        <v>25173.261538461542</v>
      </c>
      <c r="F228" s="62">
        <f>E228-E229</f>
        <v>-32933.738461538458</v>
      </c>
    </row>
    <row r="229" spans="1:6" x14ac:dyDescent="0.2">
      <c r="A229" s="15"/>
      <c r="B229" s="15" t="s">
        <v>908</v>
      </c>
      <c r="C229" s="16">
        <v>8301</v>
      </c>
      <c r="D229" s="15">
        <v>4</v>
      </c>
      <c r="E229" s="16">
        <v>58107</v>
      </c>
      <c r="F229" s="62">
        <f>E229-E229</f>
        <v>0</v>
      </c>
    </row>
    <row r="230" spans="1:6" x14ac:dyDescent="0.2">
      <c r="A230" s="15" t="s">
        <v>882</v>
      </c>
      <c r="B230" s="139" t="s">
        <v>82</v>
      </c>
      <c r="C230" s="159">
        <v>8.99</v>
      </c>
      <c r="D230" s="135">
        <v>1145.4545454545453</v>
      </c>
      <c r="E230" s="136">
        <v>10297.636363636362</v>
      </c>
      <c r="F230" s="62">
        <f>E230-E231</f>
        <v>-43690.36363636364</v>
      </c>
    </row>
    <row r="231" spans="1:6" x14ac:dyDescent="0.2">
      <c r="A231" s="15"/>
      <c r="B231" s="15" t="s">
        <v>1187</v>
      </c>
      <c r="C231" s="16">
        <v>8998</v>
      </c>
      <c r="D231" s="15">
        <v>6</v>
      </c>
      <c r="E231" s="16">
        <v>53988</v>
      </c>
      <c r="F231" s="62">
        <f>E231-E231</f>
        <v>0</v>
      </c>
    </row>
    <row r="232" spans="1:6" x14ac:dyDescent="0.15">
      <c r="A232" s="15" t="s">
        <v>882</v>
      </c>
      <c r="B232" s="137" t="s">
        <v>776</v>
      </c>
      <c r="C232" s="149">
        <v>16.54</v>
      </c>
      <c r="D232" s="140">
        <v>200</v>
      </c>
      <c r="E232" s="136">
        <v>3308</v>
      </c>
      <c r="F232" s="62">
        <f>E232-E233</f>
        <v>-21502</v>
      </c>
    </row>
    <row r="233" spans="1:6" x14ac:dyDescent="0.2">
      <c r="A233" s="15"/>
      <c r="B233" s="15" t="s">
        <v>1443</v>
      </c>
      <c r="C233" s="16">
        <v>1654</v>
      </c>
      <c r="D233" s="15">
        <v>15</v>
      </c>
      <c r="E233" s="16">
        <v>24810</v>
      </c>
      <c r="F233" s="62">
        <f>E233-E233</f>
        <v>0</v>
      </c>
    </row>
    <row r="234" spans="1:6" x14ac:dyDescent="0.2">
      <c r="A234" s="141" t="s">
        <v>882</v>
      </c>
      <c r="B234" s="141"/>
      <c r="C234" s="136"/>
      <c r="D234" s="141"/>
      <c r="E234" s="136"/>
      <c r="F234" s="62">
        <f>E234-E235</f>
        <v>-13540</v>
      </c>
    </row>
    <row r="235" spans="1:6" x14ac:dyDescent="0.2">
      <c r="A235" s="15"/>
      <c r="B235" s="15" t="s">
        <v>1444</v>
      </c>
      <c r="C235" s="16">
        <v>3385</v>
      </c>
      <c r="D235" s="15">
        <v>4</v>
      </c>
      <c r="E235" s="16">
        <v>13540</v>
      </c>
      <c r="F235" s="62">
        <f>E235-E235</f>
        <v>0</v>
      </c>
    </row>
    <row r="236" spans="1:6" x14ac:dyDescent="0.2">
      <c r="A236" s="15" t="s">
        <v>882</v>
      </c>
      <c r="B236" s="139" t="s">
        <v>88</v>
      </c>
      <c r="C236" s="150">
        <v>51.7</v>
      </c>
      <c r="D236" s="140">
        <v>100</v>
      </c>
      <c r="E236" s="136">
        <v>5170</v>
      </c>
      <c r="F236" s="62">
        <f>E236-E237</f>
        <v>-67210</v>
      </c>
    </row>
    <row r="237" spans="1:6" x14ac:dyDescent="0.2">
      <c r="A237" s="15"/>
      <c r="B237" s="15" t="s">
        <v>1423</v>
      </c>
      <c r="C237" s="16">
        <v>5170</v>
      </c>
      <c r="D237" s="15">
        <v>14</v>
      </c>
      <c r="E237" s="16">
        <v>72380</v>
      </c>
      <c r="F237" s="62">
        <f>E237-E237</f>
        <v>0</v>
      </c>
    </row>
    <row r="238" spans="1:6" x14ac:dyDescent="0.2">
      <c r="A238" s="15" t="s">
        <v>882</v>
      </c>
      <c r="B238" s="139" t="s">
        <v>708</v>
      </c>
      <c r="C238" s="150">
        <v>16.79</v>
      </c>
      <c r="D238" s="140">
        <v>580.22222222222217</v>
      </c>
      <c r="E238" s="136">
        <v>9741.9311111111092</v>
      </c>
      <c r="F238" s="62">
        <f>E238-E239</f>
        <v>-166553.0688888889</v>
      </c>
    </row>
    <row r="239" spans="1:6" x14ac:dyDescent="0.2">
      <c r="A239" s="15"/>
      <c r="B239" s="15" t="s">
        <v>1445</v>
      </c>
      <c r="C239" s="16">
        <v>16790</v>
      </c>
      <c r="D239" s="15">
        <v>7</v>
      </c>
      <c r="E239" s="16">
        <v>176295</v>
      </c>
      <c r="F239" s="62">
        <f>E239-E239</f>
        <v>0</v>
      </c>
    </row>
    <row r="240" spans="1:6" x14ac:dyDescent="0.2">
      <c r="A240" s="15" t="s">
        <v>882</v>
      </c>
      <c r="B240" s="139" t="s">
        <v>800</v>
      </c>
      <c r="C240" s="150">
        <v>9089</v>
      </c>
      <c r="D240" s="140">
        <v>1</v>
      </c>
      <c r="E240" s="136">
        <v>9089</v>
      </c>
      <c r="F240" s="62">
        <f>E240-E241</f>
        <v>0</v>
      </c>
    </row>
    <row r="241" spans="1:6" x14ac:dyDescent="0.2">
      <c r="A241" s="15"/>
      <c r="B241" s="15" t="s">
        <v>1281</v>
      </c>
      <c r="C241" s="16">
        <v>9089</v>
      </c>
      <c r="D241" s="15">
        <v>1</v>
      </c>
      <c r="E241" s="16">
        <v>9089</v>
      </c>
      <c r="F241" s="62">
        <f>E241-E241</f>
        <v>0</v>
      </c>
    </row>
    <row r="242" spans="1:6" x14ac:dyDescent="0.2">
      <c r="A242" s="15" t="s">
        <v>882</v>
      </c>
      <c r="B242" s="139" t="s">
        <v>312</v>
      </c>
      <c r="C242" s="150">
        <v>29907</v>
      </c>
      <c r="D242" s="140">
        <v>1</v>
      </c>
      <c r="E242" s="136">
        <v>29907</v>
      </c>
      <c r="F242" s="62">
        <f>E242-E243</f>
        <v>-29907</v>
      </c>
    </row>
    <row r="243" spans="1:6" x14ac:dyDescent="0.2">
      <c r="A243" s="15"/>
      <c r="B243" s="15" t="s">
        <v>1023</v>
      </c>
      <c r="C243" s="16">
        <v>29907</v>
      </c>
      <c r="D243" s="15">
        <v>2</v>
      </c>
      <c r="E243" s="16">
        <v>59814</v>
      </c>
      <c r="F243" s="62">
        <f>E243-E243</f>
        <v>0</v>
      </c>
    </row>
    <row r="244" spans="1:6" x14ac:dyDescent="0.2">
      <c r="A244" s="15" t="s">
        <v>882</v>
      </c>
      <c r="B244" s="139" t="s">
        <v>313</v>
      </c>
      <c r="C244" s="150">
        <v>35931</v>
      </c>
      <c r="D244" s="140">
        <v>2</v>
      </c>
      <c r="E244" s="136">
        <v>71862</v>
      </c>
      <c r="F244" s="62">
        <f>E244-E245</f>
        <v>-1437240</v>
      </c>
    </row>
    <row r="245" spans="1:6" x14ac:dyDescent="0.2">
      <c r="A245" s="15"/>
      <c r="B245" s="15" t="s">
        <v>1024</v>
      </c>
      <c r="C245" s="16">
        <v>35931</v>
      </c>
      <c r="D245" s="15">
        <v>42</v>
      </c>
      <c r="E245" s="16">
        <v>1509102</v>
      </c>
      <c r="F245" s="62">
        <f>E245-E245</f>
        <v>0</v>
      </c>
    </row>
    <row r="246" spans="1:6" x14ac:dyDescent="0.2">
      <c r="A246" s="15" t="s">
        <v>882</v>
      </c>
      <c r="B246" s="139" t="s">
        <v>790</v>
      </c>
      <c r="C246" s="150">
        <v>93.14</v>
      </c>
      <c r="D246" s="138">
        <v>62</v>
      </c>
      <c r="E246" s="136">
        <v>5774.68</v>
      </c>
      <c r="F246" s="62">
        <f>E246-E247</f>
        <v>-38561.32</v>
      </c>
    </row>
    <row r="247" spans="1:6" x14ac:dyDescent="0.2">
      <c r="A247" s="15"/>
      <c r="B247" s="15" t="s">
        <v>1026</v>
      </c>
      <c r="C247" s="16">
        <v>2608</v>
      </c>
      <c r="D247" s="15">
        <v>17</v>
      </c>
      <c r="E247" s="16">
        <v>44336</v>
      </c>
      <c r="F247" s="62">
        <f>E247-E247</f>
        <v>0</v>
      </c>
    </row>
    <row r="248" spans="1:6" x14ac:dyDescent="0.2">
      <c r="A248" s="15" t="s">
        <v>882</v>
      </c>
      <c r="B248" s="139" t="s">
        <v>791</v>
      </c>
      <c r="C248" s="150">
        <v>186.25</v>
      </c>
      <c r="D248" s="138">
        <v>58</v>
      </c>
      <c r="E248" s="136">
        <v>10802.5</v>
      </c>
      <c r="F248" s="62">
        <f>E248-E249</f>
        <v>-51777.5</v>
      </c>
    </row>
    <row r="249" spans="1:6" x14ac:dyDescent="0.2">
      <c r="A249" s="15"/>
      <c r="B249" s="15" t="s">
        <v>1027</v>
      </c>
      <c r="C249" s="16">
        <v>5215</v>
      </c>
      <c r="D249" s="15">
        <v>12</v>
      </c>
      <c r="E249" s="16">
        <v>62580</v>
      </c>
    </row>
    <row r="250" spans="1:6" x14ac:dyDescent="0.2">
      <c r="A250" s="141" t="s">
        <v>1504</v>
      </c>
      <c r="B250" s="141"/>
      <c r="C250" s="136"/>
      <c r="D250" s="141"/>
      <c r="E250" s="136"/>
      <c r="F250" s="62">
        <f>E250-E251</f>
        <v>-55029</v>
      </c>
    </row>
    <row r="251" spans="1:6" x14ac:dyDescent="0.2">
      <c r="A251" s="15"/>
      <c r="B251" s="15" t="s">
        <v>1025</v>
      </c>
      <c r="C251" s="16">
        <v>1079</v>
      </c>
      <c r="D251" s="15">
        <v>51</v>
      </c>
      <c r="E251" s="16">
        <v>55029</v>
      </c>
      <c r="F251" s="62">
        <f>E251-E251</f>
        <v>0</v>
      </c>
    </row>
    <row r="252" spans="1:6" x14ac:dyDescent="0.2">
      <c r="A252" s="15" t="s">
        <v>882</v>
      </c>
      <c r="B252" s="139" t="s">
        <v>503</v>
      </c>
      <c r="C252" s="150">
        <v>159.6</v>
      </c>
      <c r="D252" s="135">
        <v>30</v>
      </c>
      <c r="E252" s="136">
        <v>4788</v>
      </c>
      <c r="F252" s="62">
        <f>E252-E253</f>
        <v>-43092</v>
      </c>
    </row>
    <row r="253" spans="1:6" x14ac:dyDescent="0.2">
      <c r="A253" s="15"/>
      <c r="B253" s="15" t="s">
        <v>1398</v>
      </c>
      <c r="C253" s="16">
        <v>15960</v>
      </c>
      <c r="D253" s="15">
        <v>3</v>
      </c>
      <c r="E253" s="16">
        <v>47880</v>
      </c>
      <c r="F253" s="62">
        <f>E253-E253</f>
        <v>0</v>
      </c>
    </row>
    <row r="254" spans="1:6" x14ac:dyDescent="0.2">
      <c r="A254" s="15" t="s">
        <v>882</v>
      </c>
      <c r="B254" s="139" t="s">
        <v>89</v>
      </c>
      <c r="C254" s="150">
        <v>14.7</v>
      </c>
      <c r="D254" s="135">
        <v>483.33333333333337</v>
      </c>
      <c r="E254" s="136">
        <v>7105</v>
      </c>
      <c r="F254" s="62">
        <f>E254-E255</f>
        <v>-42140</v>
      </c>
    </row>
    <row r="255" spans="1:6" x14ac:dyDescent="0.2">
      <c r="A255" s="15"/>
      <c r="B255" s="15" t="s">
        <v>1188</v>
      </c>
      <c r="C255" s="16">
        <v>7035</v>
      </c>
      <c r="D255" s="15">
        <v>7</v>
      </c>
      <c r="E255" s="16">
        <v>49245</v>
      </c>
      <c r="F255" s="62">
        <f>E255-E255</f>
        <v>0</v>
      </c>
    </row>
    <row r="256" spans="1:6" x14ac:dyDescent="0.15">
      <c r="A256" s="15" t="s">
        <v>882</v>
      </c>
      <c r="B256" s="137" t="s">
        <v>90</v>
      </c>
      <c r="C256" s="149">
        <v>5.36</v>
      </c>
      <c r="D256" s="135">
        <v>229</v>
      </c>
      <c r="E256" s="136">
        <v>1227.44</v>
      </c>
      <c r="F256" s="62">
        <f>E256-E257</f>
        <v>-2524.56</v>
      </c>
    </row>
    <row r="257" spans="1:6" x14ac:dyDescent="0.2">
      <c r="A257" s="15"/>
      <c r="B257" s="15" t="s">
        <v>1134</v>
      </c>
      <c r="C257" s="16">
        <v>536</v>
      </c>
      <c r="D257" s="15">
        <v>7</v>
      </c>
      <c r="E257" s="16">
        <v>3752</v>
      </c>
      <c r="F257" s="62">
        <f>E257-E257</f>
        <v>0</v>
      </c>
    </row>
    <row r="258" spans="1:6" x14ac:dyDescent="0.2">
      <c r="A258" s="15" t="s">
        <v>882</v>
      </c>
      <c r="B258" s="139" t="s">
        <v>314</v>
      </c>
      <c r="C258" s="150">
        <v>52.6</v>
      </c>
      <c r="D258" s="140">
        <v>14</v>
      </c>
      <c r="E258" s="136">
        <v>736.4</v>
      </c>
      <c r="F258" s="62">
        <f>E258-E259</f>
        <v>210.39999999999998</v>
      </c>
    </row>
    <row r="259" spans="1:6" x14ac:dyDescent="0.2">
      <c r="A259" s="15"/>
      <c r="B259" s="15" t="s">
        <v>1160</v>
      </c>
      <c r="C259" s="16">
        <v>526</v>
      </c>
      <c r="D259" s="15">
        <v>1</v>
      </c>
      <c r="E259" s="16">
        <v>526</v>
      </c>
      <c r="F259" s="62">
        <f>E259-E259</f>
        <v>0</v>
      </c>
    </row>
    <row r="260" spans="1:6" ht="15" customHeight="1" x14ac:dyDescent="0.15">
      <c r="A260" s="15" t="s">
        <v>882</v>
      </c>
      <c r="B260" s="137" t="s">
        <v>506</v>
      </c>
      <c r="C260" s="149">
        <v>103.5</v>
      </c>
      <c r="D260" s="135">
        <v>168.16666666666669</v>
      </c>
      <c r="E260" s="136">
        <v>17405.250000000004</v>
      </c>
      <c r="F260" s="62">
        <f>E260-E261</f>
        <v>-210294.75</v>
      </c>
    </row>
    <row r="261" spans="1:6" x14ac:dyDescent="0.2">
      <c r="A261" s="15"/>
      <c r="B261" s="15" t="s">
        <v>1388</v>
      </c>
      <c r="C261" s="16">
        <v>10350</v>
      </c>
      <c r="D261" s="15">
        <v>22</v>
      </c>
      <c r="E261" s="16">
        <v>227700</v>
      </c>
      <c r="F261" s="62">
        <f>E261-E261</f>
        <v>0</v>
      </c>
    </row>
    <row r="262" spans="1:6" x14ac:dyDescent="0.15">
      <c r="A262" s="15" t="s">
        <v>882</v>
      </c>
      <c r="B262" s="137" t="s">
        <v>709</v>
      </c>
      <c r="C262" s="149">
        <v>8.73</v>
      </c>
      <c r="D262" s="135">
        <v>106</v>
      </c>
      <c r="E262" s="136">
        <v>925.38</v>
      </c>
      <c r="F262" s="62">
        <f>E262-E263</f>
        <v>-1693.62</v>
      </c>
    </row>
    <row r="263" spans="1:6" x14ac:dyDescent="0.2">
      <c r="A263" s="15"/>
      <c r="B263" s="15" t="s">
        <v>1464</v>
      </c>
      <c r="C263" s="16">
        <v>873</v>
      </c>
      <c r="D263" s="15">
        <v>3</v>
      </c>
      <c r="E263" s="16">
        <v>2619</v>
      </c>
      <c r="F263" s="62">
        <f>E263-E263</f>
        <v>0</v>
      </c>
    </row>
    <row r="264" spans="1:6" x14ac:dyDescent="0.15">
      <c r="A264" s="15" t="s">
        <v>882</v>
      </c>
      <c r="B264" s="137" t="s">
        <v>651</v>
      </c>
      <c r="C264" s="149">
        <v>51.8</v>
      </c>
      <c r="D264" s="140">
        <v>84</v>
      </c>
      <c r="E264" s="136">
        <v>4351.2</v>
      </c>
      <c r="F264" s="62">
        <f>E264-E265</f>
        <v>-828.80000000000018</v>
      </c>
    </row>
    <row r="265" spans="1:6" x14ac:dyDescent="0.2">
      <c r="A265" s="15"/>
      <c r="B265" s="15" t="s">
        <v>1275</v>
      </c>
      <c r="C265" s="16">
        <v>2590</v>
      </c>
      <c r="D265" s="15">
        <v>2</v>
      </c>
      <c r="E265" s="16">
        <v>5180</v>
      </c>
      <c r="F265" s="62">
        <f>E265-E265</f>
        <v>0</v>
      </c>
    </row>
    <row r="266" spans="1:6" x14ac:dyDescent="0.15">
      <c r="A266" s="15" t="s">
        <v>882</v>
      </c>
      <c r="B266" s="137" t="s">
        <v>837</v>
      </c>
      <c r="C266" s="149">
        <v>85.83</v>
      </c>
      <c r="D266" s="135">
        <v>103</v>
      </c>
      <c r="E266" s="136">
        <v>8840.49</v>
      </c>
      <c r="F266" s="62">
        <f>E266-E267</f>
        <v>-94155.51</v>
      </c>
    </row>
    <row r="267" spans="1:6" x14ac:dyDescent="0.2">
      <c r="A267" s="15"/>
      <c r="B267" s="15" t="s">
        <v>1216</v>
      </c>
      <c r="C267" s="16">
        <v>8583</v>
      </c>
      <c r="D267" s="15">
        <v>12</v>
      </c>
      <c r="E267" s="16">
        <v>102996</v>
      </c>
      <c r="F267" s="62">
        <f>E267-E267</f>
        <v>0</v>
      </c>
    </row>
    <row r="268" spans="1:6" x14ac:dyDescent="0.15">
      <c r="A268" s="15" t="s">
        <v>882</v>
      </c>
      <c r="B268" s="137" t="s">
        <v>252</v>
      </c>
      <c r="C268" s="149">
        <v>73.7</v>
      </c>
      <c r="D268" s="135">
        <v>38</v>
      </c>
      <c r="E268" s="136">
        <v>2800.6</v>
      </c>
      <c r="F268" s="62">
        <f>E268-E269</f>
        <v>-24468.400000000001</v>
      </c>
    </row>
    <row r="269" spans="1:6" x14ac:dyDescent="0.2">
      <c r="A269" s="15"/>
      <c r="B269" s="15" t="s">
        <v>1312</v>
      </c>
      <c r="C269" s="16">
        <v>737</v>
      </c>
      <c r="D269" s="15">
        <v>37</v>
      </c>
      <c r="E269" s="16">
        <v>27269</v>
      </c>
      <c r="F269" s="62">
        <f>E269-E269</f>
        <v>0</v>
      </c>
    </row>
    <row r="270" spans="1:6" x14ac:dyDescent="0.15">
      <c r="A270" s="15" t="s">
        <v>882</v>
      </c>
      <c r="B270" s="137" t="s">
        <v>507</v>
      </c>
      <c r="C270" s="149">
        <v>40.700000000000003</v>
      </c>
      <c r="D270" s="135">
        <v>63</v>
      </c>
      <c r="E270" s="136">
        <v>2564.1000000000004</v>
      </c>
      <c r="F270" s="62">
        <f>E270-E271</f>
        <v>-40170.9</v>
      </c>
    </row>
    <row r="271" spans="1:6" x14ac:dyDescent="0.2">
      <c r="A271" s="15"/>
      <c r="B271" s="15" t="s">
        <v>1454</v>
      </c>
      <c r="C271" s="16">
        <v>1221</v>
      </c>
      <c r="D271" s="15">
        <v>35</v>
      </c>
      <c r="E271" s="16">
        <v>42735</v>
      </c>
      <c r="F271" s="62">
        <f>E271-E271</f>
        <v>0</v>
      </c>
    </row>
    <row r="272" spans="1:6" x14ac:dyDescent="0.15">
      <c r="A272" s="15" t="s">
        <v>882</v>
      </c>
      <c r="B272" s="137" t="s">
        <v>253</v>
      </c>
      <c r="C272" s="149">
        <v>488.7</v>
      </c>
      <c r="D272" s="135">
        <v>2</v>
      </c>
      <c r="E272" s="136">
        <v>977.4</v>
      </c>
      <c r="F272" s="62">
        <f>E272-E273</f>
        <v>-184728.6</v>
      </c>
    </row>
    <row r="273" spans="1:6" x14ac:dyDescent="0.2">
      <c r="A273" s="15"/>
      <c r="B273" s="15" t="s">
        <v>1333</v>
      </c>
      <c r="C273" s="16">
        <v>4887</v>
      </c>
      <c r="D273" s="15">
        <v>38</v>
      </c>
      <c r="E273" s="16">
        <v>185706</v>
      </c>
      <c r="F273" s="62">
        <f>E273-E273</f>
        <v>0</v>
      </c>
    </row>
    <row r="274" spans="1:6" x14ac:dyDescent="0.15">
      <c r="A274" s="15" t="s">
        <v>882</v>
      </c>
      <c r="B274" s="137" t="s">
        <v>508</v>
      </c>
      <c r="C274" s="149">
        <v>101.4</v>
      </c>
      <c r="D274" s="140">
        <v>673</v>
      </c>
      <c r="E274" s="136">
        <v>68242.2</v>
      </c>
      <c r="F274" s="62">
        <f>E274-E275</f>
        <v>68242.2</v>
      </c>
    </row>
    <row r="275" spans="1:6" x14ac:dyDescent="0.15">
      <c r="A275" s="15"/>
      <c r="B275" s="20"/>
      <c r="C275" s="152"/>
      <c r="D275" s="99"/>
      <c r="E275" s="122"/>
      <c r="F275" s="62">
        <f>E275-E275</f>
        <v>0</v>
      </c>
    </row>
    <row r="276" spans="1:6" x14ac:dyDescent="0.15">
      <c r="A276" s="15" t="s">
        <v>882</v>
      </c>
      <c r="B276" s="137" t="s">
        <v>509</v>
      </c>
      <c r="C276" s="149">
        <v>881.64</v>
      </c>
      <c r="D276" s="135">
        <v>59</v>
      </c>
      <c r="E276" s="136">
        <v>52016.76</v>
      </c>
      <c r="F276" s="62">
        <f>E276-E277</f>
        <v>52016.76</v>
      </c>
    </row>
    <row r="277" spans="1:6" x14ac:dyDescent="0.15">
      <c r="A277" s="15"/>
      <c r="B277" s="20"/>
      <c r="C277" s="152"/>
      <c r="D277" s="147"/>
      <c r="E277" s="122"/>
      <c r="F277" s="62">
        <f>E277-E277</f>
        <v>0</v>
      </c>
    </row>
    <row r="278" spans="1:6" x14ac:dyDescent="0.2">
      <c r="A278" s="15" t="s">
        <v>882</v>
      </c>
      <c r="B278" s="139" t="s">
        <v>293</v>
      </c>
      <c r="C278" s="150">
        <v>483.1</v>
      </c>
      <c r="D278" s="135">
        <v>24</v>
      </c>
      <c r="E278" s="136">
        <v>11594.400000000001</v>
      </c>
      <c r="F278" s="62">
        <f>E278-E279</f>
        <v>-65701.600000000006</v>
      </c>
    </row>
    <row r="279" spans="1:6" x14ac:dyDescent="0.2">
      <c r="A279" s="15"/>
      <c r="B279" s="15" t="s">
        <v>1139</v>
      </c>
      <c r="C279" s="16">
        <v>4831</v>
      </c>
      <c r="D279" s="15">
        <v>16</v>
      </c>
      <c r="E279" s="16">
        <v>77296</v>
      </c>
      <c r="F279" s="62">
        <f>E279-E279</f>
        <v>0</v>
      </c>
    </row>
    <row r="280" spans="1:6" x14ac:dyDescent="0.2">
      <c r="A280" s="15" t="s">
        <v>882</v>
      </c>
      <c r="B280" s="139" t="s">
        <v>93</v>
      </c>
      <c r="C280" s="150">
        <v>29.86</v>
      </c>
      <c r="D280" s="140">
        <v>1691.4736842105262</v>
      </c>
      <c r="E280" s="136">
        <v>50507.404210526314</v>
      </c>
      <c r="F280" s="62">
        <f>E280-E281</f>
        <v>-395652.59578947368</v>
      </c>
    </row>
    <row r="281" spans="1:6" x14ac:dyDescent="0.2">
      <c r="A281" s="15"/>
      <c r="B281" s="15" t="s">
        <v>1028</v>
      </c>
      <c r="C281" s="154"/>
      <c r="D281" s="99"/>
      <c r="E281" s="122">
        <v>446160</v>
      </c>
      <c r="F281" s="62">
        <f>E281-E281</f>
        <v>0</v>
      </c>
    </row>
    <row r="282" spans="1:6" x14ac:dyDescent="0.2">
      <c r="A282" s="15" t="s">
        <v>882</v>
      </c>
      <c r="B282" s="139" t="s">
        <v>92</v>
      </c>
      <c r="C282" s="150">
        <v>16.71</v>
      </c>
      <c r="D282" s="140">
        <v>1996</v>
      </c>
      <c r="E282" s="136">
        <v>33353.160000000003</v>
      </c>
      <c r="F282" s="62">
        <f>E282-E283</f>
        <v>-124731.84</v>
      </c>
    </row>
    <row r="283" spans="1:6" x14ac:dyDescent="0.2">
      <c r="A283" s="15"/>
      <c r="B283" s="15" t="s">
        <v>1029</v>
      </c>
      <c r="C283" s="16">
        <v>1170</v>
      </c>
      <c r="D283" s="15">
        <v>56</v>
      </c>
      <c r="E283" s="16">
        <v>158085</v>
      </c>
      <c r="F283" s="62">
        <f>E283-E283</f>
        <v>0</v>
      </c>
    </row>
    <row r="284" spans="1:6" x14ac:dyDescent="0.2">
      <c r="A284" s="15" t="s">
        <v>882</v>
      </c>
      <c r="B284" s="139" t="s">
        <v>91</v>
      </c>
      <c r="C284" s="150">
        <v>8.15</v>
      </c>
      <c r="D284" s="140">
        <v>1200.8571428571429</v>
      </c>
      <c r="E284" s="136">
        <v>9786.9857142857145</v>
      </c>
      <c r="F284" s="62">
        <f>E284-E285</f>
        <v>-65193.014285714286</v>
      </c>
    </row>
    <row r="285" spans="1:6" x14ac:dyDescent="0.2">
      <c r="A285" s="15"/>
      <c r="B285" s="15" t="s">
        <v>1031</v>
      </c>
      <c r="C285" s="150"/>
      <c r="D285" s="140"/>
      <c r="E285" s="136">
        <v>74980</v>
      </c>
      <c r="F285" s="62">
        <f>E285-E285</f>
        <v>0</v>
      </c>
    </row>
    <row r="286" spans="1:6" x14ac:dyDescent="0.2">
      <c r="A286" s="15" t="s">
        <v>882</v>
      </c>
      <c r="B286" s="144" t="s">
        <v>421</v>
      </c>
      <c r="C286" s="155">
        <v>59.7</v>
      </c>
      <c r="D286" s="140">
        <v>191</v>
      </c>
      <c r="E286" s="136">
        <v>11402.7</v>
      </c>
      <c r="F286" s="62">
        <f>E286-E287</f>
        <v>-12477.3</v>
      </c>
    </row>
    <row r="287" spans="1:6" x14ac:dyDescent="0.2">
      <c r="A287" s="15"/>
      <c r="B287" s="15" t="s">
        <v>1030</v>
      </c>
      <c r="C287" s="16">
        <v>5970</v>
      </c>
      <c r="D287" s="15">
        <v>4</v>
      </c>
      <c r="E287" s="16">
        <v>23880</v>
      </c>
      <c r="F287" s="62">
        <f>E287-E287</f>
        <v>0</v>
      </c>
    </row>
    <row r="288" spans="1:6" x14ac:dyDescent="0.2">
      <c r="A288" s="15" t="s">
        <v>882</v>
      </c>
      <c r="B288" s="139" t="s">
        <v>677</v>
      </c>
      <c r="C288" s="150">
        <v>2598</v>
      </c>
      <c r="D288" s="140">
        <v>1</v>
      </c>
      <c r="E288" s="136">
        <v>2598</v>
      </c>
      <c r="F288" s="62">
        <f>E288-E289</f>
        <v>2598</v>
      </c>
    </row>
    <row r="289" spans="1:6" x14ac:dyDescent="0.2">
      <c r="A289" s="15"/>
      <c r="B289" s="15"/>
      <c r="C289" s="16"/>
      <c r="D289" s="15"/>
      <c r="E289" s="16"/>
      <c r="F289" s="62">
        <f>E289-E289</f>
        <v>0</v>
      </c>
    </row>
    <row r="290" spans="1:6" x14ac:dyDescent="0.2">
      <c r="A290" s="15" t="s">
        <v>882</v>
      </c>
      <c r="B290" s="139" t="s">
        <v>510</v>
      </c>
      <c r="C290" s="150">
        <v>17.89</v>
      </c>
      <c r="D290" s="135">
        <v>270</v>
      </c>
      <c r="E290" s="136">
        <v>4830.3</v>
      </c>
      <c r="F290" s="62">
        <f>E290-E291</f>
        <v>-43472.7</v>
      </c>
    </row>
    <row r="291" spans="1:6" x14ac:dyDescent="0.2">
      <c r="A291" s="15"/>
      <c r="B291" s="15" t="s">
        <v>1189</v>
      </c>
      <c r="C291" s="16">
        <v>1789</v>
      </c>
      <c r="D291" s="15">
        <v>27</v>
      </c>
      <c r="E291" s="16">
        <v>48303</v>
      </c>
      <c r="F291" s="62">
        <f>E291-E291</f>
        <v>0</v>
      </c>
    </row>
    <row r="292" spans="1:6" x14ac:dyDescent="0.2">
      <c r="A292" s="15" t="s">
        <v>882</v>
      </c>
      <c r="B292" s="139" t="s">
        <v>777</v>
      </c>
      <c r="C292" s="150">
        <v>8.6999999999999993</v>
      </c>
      <c r="D292" s="140">
        <v>801.11111111111109</v>
      </c>
      <c r="E292" s="136">
        <v>6969.6666666666661</v>
      </c>
      <c r="F292" s="62">
        <f>E292-E293</f>
        <v>-178340.33333333334</v>
      </c>
    </row>
    <row r="293" spans="1:6" x14ac:dyDescent="0.2">
      <c r="A293" s="15"/>
      <c r="B293" s="15" t="s">
        <v>1446</v>
      </c>
      <c r="C293" s="16">
        <v>870</v>
      </c>
      <c r="D293" s="15">
        <v>42</v>
      </c>
      <c r="E293" s="16">
        <v>185310</v>
      </c>
      <c r="F293" s="62">
        <f>E293-E293</f>
        <v>0</v>
      </c>
    </row>
    <row r="294" spans="1:6" x14ac:dyDescent="0.2">
      <c r="A294" s="15" t="s">
        <v>882</v>
      </c>
      <c r="B294" s="139" t="s">
        <v>96</v>
      </c>
      <c r="C294" s="150">
        <v>9.09</v>
      </c>
      <c r="D294" s="140">
        <v>669.23076923076928</v>
      </c>
      <c r="E294" s="136">
        <v>6083.3076923076924</v>
      </c>
      <c r="F294" s="62">
        <f>E294-E295</f>
        <v>4265.3076923076924</v>
      </c>
    </row>
    <row r="295" spans="1:6" x14ac:dyDescent="0.2">
      <c r="A295" s="15"/>
      <c r="B295" s="15" t="s">
        <v>1424</v>
      </c>
      <c r="C295" s="16">
        <v>909</v>
      </c>
      <c r="D295" s="15">
        <v>2</v>
      </c>
      <c r="E295" s="16">
        <v>1818</v>
      </c>
      <c r="F295" s="62">
        <f>E295-E295</f>
        <v>0</v>
      </c>
    </row>
    <row r="296" spans="1:6" x14ac:dyDescent="0.2">
      <c r="A296" s="15" t="s">
        <v>882</v>
      </c>
      <c r="B296" s="139" t="s">
        <v>711</v>
      </c>
      <c r="C296" s="150">
        <v>27.5</v>
      </c>
      <c r="D296" s="140">
        <v>450.58823529411768</v>
      </c>
      <c r="E296" s="136">
        <v>12391.176470588236</v>
      </c>
      <c r="F296" s="62">
        <f>E296-E297</f>
        <v>-24568.823529411762</v>
      </c>
    </row>
    <row r="297" spans="1:6" x14ac:dyDescent="0.2">
      <c r="A297" s="15"/>
      <c r="B297" s="15" t="s">
        <v>1103</v>
      </c>
      <c r="C297" s="16">
        <v>1540</v>
      </c>
      <c r="D297" s="15">
        <v>24</v>
      </c>
      <c r="E297" s="16">
        <v>36960</v>
      </c>
      <c r="F297" s="62">
        <f>E297-E297</f>
        <v>0</v>
      </c>
    </row>
    <row r="298" spans="1:6" x14ac:dyDescent="0.2">
      <c r="A298" s="15" t="s">
        <v>882</v>
      </c>
      <c r="B298" s="139" t="s">
        <v>710</v>
      </c>
      <c r="C298" s="150">
        <v>17.5</v>
      </c>
      <c r="D298" s="140">
        <v>1403.3333333333335</v>
      </c>
      <c r="E298" s="136">
        <v>24558.333333333336</v>
      </c>
      <c r="F298" s="62">
        <f>E298-E299</f>
        <v>-132241.66666666666</v>
      </c>
    </row>
    <row r="299" spans="1:6" x14ac:dyDescent="0.2">
      <c r="A299" s="15"/>
      <c r="B299" s="15" t="s">
        <v>1104</v>
      </c>
      <c r="C299" s="16">
        <v>2450</v>
      </c>
      <c r="D299" s="15">
        <v>64</v>
      </c>
      <c r="E299" s="16">
        <v>156800</v>
      </c>
      <c r="F299" s="62">
        <f>E299-E299</f>
        <v>0</v>
      </c>
    </row>
    <row r="300" spans="1:6" x14ac:dyDescent="0.15">
      <c r="A300" s="15" t="s">
        <v>882</v>
      </c>
      <c r="B300" s="137" t="s">
        <v>476</v>
      </c>
      <c r="C300" s="149">
        <v>50.03</v>
      </c>
      <c r="D300" s="135">
        <v>70</v>
      </c>
      <c r="E300" s="136">
        <v>3502.1</v>
      </c>
      <c r="F300" s="62">
        <f>E300-E301</f>
        <v>-21713.9</v>
      </c>
    </row>
    <row r="301" spans="1:6" x14ac:dyDescent="0.2">
      <c r="A301" s="15"/>
      <c r="B301" s="15" t="s">
        <v>1217</v>
      </c>
      <c r="C301" s="16">
        <v>6304</v>
      </c>
      <c r="D301" s="15">
        <v>4</v>
      </c>
      <c r="E301" s="16">
        <v>25216</v>
      </c>
      <c r="F301" s="62">
        <f>E301-E301</f>
        <v>0</v>
      </c>
    </row>
    <row r="302" spans="1:6" x14ac:dyDescent="0.2">
      <c r="A302" s="15" t="s">
        <v>882</v>
      </c>
      <c r="B302" s="144" t="s">
        <v>874</v>
      </c>
      <c r="C302" s="155">
        <v>20.18</v>
      </c>
      <c r="D302" s="140">
        <v>604</v>
      </c>
      <c r="E302" s="136">
        <v>12188.72</v>
      </c>
      <c r="F302" s="62">
        <f>E302-E303</f>
        <v>2098.7199999999993</v>
      </c>
    </row>
    <row r="303" spans="1:6" x14ac:dyDescent="0.2">
      <c r="A303" s="15"/>
      <c r="B303" s="15" t="s">
        <v>941</v>
      </c>
      <c r="C303" s="16">
        <v>10090</v>
      </c>
      <c r="D303" s="15">
        <v>1</v>
      </c>
      <c r="E303" s="16">
        <v>10090</v>
      </c>
      <c r="F303" s="62">
        <f>E303-E303</f>
        <v>0</v>
      </c>
    </row>
    <row r="304" spans="1:6" x14ac:dyDescent="0.2">
      <c r="A304" s="15" t="s">
        <v>882</v>
      </c>
      <c r="B304" s="139" t="s">
        <v>97</v>
      </c>
      <c r="C304" s="150">
        <v>5.18</v>
      </c>
      <c r="D304" s="140">
        <v>928.57142857142867</v>
      </c>
      <c r="E304" s="136">
        <v>4810</v>
      </c>
      <c r="F304" s="62">
        <f>E304-E305</f>
        <v>-46990</v>
      </c>
    </row>
    <row r="305" spans="1:6" x14ac:dyDescent="0.2">
      <c r="A305" s="15"/>
      <c r="B305" s="15" t="s">
        <v>942</v>
      </c>
      <c r="C305" s="16">
        <v>2590</v>
      </c>
      <c r="D305" s="15">
        <v>20</v>
      </c>
      <c r="E305" s="16">
        <v>51800</v>
      </c>
      <c r="F305" s="62">
        <f>E305-E305</f>
        <v>0</v>
      </c>
    </row>
    <row r="306" spans="1:6" x14ac:dyDescent="0.2">
      <c r="A306" s="15" t="s">
        <v>882</v>
      </c>
      <c r="B306" s="139" t="s">
        <v>98</v>
      </c>
      <c r="C306" s="150">
        <v>9.09</v>
      </c>
      <c r="D306" s="135">
        <v>992.85714285714289</v>
      </c>
      <c r="E306" s="136">
        <v>9025.0714285714294</v>
      </c>
      <c r="F306" s="62">
        <f>E306-E307</f>
        <v>-81874.928571428565</v>
      </c>
    </row>
    <row r="307" spans="1:6" x14ac:dyDescent="0.2">
      <c r="A307" s="15"/>
      <c r="B307" s="15" t="s">
        <v>943</v>
      </c>
      <c r="C307" s="16">
        <v>4545</v>
      </c>
      <c r="D307" s="15">
        <v>20</v>
      </c>
      <c r="E307" s="16">
        <v>90900</v>
      </c>
      <c r="F307" s="62">
        <f>E307-E307</f>
        <v>0</v>
      </c>
    </row>
    <row r="308" spans="1:6" x14ac:dyDescent="0.2">
      <c r="A308" s="141" t="s">
        <v>882</v>
      </c>
      <c r="B308" s="141"/>
      <c r="C308" s="136"/>
      <c r="D308" s="141"/>
      <c r="E308" s="136"/>
      <c r="F308" s="62">
        <f>E308-E309</f>
        <v>-8730</v>
      </c>
    </row>
    <row r="309" spans="1:6" x14ac:dyDescent="0.2">
      <c r="A309" s="15"/>
      <c r="B309" s="15" t="s">
        <v>1164</v>
      </c>
      <c r="C309" s="16">
        <v>4365</v>
      </c>
      <c r="D309" s="15">
        <v>2</v>
      </c>
      <c r="E309" s="16">
        <v>8730</v>
      </c>
      <c r="F309" s="62">
        <f>E309-E309</f>
        <v>0</v>
      </c>
    </row>
    <row r="310" spans="1:6" x14ac:dyDescent="0.15">
      <c r="A310" s="15" t="s">
        <v>882</v>
      </c>
      <c r="B310" s="137" t="s">
        <v>99</v>
      </c>
      <c r="C310" s="149">
        <v>9.16</v>
      </c>
      <c r="D310" s="140">
        <v>1291.5384615384614</v>
      </c>
      <c r="E310" s="136">
        <v>11830.492307692308</v>
      </c>
      <c r="F310" s="62">
        <f>E310-E311</f>
        <v>3586.4923076923078</v>
      </c>
    </row>
    <row r="311" spans="1:6" x14ac:dyDescent="0.2">
      <c r="A311" s="15"/>
      <c r="B311" s="15" t="s">
        <v>1190</v>
      </c>
      <c r="C311" s="16">
        <v>916</v>
      </c>
      <c r="D311" s="15">
        <v>9</v>
      </c>
      <c r="E311" s="16">
        <v>8244</v>
      </c>
      <c r="F311" s="62">
        <f>E311-E311</f>
        <v>0</v>
      </c>
    </row>
    <row r="312" spans="1:6" x14ac:dyDescent="0.15">
      <c r="A312" s="15" t="s">
        <v>882</v>
      </c>
      <c r="B312" s="137" t="s">
        <v>100</v>
      </c>
      <c r="C312" s="149">
        <v>5.97</v>
      </c>
      <c r="D312" s="140">
        <v>1185.9459459459461</v>
      </c>
      <c r="E312" s="136">
        <v>7080.0972972972977</v>
      </c>
      <c r="F312" s="62">
        <f>E312-E313</f>
        <v>-40679.902702702704</v>
      </c>
    </row>
    <row r="313" spans="1:6" x14ac:dyDescent="0.2">
      <c r="A313" s="15"/>
      <c r="B313" s="15" t="s">
        <v>1220</v>
      </c>
      <c r="C313" s="16">
        <v>5970</v>
      </c>
      <c r="D313" s="15">
        <v>8</v>
      </c>
      <c r="E313" s="16">
        <v>47760</v>
      </c>
      <c r="F313" s="62">
        <f>E313-E313</f>
        <v>0</v>
      </c>
    </row>
    <row r="314" spans="1:6" x14ac:dyDescent="0.15">
      <c r="A314" s="15" t="s">
        <v>882</v>
      </c>
      <c r="B314" s="137" t="s">
        <v>101</v>
      </c>
      <c r="C314" s="149">
        <v>6.09</v>
      </c>
      <c r="D314" s="140">
        <v>1053.3333333333333</v>
      </c>
      <c r="E314" s="136">
        <v>6414.7999999999993</v>
      </c>
      <c r="F314" s="62">
        <f>E314-E315</f>
        <v>-145835.20000000001</v>
      </c>
    </row>
    <row r="315" spans="1:6" x14ac:dyDescent="0.2">
      <c r="A315" s="15"/>
      <c r="B315" s="15" t="s">
        <v>964</v>
      </c>
      <c r="C315" s="16"/>
      <c r="D315" s="15"/>
      <c r="E315" s="16">
        <v>152250</v>
      </c>
      <c r="F315" s="62">
        <f>E315-E315</f>
        <v>0</v>
      </c>
    </row>
    <row r="316" spans="1:6" x14ac:dyDescent="0.2">
      <c r="A316" s="15" t="s">
        <v>882</v>
      </c>
      <c r="B316" s="139" t="s">
        <v>376</v>
      </c>
      <c r="C316" s="150">
        <v>28.5</v>
      </c>
      <c r="D316" s="140">
        <v>118</v>
      </c>
      <c r="E316" s="136">
        <v>3363</v>
      </c>
      <c r="F316" s="62">
        <f>E316-E317</f>
        <v>-18042</v>
      </c>
    </row>
    <row r="317" spans="1:6" x14ac:dyDescent="0.2">
      <c r="A317" s="15"/>
      <c r="B317" s="15" t="s">
        <v>963</v>
      </c>
      <c r="C317" s="16">
        <v>1427</v>
      </c>
      <c r="D317" s="15">
        <v>15</v>
      </c>
      <c r="E317" s="16">
        <v>21405</v>
      </c>
      <c r="F317" s="62">
        <f>E317-E317</f>
        <v>0</v>
      </c>
    </row>
    <row r="318" spans="1:6" x14ac:dyDescent="0.15">
      <c r="A318" s="15" t="s">
        <v>882</v>
      </c>
      <c r="B318" s="137" t="s">
        <v>447</v>
      </c>
      <c r="C318" s="149">
        <v>187</v>
      </c>
      <c r="D318" s="140">
        <v>9</v>
      </c>
      <c r="E318" s="136">
        <v>1683</v>
      </c>
      <c r="F318" s="62">
        <f>E318-E319</f>
        <v>-3927</v>
      </c>
    </row>
    <row r="319" spans="1:6" x14ac:dyDescent="0.2">
      <c r="A319" s="15"/>
      <c r="B319" s="15" t="s">
        <v>1130</v>
      </c>
      <c r="C319" s="16">
        <v>1870</v>
      </c>
      <c r="D319" s="15">
        <v>3</v>
      </c>
      <c r="E319" s="16">
        <v>5610</v>
      </c>
      <c r="F319" s="62">
        <f>E319-E319</f>
        <v>0</v>
      </c>
    </row>
    <row r="320" spans="1:6" x14ac:dyDescent="0.2">
      <c r="A320" s="15" t="s">
        <v>882</v>
      </c>
      <c r="B320" s="139" t="s">
        <v>318</v>
      </c>
      <c r="C320" s="150">
        <v>52.1</v>
      </c>
      <c r="D320" s="140">
        <v>0</v>
      </c>
      <c r="E320" s="136">
        <v>0</v>
      </c>
      <c r="F320" s="62">
        <f>E320-E321</f>
        <v>0</v>
      </c>
    </row>
    <row r="321" spans="1:6" x14ac:dyDescent="0.2">
      <c r="A321" s="15"/>
      <c r="B321" s="17"/>
      <c r="C321" s="154"/>
      <c r="D321" s="99"/>
      <c r="E321" s="122"/>
      <c r="F321" s="62">
        <f>E321-E321</f>
        <v>0</v>
      </c>
    </row>
    <row r="322" spans="1:6" x14ac:dyDescent="0.15">
      <c r="A322" s="15" t="s">
        <v>882</v>
      </c>
      <c r="B322" s="137" t="s">
        <v>278</v>
      </c>
      <c r="C322" s="149">
        <v>1702</v>
      </c>
      <c r="D322" s="135">
        <v>1</v>
      </c>
      <c r="E322" s="136">
        <v>1702</v>
      </c>
      <c r="F322" s="62">
        <f>E322-E323</f>
        <v>-6808</v>
      </c>
    </row>
    <row r="323" spans="1:6" x14ac:dyDescent="0.2">
      <c r="A323" s="15"/>
      <c r="B323" s="15" t="s">
        <v>1232</v>
      </c>
      <c r="C323" s="16">
        <v>1702</v>
      </c>
      <c r="D323" s="15">
        <v>5</v>
      </c>
      <c r="E323" s="16">
        <v>8510</v>
      </c>
      <c r="F323" s="62">
        <f>E323-E323</f>
        <v>0</v>
      </c>
    </row>
    <row r="324" spans="1:6" x14ac:dyDescent="0.15">
      <c r="A324" s="15" t="s">
        <v>882</v>
      </c>
      <c r="B324" s="137" t="s">
        <v>102</v>
      </c>
      <c r="C324" s="149">
        <v>20.58</v>
      </c>
      <c r="D324" s="140">
        <v>121</v>
      </c>
      <c r="E324" s="136">
        <v>2490.1799999999998</v>
      </c>
      <c r="F324" s="62">
        <f>E324-E325</f>
        <v>432.17999999999984</v>
      </c>
    </row>
    <row r="325" spans="1:6" x14ac:dyDescent="0.2">
      <c r="A325" s="15"/>
      <c r="B325" s="15" t="s">
        <v>909</v>
      </c>
      <c r="C325" s="16">
        <v>2058</v>
      </c>
      <c r="D325" s="15">
        <v>1</v>
      </c>
      <c r="E325" s="16">
        <v>2058</v>
      </c>
      <c r="F325" s="62">
        <f>E325-E325</f>
        <v>0</v>
      </c>
    </row>
    <row r="326" spans="1:6" x14ac:dyDescent="0.2">
      <c r="A326" s="15" t="s">
        <v>882</v>
      </c>
      <c r="B326" s="139" t="s">
        <v>838</v>
      </c>
      <c r="C326" s="150">
        <v>80.88</v>
      </c>
      <c r="D326" s="135">
        <v>89</v>
      </c>
      <c r="E326" s="136">
        <v>7198.32</v>
      </c>
      <c r="F326" s="62">
        <f>E326-E327</f>
        <v>-791.68000000000029</v>
      </c>
    </row>
    <row r="327" spans="1:6" x14ac:dyDescent="0.2">
      <c r="A327" s="15"/>
      <c r="B327" s="15" t="s">
        <v>1105</v>
      </c>
      <c r="C327" s="16">
        <v>7990</v>
      </c>
      <c r="D327" s="15">
        <v>1</v>
      </c>
      <c r="E327" s="16">
        <v>7990</v>
      </c>
      <c r="F327" s="62">
        <f>E327-E327</f>
        <v>0</v>
      </c>
    </row>
    <row r="328" spans="1:6" x14ac:dyDescent="0.2">
      <c r="A328" s="15" t="s">
        <v>882</v>
      </c>
      <c r="B328" s="139" t="s">
        <v>453</v>
      </c>
      <c r="C328" s="150">
        <v>72.8</v>
      </c>
      <c r="D328" s="140">
        <v>874.4545454545455</v>
      </c>
      <c r="E328" s="136">
        <v>63660.290909090909</v>
      </c>
      <c r="F328" s="62">
        <f>E328-E329</f>
        <v>-1501539.709090909</v>
      </c>
    </row>
    <row r="329" spans="1:6" x14ac:dyDescent="0.2">
      <c r="A329" s="15"/>
      <c r="B329" s="15" t="s">
        <v>1256</v>
      </c>
      <c r="C329" s="16">
        <v>36400</v>
      </c>
      <c r="D329" s="15">
        <v>43</v>
      </c>
      <c r="E329" s="16">
        <v>1565200</v>
      </c>
      <c r="F329" s="62">
        <f>E329-E329</f>
        <v>0</v>
      </c>
    </row>
    <row r="330" spans="1:6" x14ac:dyDescent="0.2">
      <c r="A330" s="15" t="s">
        <v>882</v>
      </c>
      <c r="B330" s="142" t="s">
        <v>21</v>
      </c>
      <c r="C330" s="155">
        <v>121.5</v>
      </c>
      <c r="D330" s="140">
        <v>169</v>
      </c>
      <c r="E330" s="136">
        <v>20533.5</v>
      </c>
      <c r="F330" s="62">
        <f>E330-E331</f>
        <v>-173866.5</v>
      </c>
    </row>
    <row r="331" spans="1:6" x14ac:dyDescent="0.2">
      <c r="A331" s="15"/>
      <c r="B331" s="15" t="s">
        <v>1032</v>
      </c>
      <c r="C331" s="16">
        <v>12150</v>
      </c>
      <c r="D331" s="15">
        <v>16</v>
      </c>
      <c r="E331" s="16">
        <v>194400</v>
      </c>
      <c r="F331" s="62">
        <f>E331-E331</f>
        <v>0</v>
      </c>
    </row>
    <row r="332" spans="1:6" x14ac:dyDescent="0.2">
      <c r="A332" s="15" t="s">
        <v>882</v>
      </c>
      <c r="B332" s="139" t="s">
        <v>105</v>
      </c>
      <c r="C332" s="150">
        <v>16.2</v>
      </c>
      <c r="D332" s="140">
        <v>2331</v>
      </c>
      <c r="E332" s="136">
        <v>37762.199999999997</v>
      </c>
      <c r="F332" s="62">
        <f>E332-E333</f>
        <v>-278137.8</v>
      </c>
    </row>
    <row r="333" spans="1:6" x14ac:dyDescent="0.2">
      <c r="A333" s="15"/>
      <c r="B333" s="15" t="s">
        <v>1033</v>
      </c>
      <c r="C333" s="154"/>
      <c r="D333" s="99"/>
      <c r="E333" s="122">
        <v>315900</v>
      </c>
      <c r="F333" s="62">
        <f>E333-E333</f>
        <v>0</v>
      </c>
    </row>
    <row r="334" spans="1:6" x14ac:dyDescent="0.2">
      <c r="A334" s="15" t="s">
        <v>882</v>
      </c>
      <c r="B334" s="139" t="s">
        <v>103</v>
      </c>
      <c r="C334" s="150">
        <v>6.27</v>
      </c>
      <c r="D334" s="140">
        <v>1375.3333333333333</v>
      </c>
      <c r="E334" s="136">
        <v>8623.3399999999983</v>
      </c>
      <c r="F334" s="62">
        <f>E334-E335</f>
        <v>-114895.66</v>
      </c>
    </row>
    <row r="335" spans="1:6" x14ac:dyDescent="0.2">
      <c r="A335" s="15"/>
      <c r="B335" s="15" t="s">
        <v>1034</v>
      </c>
      <c r="C335" s="154"/>
      <c r="D335" s="99"/>
      <c r="E335" s="122">
        <v>123519</v>
      </c>
      <c r="F335" s="62">
        <f>E335-E335</f>
        <v>0</v>
      </c>
    </row>
    <row r="336" spans="1:6" x14ac:dyDescent="0.2">
      <c r="A336" s="15" t="s">
        <v>882</v>
      </c>
      <c r="B336" s="139" t="s">
        <v>511</v>
      </c>
      <c r="C336" s="150">
        <v>28.31</v>
      </c>
      <c r="D336" s="140">
        <v>1139.1960784313726</v>
      </c>
      <c r="E336" s="136">
        <v>32250.640980392156</v>
      </c>
      <c r="F336" s="62">
        <f>E336-E337</f>
        <v>-262173.35901960783</v>
      </c>
    </row>
    <row r="337" spans="1:7" x14ac:dyDescent="0.2">
      <c r="A337" s="15"/>
      <c r="B337" s="15" t="s">
        <v>1035</v>
      </c>
      <c r="C337" s="154"/>
      <c r="D337" s="99"/>
      <c r="E337" s="122">
        <v>294424</v>
      </c>
      <c r="F337" s="62">
        <f>E337-E337</f>
        <v>0</v>
      </c>
    </row>
    <row r="338" spans="1:7" x14ac:dyDescent="0.2">
      <c r="A338" s="15" t="s">
        <v>882</v>
      </c>
      <c r="B338" s="139" t="s">
        <v>104</v>
      </c>
      <c r="C338" s="150">
        <v>7.5</v>
      </c>
      <c r="D338" s="140">
        <v>2116</v>
      </c>
      <c r="E338" s="136">
        <v>15870</v>
      </c>
      <c r="F338" s="62">
        <f>E338-E339</f>
        <v>-348718</v>
      </c>
      <c r="G338" t="s">
        <v>420</v>
      </c>
    </row>
    <row r="339" spans="1:7" x14ac:dyDescent="0.2">
      <c r="A339" s="15"/>
      <c r="B339" s="15" t="s">
        <v>1036</v>
      </c>
      <c r="C339" s="122"/>
      <c r="D339" s="15"/>
      <c r="E339" s="122">
        <v>364588</v>
      </c>
      <c r="F339" s="62">
        <f>E339-E339</f>
        <v>0</v>
      </c>
    </row>
    <row r="340" spans="1:7" x14ac:dyDescent="0.2">
      <c r="A340" s="15" t="s">
        <v>882</v>
      </c>
      <c r="B340" s="139" t="s">
        <v>876</v>
      </c>
      <c r="C340" s="150">
        <v>2527</v>
      </c>
      <c r="D340" s="135">
        <v>1</v>
      </c>
      <c r="E340" s="136">
        <v>2527</v>
      </c>
      <c r="F340" s="62">
        <f>E340-E341</f>
        <v>-31241</v>
      </c>
    </row>
    <row r="341" spans="1:7" x14ac:dyDescent="0.2">
      <c r="A341" s="15"/>
      <c r="B341" s="15" t="s">
        <v>1140</v>
      </c>
      <c r="C341" s="16">
        <v>11256</v>
      </c>
      <c r="D341" s="15">
        <v>3</v>
      </c>
      <c r="E341" s="16">
        <v>33768</v>
      </c>
      <c r="F341" s="62">
        <f>E341-E341</f>
        <v>0</v>
      </c>
    </row>
    <row r="342" spans="1:7" x14ac:dyDescent="0.2">
      <c r="A342" s="15" t="s">
        <v>882</v>
      </c>
      <c r="B342" s="139" t="s">
        <v>106</v>
      </c>
      <c r="C342" s="150">
        <v>97.24</v>
      </c>
      <c r="D342" s="135">
        <v>600</v>
      </c>
      <c r="E342" s="136">
        <v>58344</v>
      </c>
      <c r="F342" s="62">
        <f>E342-E343</f>
        <v>-1935104</v>
      </c>
    </row>
    <row r="343" spans="1:7" x14ac:dyDescent="0.2">
      <c r="A343" s="15"/>
      <c r="B343" s="15" t="s">
        <v>1413</v>
      </c>
      <c r="C343" s="16">
        <v>48621</v>
      </c>
      <c r="D343" s="15">
        <v>28</v>
      </c>
      <c r="E343" s="16">
        <v>1993448</v>
      </c>
      <c r="F343" s="62">
        <f>E343-E343</f>
        <v>0</v>
      </c>
    </row>
    <row r="344" spans="1:7" x14ac:dyDescent="0.2">
      <c r="A344" s="15" t="s">
        <v>882</v>
      </c>
      <c r="B344" s="139" t="s">
        <v>622</v>
      </c>
      <c r="C344" s="150">
        <v>2001.8</v>
      </c>
      <c r="D344" s="135">
        <v>7</v>
      </c>
      <c r="E344" s="136">
        <v>14012.6</v>
      </c>
      <c r="F344" s="62">
        <f>E344-E345</f>
        <v>14012.6</v>
      </c>
    </row>
    <row r="345" spans="1:7" x14ac:dyDescent="0.2">
      <c r="A345" s="15"/>
      <c r="B345" s="15"/>
      <c r="C345" s="16"/>
      <c r="D345" s="15"/>
      <c r="E345" s="16"/>
      <c r="F345" s="62">
        <f>E345-E345</f>
        <v>0</v>
      </c>
    </row>
    <row r="346" spans="1:7" x14ac:dyDescent="0.2">
      <c r="A346" s="15" t="s">
        <v>882</v>
      </c>
      <c r="B346" s="142" t="s">
        <v>468</v>
      </c>
      <c r="C346" s="155">
        <v>18.97</v>
      </c>
      <c r="D346" s="140">
        <v>37</v>
      </c>
      <c r="E346" s="136">
        <v>701.89</v>
      </c>
      <c r="F346" s="62">
        <f>E346-E347</f>
        <v>-20165.11</v>
      </c>
    </row>
    <row r="347" spans="1:7" x14ac:dyDescent="0.2">
      <c r="A347" s="15"/>
      <c r="B347" s="15" t="s">
        <v>1106</v>
      </c>
      <c r="C347" s="16">
        <v>1897</v>
      </c>
      <c r="D347" s="15">
        <v>11</v>
      </c>
      <c r="E347" s="16">
        <v>20867</v>
      </c>
      <c r="F347" s="62">
        <f>E347-E347</f>
        <v>0</v>
      </c>
    </row>
    <row r="348" spans="1:7" x14ac:dyDescent="0.2">
      <c r="A348" s="15" t="s">
        <v>882</v>
      </c>
      <c r="B348" s="139" t="s">
        <v>513</v>
      </c>
      <c r="C348" s="150">
        <v>12.1</v>
      </c>
      <c r="D348" s="135">
        <v>2355.5555555555557</v>
      </c>
      <c r="E348" s="136">
        <v>28502.222222222223</v>
      </c>
      <c r="F348" s="62">
        <f>E348-E349</f>
        <v>-73217.777777777781</v>
      </c>
    </row>
    <row r="349" spans="1:7" x14ac:dyDescent="0.2">
      <c r="A349" s="15"/>
      <c r="B349" s="15" t="s">
        <v>1107</v>
      </c>
      <c r="C349" s="154"/>
      <c r="D349" s="147"/>
      <c r="E349" s="122">
        <v>101720</v>
      </c>
      <c r="F349" s="62">
        <f>E349-E349</f>
        <v>0</v>
      </c>
    </row>
    <row r="350" spans="1:7" x14ac:dyDescent="0.2">
      <c r="A350" s="15" t="s">
        <v>882</v>
      </c>
      <c r="B350" s="139" t="s">
        <v>514</v>
      </c>
      <c r="C350" s="150">
        <v>15.59</v>
      </c>
      <c r="D350" s="135">
        <v>100</v>
      </c>
      <c r="E350" s="136">
        <v>1559</v>
      </c>
      <c r="F350" s="62">
        <f>E350-E351</f>
        <v>-62360</v>
      </c>
    </row>
    <row r="351" spans="1:7" x14ac:dyDescent="0.2">
      <c r="A351" s="15"/>
      <c r="B351" s="15" t="s">
        <v>1108</v>
      </c>
      <c r="C351" s="16">
        <v>1559</v>
      </c>
      <c r="D351" s="15">
        <v>41</v>
      </c>
      <c r="E351" s="16">
        <v>63919</v>
      </c>
      <c r="F351" s="62">
        <f>E351-E351</f>
        <v>0</v>
      </c>
    </row>
    <row r="352" spans="1:7" x14ac:dyDescent="0.2">
      <c r="A352" s="15" t="s">
        <v>882</v>
      </c>
      <c r="B352" s="139" t="s">
        <v>107</v>
      </c>
      <c r="C352" s="150">
        <v>27.27</v>
      </c>
      <c r="D352" s="140">
        <v>858</v>
      </c>
      <c r="E352" s="136">
        <v>23397.66</v>
      </c>
      <c r="F352" s="62">
        <f>E352-E353</f>
        <v>15216.66</v>
      </c>
    </row>
    <row r="353" spans="1:6" x14ac:dyDescent="0.2">
      <c r="A353" s="15"/>
      <c r="B353" s="15" t="s">
        <v>1465</v>
      </c>
      <c r="C353" s="16">
        <v>2727</v>
      </c>
      <c r="D353" s="15">
        <v>3</v>
      </c>
      <c r="E353" s="16">
        <v>8181</v>
      </c>
      <c r="F353" s="62">
        <f>E353-E353</f>
        <v>0</v>
      </c>
    </row>
    <row r="354" spans="1:6" x14ac:dyDescent="0.15">
      <c r="A354" s="15" t="s">
        <v>882</v>
      </c>
      <c r="B354" s="137" t="s">
        <v>108</v>
      </c>
      <c r="C354" s="149">
        <v>32.03</v>
      </c>
      <c r="D354" s="140">
        <v>401</v>
      </c>
      <c r="E354" s="136">
        <v>12844.03</v>
      </c>
      <c r="F354" s="62">
        <f>E354-E355</f>
        <v>-48012.97</v>
      </c>
    </row>
    <row r="355" spans="1:6" x14ac:dyDescent="0.2">
      <c r="A355" s="15"/>
      <c r="B355" s="15" t="s">
        <v>1447</v>
      </c>
      <c r="C355" s="16">
        <v>3203</v>
      </c>
      <c r="D355" s="15">
        <v>19</v>
      </c>
      <c r="E355" s="16">
        <v>60857</v>
      </c>
      <c r="F355" s="62">
        <f>E355-E355</f>
        <v>0</v>
      </c>
    </row>
    <row r="356" spans="1:6" x14ac:dyDescent="0.15">
      <c r="A356" s="15" t="s">
        <v>882</v>
      </c>
      <c r="B356" s="137" t="s">
        <v>515</v>
      </c>
      <c r="C356" s="149">
        <v>8.1</v>
      </c>
      <c r="D356" s="140">
        <v>234</v>
      </c>
      <c r="E356" s="136">
        <v>1895.3999999999999</v>
      </c>
      <c r="F356" s="62">
        <f>E356-E357</f>
        <v>-6204.6</v>
      </c>
    </row>
    <row r="357" spans="1:6" x14ac:dyDescent="0.2">
      <c r="A357" s="15"/>
      <c r="B357" s="15" t="s">
        <v>910</v>
      </c>
      <c r="C357" s="16">
        <v>810</v>
      </c>
      <c r="D357" s="15">
        <v>10</v>
      </c>
      <c r="E357" s="16">
        <v>8100</v>
      </c>
      <c r="F357" s="62">
        <f>E357-E357</f>
        <v>0</v>
      </c>
    </row>
    <row r="358" spans="1:6" x14ac:dyDescent="0.15">
      <c r="A358" s="15" t="s">
        <v>882</v>
      </c>
      <c r="B358" s="137" t="s">
        <v>319</v>
      </c>
      <c r="C358" s="149">
        <v>272.60000000000002</v>
      </c>
      <c r="D358" s="140">
        <v>11</v>
      </c>
      <c r="E358" s="136">
        <v>2998.6000000000004</v>
      </c>
      <c r="F358" s="62">
        <f>E358-E359</f>
        <v>-2453.3999999999996</v>
      </c>
    </row>
    <row r="359" spans="1:6" x14ac:dyDescent="0.2">
      <c r="A359" s="15"/>
      <c r="B359" s="15" t="s">
        <v>1425</v>
      </c>
      <c r="C359" s="16">
        <v>2726</v>
      </c>
      <c r="D359" s="15">
        <v>2</v>
      </c>
      <c r="E359" s="16">
        <v>5452</v>
      </c>
      <c r="F359" s="62">
        <f>E359-E359</f>
        <v>0</v>
      </c>
    </row>
    <row r="360" spans="1:6" x14ac:dyDescent="0.2">
      <c r="A360" s="15" t="s">
        <v>882</v>
      </c>
      <c r="B360" s="139" t="s">
        <v>714</v>
      </c>
      <c r="C360" s="150">
        <v>100.7</v>
      </c>
      <c r="D360" s="135">
        <v>228</v>
      </c>
      <c r="E360" s="136">
        <v>22959.600000000002</v>
      </c>
      <c r="F360" s="62">
        <f>E360-E361</f>
        <v>-1137104.3999999999</v>
      </c>
    </row>
    <row r="361" spans="1:6" x14ac:dyDescent="0.2">
      <c r="A361" s="15"/>
      <c r="B361" s="15" t="s">
        <v>1257</v>
      </c>
      <c r="C361" s="16">
        <v>1007</v>
      </c>
      <c r="D361" s="15">
        <v>1152</v>
      </c>
      <c r="E361" s="16">
        <v>1160064</v>
      </c>
      <c r="F361" s="62">
        <f>E361-E361</f>
        <v>0</v>
      </c>
    </row>
    <row r="362" spans="1:6" x14ac:dyDescent="0.2">
      <c r="A362" s="15" t="s">
        <v>882</v>
      </c>
      <c r="B362" s="139" t="s">
        <v>109</v>
      </c>
      <c r="C362" s="150">
        <v>5.08</v>
      </c>
      <c r="D362" s="135">
        <v>1308</v>
      </c>
      <c r="E362" s="136">
        <v>6644.64</v>
      </c>
      <c r="F362" s="62">
        <f>E362-E363</f>
        <v>-23835.360000000001</v>
      </c>
    </row>
    <row r="363" spans="1:6" x14ac:dyDescent="0.2">
      <c r="A363" s="15"/>
      <c r="B363" s="15" t="s">
        <v>1404</v>
      </c>
      <c r="C363" s="16">
        <v>5080</v>
      </c>
      <c r="D363" s="15">
        <v>6</v>
      </c>
      <c r="E363" s="16">
        <v>30480</v>
      </c>
      <c r="F363" s="62">
        <f>E363-E363</f>
        <v>0</v>
      </c>
    </row>
    <row r="364" spans="1:6" x14ac:dyDescent="0.2">
      <c r="A364" s="15" t="s">
        <v>882</v>
      </c>
      <c r="B364" s="139" t="s">
        <v>783</v>
      </c>
      <c r="C364" s="150">
        <v>8.1999999999999993</v>
      </c>
      <c r="D364" s="140">
        <v>377.77777777777777</v>
      </c>
      <c r="E364" s="136">
        <v>3097.7777777777774</v>
      </c>
      <c r="F364" s="62">
        <f>E364-E365</f>
        <v>-57582.222222222219</v>
      </c>
    </row>
    <row r="365" spans="1:6" x14ac:dyDescent="0.2">
      <c r="A365" s="15"/>
      <c r="B365" s="15" t="s">
        <v>1414</v>
      </c>
      <c r="C365" s="16">
        <v>2460</v>
      </c>
      <c r="D365" s="15">
        <v>13</v>
      </c>
      <c r="E365" s="16">
        <v>60680</v>
      </c>
      <c r="F365" s="62">
        <f>E365-E365</f>
        <v>0</v>
      </c>
    </row>
    <row r="366" spans="1:6" x14ac:dyDescent="0.2">
      <c r="A366" s="15" t="s">
        <v>882</v>
      </c>
      <c r="B366" s="139" t="s">
        <v>320</v>
      </c>
      <c r="C366" s="150">
        <v>247.2</v>
      </c>
      <c r="D366" s="140">
        <v>14</v>
      </c>
      <c r="E366" s="136">
        <v>3460.7999999999997</v>
      </c>
      <c r="F366" s="62">
        <f>E366-E367</f>
        <v>3460.7999999999997</v>
      </c>
    </row>
    <row r="367" spans="1:6" x14ac:dyDescent="0.2">
      <c r="A367" s="15"/>
      <c r="B367" s="17"/>
      <c r="C367" s="154"/>
      <c r="D367" s="99"/>
      <c r="E367" s="122"/>
      <c r="F367" s="62">
        <f>E367-E367</f>
        <v>0</v>
      </c>
    </row>
    <row r="368" spans="1:6" x14ac:dyDescent="0.15">
      <c r="A368" s="15" t="s">
        <v>882</v>
      </c>
      <c r="B368" s="137" t="s">
        <v>741</v>
      </c>
      <c r="C368" s="149">
        <v>4497.2</v>
      </c>
      <c r="D368" s="135">
        <v>3</v>
      </c>
      <c r="E368" s="136">
        <v>13491.599999999999</v>
      </c>
      <c r="F368" s="62">
        <f>E368-E369</f>
        <v>-31480.400000000001</v>
      </c>
    </row>
    <row r="369" spans="1:6" x14ac:dyDescent="0.2">
      <c r="A369" s="15"/>
      <c r="B369" s="15" t="s">
        <v>1483</v>
      </c>
      <c r="C369" s="16">
        <v>22486</v>
      </c>
      <c r="D369" s="15">
        <v>2</v>
      </c>
      <c r="E369" s="16">
        <v>44972</v>
      </c>
      <c r="F369" s="62">
        <f>E369-E369</f>
        <v>0</v>
      </c>
    </row>
    <row r="370" spans="1:6" x14ac:dyDescent="0.2">
      <c r="A370" s="15" t="s">
        <v>882</v>
      </c>
      <c r="B370" s="137" t="s">
        <v>472</v>
      </c>
      <c r="C370" s="149">
        <v>93.26</v>
      </c>
      <c r="D370" s="138">
        <v>84</v>
      </c>
      <c r="E370" s="136">
        <v>7833.84</v>
      </c>
      <c r="F370" s="62">
        <f>E370-E371</f>
        <v>7833.84</v>
      </c>
    </row>
    <row r="371" spans="1:6" x14ac:dyDescent="0.2">
      <c r="A371" s="15"/>
      <c r="B371" s="20"/>
      <c r="C371" s="152"/>
      <c r="D371" s="146"/>
      <c r="E371" s="122"/>
      <c r="F371" s="62">
        <f>E371-E371</f>
        <v>0</v>
      </c>
    </row>
    <row r="372" spans="1:6" x14ac:dyDescent="0.2">
      <c r="A372" s="15" t="s">
        <v>882</v>
      </c>
      <c r="B372" s="139" t="s">
        <v>825</v>
      </c>
      <c r="C372" s="150">
        <v>11.38</v>
      </c>
      <c r="D372" s="135">
        <v>188</v>
      </c>
      <c r="E372" s="136">
        <v>2139.44</v>
      </c>
      <c r="F372" s="62">
        <f>E372-E373</f>
        <v>-11516.56</v>
      </c>
    </row>
    <row r="373" spans="1:6" x14ac:dyDescent="0.2">
      <c r="A373" s="15"/>
      <c r="B373" s="15" t="s">
        <v>1399</v>
      </c>
      <c r="C373" s="16">
        <v>1138</v>
      </c>
      <c r="D373" s="15">
        <v>12</v>
      </c>
      <c r="E373" s="16">
        <v>13656</v>
      </c>
      <c r="F373" s="62">
        <f>E373-E373</f>
        <v>0</v>
      </c>
    </row>
    <row r="374" spans="1:6" x14ac:dyDescent="0.2">
      <c r="A374" s="15" t="s">
        <v>882</v>
      </c>
      <c r="B374" s="139" t="s">
        <v>516</v>
      </c>
      <c r="C374" s="150">
        <v>27.69</v>
      </c>
      <c r="D374" s="140">
        <v>350</v>
      </c>
      <c r="E374" s="136">
        <v>9691.5</v>
      </c>
      <c r="F374" s="62">
        <f>E374-E375</f>
        <v>-153679.5</v>
      </c>
    </row>
    <row r="375" spans="1:6" x14ac:dyDescent="0.2">
      <c r="A375" s="15"/>
      <c r="B375" s="15" t="s">
        <v>1400</v>
      </c>
      <c r="C375" s="16">
        <v>2769</v>
      </c>
      <c r="D375" s="15">
        <v>59</v>
      </c>
      <c r="E375" s="16">
        <v>163371</v>
      </c>
      <c r="F375" s="62">
        <f>E375-E375</f>
        <v>0</v>
      </c>
    </row>
    <row r="376" spans="1:6" x14ac:dyDescent="0.15">
      <c r="A376" s="15" t="s">
        <v>882</v>
      </c>
      <c r="B376" s="137" t="s">
        <v>110</v>
      </c>
      <c r="C376" s="149">
        <v>15.77</v>
      </c>
      <c r="D376" s="135">
        <v>166</v>
      </c>
      <c r="E376" s="136">
        <v>2617.8199999999997</v>
      </c>
      <c r="F376" s="62">
        <f>E376-E377</f>
        <v>-3690.1800000000003</v>
      </c>
    </row>
    <row r="377" spans="1:6" x14ac:dyDescent="0.2">
      <c r="A377" s="15"/>
      <c r="B377" s="15" t="s">
        <v>985</v>
      </c>
      <c r="C377" s="16">
        <v>1577</v>
      </c>
      <c r="D377" s="15">
        <v>4</v>
      </c>
      <c r="E377" s="16">
        <v>6308</v>
      </c>
      <c r="F377" s="62">
        <f>E377-E377</f>
        <v>0</v>
      </c>
    </row>
    <row r="378" spans="1:6" x14ac:dyDescent="0.15">
      <c r="A378" s="15" t="s">
        <v>882</v>
      </c>
      <c r="B378" s="137" t="s">
        <v>279</v>
      </c>
      <c r="C378" s="149">
        <v>63.88</v>
      </c>
      <c r="D378" s="135">
        <v>53</v>
      </c>
      <c r="E378" s="136">
        <v>3385.6400000000003</v>
      </c>
      <c r="F378" s="62">
        <f>E378-E379</f>
        <v>-3002.3599999999997</v>
      </c>
    </row>
    <row r="379" spans="1:6" x14ac:dyDescent="0.2">
      <c r="A379" s="15"/>
      <c r="B379" s="15" t="s">
        <v>1293</v>
      </c>
      <c r="C379" s="16">
        <v>6388</v>
      </c>
      <c r="D379" s="15">
        <v>1</v>
      </c>
      <c r="E379" s="16">
        <v>6388</v>
      </c>
      <c r="F379" s="62">
        <f>E379-E379</f>
        <v>0</v>
      </c>
    </row>
    <row r="380" spans="1:6" x14ac:dyDescent="0.15">
      <c r="A380" s="15" t="s">
        <v>882</v>
      </c>
      <c r="B380" s="137" t="s">
        <v>294</v>
      </c>
      <c r="C380" s="149">
        <v>179.6</v>
      </c>
      <c r="D380" s="135">
        <v>10</v>
      </c>
      <c r="E380" s="136">
        <v>1796</v>
      </c>
      <c r="F380" s="62">
        <f>E380-E381</f>
        <v>-1796</v>
      </c>
    </row>
    <row r="381" spans="1:6" x14ac:dyDescent="0.2">
      <c r="A381" s="15"/>
      <c r="B381" s="15" t="s">
        <v>1141</v>
      </c>
      <c r="C381" s="16">
        <v>898</v>
      </c>
      <c r="D381" s="15">
        <v>4</v>
      </c>
      <c r="E381" s="16">
        <v>3592</v>
      </c>
      <c r="F381" s="62">
        <f>E381-E381</f>
        <v>0</v>
      </c>
    </row>
    <row r="382" spans="1:6" x14ac:dyDescent="0.15">
      <c r="A382" s="15" t="s">
        <v>882</v>
      </c>
      <c r="B382" s="137" t="s">
        <v>321</v>
      </c>
      <c r="C382" s="149">
        <v>55</v>
      </c>
      <c r="D382" s="140">
        <v>10</v>
      </c>
      <c r="E382" s="136">
        <v>550</v>
      </c>
      <c r="F382" s="62">
        <f>E382-E383</f>
        <v>550</v>
      </c>
    </row>
    <row r="383" spans="1:6" x14ac:dyDescent="0.15">
      <c r="A383" s="15"/>
      <c r="B383" s="20"/>
      <c r="C383" s="152"/>
      <c r="D383" s="99"/>
      <c r="E383" s="122"/>
      <c r="F383" s="62">
        <f>E383-E383</f>
        <v>0</v>
      </c>
    </row>
    <row r="384" spans="1:6" x14ac:dyDescent="0.2">
      <c r="A384" s="15" t="s">
        <v>882</v>
      </c>
      <c r="B384" s="139" t="s">
        <v>280</v>
      </c>
      <c r="C384" s="150">
        <v>1140</v>
      </c>
      <c r="D384" s="135">
        <v>2</v>
      </c>
      <c r="E384" s="136">
        <v>2280</v>
      </c>
      <c r="F384" s="62">
        <f>E384-E385</f>
        <v>-98040</v>
      </c>
    </row>
    <row r="385" spans="1:6" x14ac:dyDescent="0.2">
      <c r="A385" s="15"/>
      <c r="B385" s="15" t="s">
        <v>1306</v>
      </c>
      <c r="C385" s="16">
        <v>1140</v>
      </c>
      <c r="D385" s="15">
        <v>88</v>
      </c>
      <c r="E385" s="16">
        <v>100320</v>
      </c>
      <c r="F385" s="62">
        <f>E385-E385</f>
        <v>0</v>
      </c>
    </row>
    <row r="386" spans="1:6" x14ac:dyDescent="0.15">
      <c r="A386" s="15" t="s">
        <v>882</v>
      </c>
      <c r="B386" s="137" t="s">
        <v>742</v>
      </c>
      <c r="C386" s="149">
        <v>208.8</v>
      </c>
      <c r="D386" s="135">
        <v>7</v>
      </c>
      <c r="E386" s="136">
        <v>1461.6000000000001</v>
      </c>
      <c r="F386" s="62">
        <f>E386-E387</f>
        <v>-2714.3999999999996</v>
      </c>
    </row>
    <row r="387" spans="1:6" x14ac:dyDescent="0.2">
      <c r="A387" s="15"/>
      <c r="B387" s="15" t="s">
        <v>1155</v>
      </c>
      <c r="C387" s="16">
        <v>2088</v>
      </c>
      <c r="D387" s="15">
        <v>2</v>
      </c>
      <c r="E387" s="16">
        <v>4176</v>
      </c>
      <c r="F387" s="62">
        <f>E387-E387</f>
        <v>0</v>
      </c>
    </row>
    <row r="388" spans="1:6" x14ac:dyDescent="0.2">
      <c r="A388" s="15" t="s">
        <v>882</v>
      </c>
      <c r="B388" s="139" t="s">
        <v>432</v>
      </c>
      <c r="C388" s="149">
        <v>72.3</v>
      </c>
      <c r="D388" s="140">
        <v>145</v>
      </c>
      <c r="E388" s="136">
        <v>10483.5</v>
      </c>
      <c r="F388" s="62">
        <f>E388-E389</f>
        <v>-32950.5</v>
      </c>
    </row>
    <row r="389" spans="1:6" x14ac:dyDescent="0.2">
      <c r="A389" s="15"/>
      <c r="B389" s="15" t="s">
        <v>1313</v>
      </c>
      <c r="C389" s="16">
        <v>7239</v>
      </c>
      <c r="D389" s="15">
        <v>6</v>
      </c>
      <c r="E389" s="16">
        <v>43434</v>
      </c>
      <c r="F389" s="62">
        <f>E389-E389</f>
        <v>0</v>
      </c>
    </row>
    <row r="390" spans="1:6" x14ac:dyDescent="0.2">
      <c r="A390" s="141" t="s">
        <v>1502</v>
      </c>
      <c r="B390" s="141"/>
      <c r="C390" s="136"/>
      <c r="D390" s="141"/>
      <c r="E390" s="136"/>
      <c r="F390" s="62">
        <f>E390-E391</f>
        <v>-4972</v>
      </c>
    </row>
    <row r="391" spans="1:6" x14ac:dyDescent="0.2">
      <c r="A391" s="15"/>
      <c r="B391" s="15" t="s">
        <v>1455</v>
      </c>
      <c r="C391" s="16">
        <v>4972</v>
      </c>
      <c r="D391" s="15">
        <v>1</v>
      </c>
      <c r="E391" s="16">
        <v>4972</v>
      </c>
      <c r="F391" s="62">
        <f>E391-E391</f>
        <v>0</v>
      </c>
    </row>
    <row r="392" spans="1:6" x14ac:dyDescent="0.2">
      <c r="A392" s="15" t="s">
        <v>882</v>
      </c>
      <c r="B392" s="139" t="s">
        <v>839</v>
      </c>
      <c r="C392" s="150">
        <v>28.63</v>
      </c>
      <c r="D392" s="140">
        <v>301</v>
      </c>
      <c r="E392" s="136">
        <v>8617.6299999999992</v>
      </c>
      <c r="F392" s="62">
        <f>E392-E393</f>
        <v>-11423.37</v>
      </c>
    </row>
    <row r="393" spans="1:6" x14ac:dyDescent="0.2">
      <c r="A393" s="15"/>
      <c r="B393" s="15" t="s">
        <v>1456</v>
      </c>
      <c r="C393" s="16">
        <v>2863</v>
      </c>
      <c r="D393" s="15">
        <v>7</v>
      </c>
      <c r="E393" s="16">
        <v>20041</v>
      </c>
      <c r="F393" s="62">
        <f>E393-E393</f>
        <v>0</v>
      </c>
    </row>
    <row r="394" spans="1:6" x14ac:dyDescent="0.15">
      <c r="A394" s="15" t="s">
        <v>882</v>
      </c>
      <c r="B394" s="137" t="s">
        <v>112</v>
      </c>
      <c r="C394" s="149">
        <v>39.94</v>
      </c>
      <c r="D394" s="140">
        <v>292.33333333333337</v>
      </c>
      <c r="E394" s="136">
        <v>11675.793333333335</v>
      </c>
      <c r="F394" s="62">
        <f>E394-E395</f>
        <v>-36252.206666666665</v>
      </c>
    </row>
    <row r="395" spans="1:6" x14ac:dyDescent="0.2">
      <c r="A395" s="15"/>
      <c r="B395" s="15" t="s">
        <v>1191</v>
      </c>
      <c r="C395" s="16">
        <v>3994</v>
      </c>
      <c r="D395" s="15">
        <v>12</v>
      </c>
      <c r="E395" s="16">
        <v>47928</v>
      </c>
      <c r="F395" s="62">
        <f>E395-E395</f>
        <v>0</v>
      </c>
    </row>
    <row r="396" spans="1:6" x14ac:dyDescent="0.2">
      <c r="A396" s="15" t="s">
        <v>882</v>
      </c>
      <c r="B396" s="139" t="s">
        <v>254</v>
      </c>
      <c r="C396" s="150">
        <v>77.5</v>
      </c>
      <c r="D396" s="135">
        <v>36</v>
      </c>
      <c r="E396" s="136">
        <v>2790</v>
      </c>
      <c r="F396" s="62">
        <f>E396-E397</f>
        <v>-12710</v>
      </c>
    </row>
    <row r="397" spans="1:6" x14ac:dyDescent="0.2">
      <c r="A397" s="15"/>
      <c r="B397" s="15" t="s">
        <v>1334</v>
      </c>
      <c r="C397" s="16">
        <v>775</v>
      </c>
      <c r="D397" s="15">
        <v>20</v>
      </c>
      <c r="E397" s="16">
        <v>15500</v>
      </c>
      <c r="F397" s="62">
        <f>E397-E397</f>
        <v>0</v>
      </c>
    </row>
    <row r="398" spans="1:6" x14ac:dyDescent="0.15">
      <c r="A398" s="15" t="s">
        <v>882</v>
      </c>
      <c r="B398" s="137" t="s">
        <v>255</v>
      </c>
      <c r="C398" s="149">
        <v>107.7</v>
      </c>
      <c r="D398" s="135">
        <v>14</v>
      </c>
      <c r="E398" s="136">
        <v>1507.8</v>
      </c>
      <c r="F398" s="62">
        <f>E398-E399</f>
        <v>-6031.2</v>
      </c>
    </row>
    <row r="399" spans="1:6" x14ac:dyDescent="0.2">
      <c r="A399" s="15"/>
      <c r="B399" s="15" t="s">
        <v>1156</v>
      </c>
      <c r="C399" s="16">
        <v>1077</v>
      </c>
      <c r="D399" s="15">
        <v>7</v>
      </c>
      <c r="E399" s="16">
        <v>7539</v>
      </c>
      <c r="F399" s="62">
        <f>E399-E399</f>
        <v>0</v>
      </c>
    </row>
    <row r="400" spans="1:6" x14ac:dyDescent="0.2">
      <c r="A400" s="15" t="s">
        <v>882</v>
      </c>
      <c r="B400" s="139" t="s">
        <v>621</v>
      </c>
      <c r="C400" s="150">
        <v>1601.3</v>
      </c>
      <c r="D400" s="135">
        <v>10</v>
      </c>
      <c r="E400" s="136">
        <v>16013</v>
      </c>
      <c r="F400" s="62">
        <f>E400-E401</f>
        <v>0</v>
      </c>
    </row>
    <row r="401" spans="1:6" x14ac:dyDescent="0.2">
      <c r="A401" s="15"/>
      <c r="B401" s="15" t="s">
        <v>1142</v>
      </c>
      <c r="C401" s="16">
        <v>16013</v>
      </c>
      <c r="D401" s="15">
        <v>1</v>
      </c>
      <c r="E401" s="16">
        <v>16013</v>
      </c>
      <c r="F401" s="62">
        <f>E401-E401</f>
        <v>0</v>
      </c>
    </row>
    <row r="402" spans="1:6" x14ac:dyDescent="0.15">
      <c r="A402" s="15" t="s">
        <v>882</v>
      </c>
      <c r="B402" s="137" t="s">
        <v>733</v>
      </c>
      <c r="C402" s="149">
        <v>205.62</v>
      </c>
      <c r="D402" s="140">
        <v>154</v>
      </c>
      <c r="E402" s="136">
        <v>31665.48</v>
      </c>
      <c r="F402" s="62">
        <f>E402-E403</f>
        <v>-276764.52</v>
      </c>
    </row>
    <row r="403" spans="1:6" x14ac:dyDescent="0.2">
      <c r="A403" s="15"/>
      <c r="B403" s="15" t="s">
        <v>1078</v>
      </c>
      <c r="C403" s="16">
        <v>20562</v>
      </c>
      <c r="D403" s="15">
        <v>15</v>
      </c>
      <c r="E403" s="16">
        <v>308430</v>
      </c>
      <c r="F403" s="62">
        <f>E403-E403</f>
        <v>0</v>
      </c>
    </row>
    <row r="404" spans="1:6" x14ac:dyDescent="0.15">
      <c r="A404" s="15" t="s">
        <v>882</v>
      </c>
      <c r="B404" s="137" t="s">
        <v>113</v>
      </c>
      <c r="C404" s="149">
        <v>7.99</v>
      </c>
      <c r="D404" s="135">
        <v>1358.5</v>
      </c>
      <c r="E404" s="136">
        <v>10854.415000000001</v>
      </c>
      <c r="F404" s="62">
        <f>E404-E405</f>
        <v>-33090.584999999999</v>
      </c>
    </row>
    <row r="405" spans="1:6" x14ac:dyDescent="0.2">
      <c r="A405" s="15"/>
      <c r="B405" s="15" t="s">
        <v>986</v>
      </c>
      <c r="C405" s="16">
        <v>799</v>
      </c>
      <c r="D405" s="15">
        <v>55</v>
      </c>
      <c r="E405" s="16">
        <v>43945</v>
      </c>
      <c r="F405" s="62">
        <f>E405-E405</f>
        <v>0</v>
      </c>
    </row>
    <row r="406" spans="1:6" x14ac:dyDescent="0.15">
      <c r="A406" s="15" t="s">
        <v>882</v>
      </c>
      <c r="B406" s="137" t="s">
        <v>114</v>
      </c>
      <c r="C406" s="149">
        <v>7.99</v>
      </c>
      <c r="D406" s="140">
        <v>1132.3636363636363</v>
      </c>
      <c r="E406" s="136">
        <v>9047.5854545454531</v>
      </c>
      <c r="F406" s="62">
        <f>E406-E407</f>
        <v>-8530.4145454545469</v>
      </c>
    </row>
    <row r="407" spans="1:6" x14ac:dyDescent="0.2">
      <c r="A407" s="15"/>
      <c r="B407" s="15" t="s">
        <v>987</v>
      </c>
      <c r="C407" s="16">
        <v>799</v>
      </c>
      <c r="D407" s="15">
        <v>2</v>
      </c>
      <c r="E407" s="16">
        <v>17578</v>
      </c>
      <c r="F407" s="62">
        <f>E407-E407</f>
        <v>0</v>
      </c>
    </row>
    <row r="408" spans="1:6" x14ac:dyDescent="0.15">
      <c r="A408" s="15" t="s">
        <v>882</v>
      </c>
      <c r="B408" s="137" t="s">
        <v>115</v>
      </c>
      <c r="C408" s="149">
        <v>7.99</v>
      </c>
      <c r="D408" s="135">
        <v>1616.6666666666667</v>
      </c>
      <c r="E408" s="136">
        <v>12917.166666666668</v>
      </c>
      <c r="F408" s="62">
        <f>E408-E409</f>
        <v>4927.1666666666679</v>
      </c>
    </row>
    <row r="409" spans="1:6" x14ac:dyDescent="0.2">
      <c r="A409" s="15"/>
      <c r="B409" s="15" t="s">
        <v>988</v>
      </c>
      <c r="C409" s="16">
        <v>7990</v>
      </c>
      <c r="D409" s="15">
        <v>1</v>
      </c>
      <c r="E409" s="16">
        <v>7990</v>
      </c>
      <c r="F409" s="62">
        <f>E409-E409</f>
        <v>0</v>
      </c>
    </row>
    <row r="410" spans="1:6" x14ac:dyDescent="0.2">
      <c r="A410" s="141" t="s">
        <v>882</v>
      </c>
      <c r="B410" s="141"/>
      <c r="C410" s="136"/>
      <c r="D410" s="141"/>
      <c r="E410" s="136"/>
      <c r="F410" s="62">
        <f>E410-E411</f>
        <v>-2172</v>
      </c>
    </row>
    <row r="411" spans="1:6" x14ac:dyDescent="0.2">
      <c r="A411" s="15"/>
      <c r="B411" s="15" t="s">
        <v>1268</v>
      </c>
      <c r="C411" s="16">
        <v>2172</v>
      </c>
      <c r="D411" s="15">
        <v>1</v>
      </c>
      <c r="E411" s="16">
        <v>2172</v>
      </c>
      <c r="F411" s="62">
        <f>E411-E411</f>
        <v>0</v>
      </c>
    </row>
    <row r="412" spans="1:6" x14ac:dyDescent="0.15">
      <c r="A412" s="15" t="s">
        <v>882</v>
      </c>
      <c r="B412" s="137" t="s">
        <v>116</v>
      </c>
      <c r="C412" s="149">
        <v>13.82</v>
      </c>
      <c r="D412" s="140">
        <v>372</v>
      </c>
      <c r="E412" s="136">
        <v>5141.04</v>
      </c>
      <c r="F412" s="62">
        <f>E412-E413</f>
        <v>-50138.96</v>
      </c>
    </row>
    <row r="413" spans="1:6" x14ac:dyDescent="0.2">
      <c r="A413" s="15"/>
      <c r="B413" s="15" t="s">
        <v>1449</v>
      </c>
      <c r="C413" s="16">
        <v>1382</v>
      </c>
      <c r="D413" s="15">
        <v>40</v>
      </c>
      <c r="E413" s="16">
        <v>55280</v>
      </c>
      <c r="F413" s="62">
        <f>E413-E413</f>
        <v>0</v>
      </c>
    </row>
    <row r="414" spans="1:6" x14ac:dyDescent="0.2">
      <c r="A414" s="15" t="s">
        <v>882</v>
      </c>
      <c r="B414" s="141" t="s">
        <v>402</v>
      </c>
      <c r="C414" s="150">
        <v>20</v>
      </c>
      <c r="D414" s="135">
        <v>71</v>
      </c>
      <c r="E414" s="136">
        <v>1420</v>
      </c>
      <c r="F414" s="62">
        <f>E414-E415</f>
        <v>-8580</v>
      </c>
    </row>
    <row r="415" spans="1:6" x14ac:dyDescent="0.2">
      <c r="A415" s="15"/>
      <c r="B415" s="15" t="s">
        <v>1165</v>
      </c>
      <c r="C415" s="16">
        <v>2000</v>
      </c>
      <c r="D415" s="15">
        <v>5</v>
      </c>
      <c r="E415" s="16">
        <v>10000</v>
      </c>
      <c r="F415" s="62">
        <f>E415-E415</f>
        <v>0</v>
      </c>
    </row>
    <row r="416" spans="1:6" x14ac:dyDescent="0.15">
      <c r="A416" s="15" t="s">
        <v>882</v>
      </c>
      <c r="B416" s="137" t="s">
        <v>801</v>
      </c>
      <c r="C416" s="149">
        <v>109</v>
      </c>
      <c r="D416" s="140">
        <v>19</v>
      </c>
      <c r="E416" s="136">
        <v>2071</v>
      </c>
      <c r="F416" s="62">
        <f>E416-E417</f>
        <v>-2289</v>
      </c>
    </row>
    <row r="417" spans="1:6" x14ac:dyDescent="0.2">
      <c r="A417" s="15"/>
      <c r="B417" s="15" t="s">
        <v>913</v>
      </c>
      <c r="C417" s="16">
        <v>1090</v>
      </c>
      <c r="D417" s="15">
        <v>4</v>
      </c>
      <c r="E417" s="16">
        <v>4360</v>
      </c>
      <c r="F417" s="62">
        <f>E417-E417</f>
        <v>0</v>
      </c>
    </row>
    <row r="418" spans="1:6" x14ac:dyDescent="0.15">
      <c r="A418" s="15" t="s">
        <v>882</v>
      </c>
      <c r="B418" s="137" t="s">
        <v>117</v>
      </c>
      <c r="C418" s="149">
        <v>4.83</v>
      </c>
      <c r="D418" s="140">
        <v>490</v>
      </c>
      <c r="E418" s="136">
        <v>2366.6999999999998</v>
      </c>
      <c r="F418" s="62">
        <f>E418-E419</f>
        <v>-28062.3</v>
      </c>
    </row>
    <row r="419" spans="1:6" x14ac:dyDescent="0.2">
      <c r="A419" s="15"/>
      <c r="B419" s="15" t="s">
        <v>911</v>
      </c>
      <c r="C419" s="16">
        <v>483</v>
      </c>
      <c r="D419" s="15">
        <v>63</v>
      </c>
      <c r="E419" s="16">
        <v>30429</v>
      </c>
      <c r="F419" s="62">
        <f>E419-E419</f>
        <v>0</v>
      </c>
    </row>
    <row r="420" spans="1:6" x14ac:dyDescent="0.15">
      <c r="A420" s="15" t="s">
        <v>882</v>
      </c>
      <c r="B420" s="137" t="s">
        <v>118</v>
      </c>
      <c r="C420" s="149">
        <v>4.9800000000000004</v>
      </c>
      <c r="D420" s="140">
        <v>1038</v>
      </c>
      <c r="E420" s="136">
        <v>5169.2400000000007</v>
      </c>
      <c r="F420" s="62">
        <f>E420-E421</f>
        <v>-1304.7599999999993</v>
      </c>
    </row>
    <row r="421" spans="1:6" x14ac:dyDescent="0.2">
      <c r="A421" s="15"/>
      <c r="B421" s="15" t="s">
        <v>912</v>
      </c>
      <c r="C421" s="16">
        <v>498</v>
      </c>
      <c r="D421" s="15">
        <v>13</v>
      </c>
      <c r="E421" s="16">
        <v>6474</v>
      </c>
      <c r="F421" s="62">
        <f>E421-E421</f>
        <v>0</v>
      </c>
    </row>
    <row r="422" spans="1:6" x14ac:dyDescent="0.15">
      <c r="A422" s="15" t="s">
        <v>882</v>
      </c>
      <c r="B422" s="137" t="s">
        <v>377</v>
      </c>
      <c r="C422" s="149">
        <v>499</v>
      </c>
      <c r="D422" s="140">
        <v>2</v>
      </c>
      <c r="E422" s="136">
        <v>998</v>
      </c>
      <c r="F422" s="62">
        <f>E422-E423</f>
        <v>-8982</v>
      </c>
    </row>
    <row r="423" spans="1:6" x14ac:dyDescent="0.2">
      <c r="A423" s="15"/>
      <c r="B423" s="15" t="s">
        <v>1409</v>
      </c>
      <c r="C423" s="16">
        <v>499</v>
      </c>
      <c r="D423" s="15">
        <v>20</v>
      </c>
      <c r="E423" s="16">
        <v>9980</v>
      </c>
      <c r="F423" s="62">
        <f>E423-E423</f>
        <v>0</v>
      </c>
    </row>
    <row r="424" spans="1:6" x14ac:dyDescent="0.15">
      <c r="A424" s="15" t="s">
        <v>882</v>
      </c>
      <c r="B424" s="137" t="s">
        <v>459</v>
      </c>
      <c r="C424" s="149">
        <v>74</v>
      </c>
      <c r="D424" s="135">
        <v>9</v>
      </c>
      <c r="E424" s="136">
        <v>666</v>
      </c>
      <c r="F424" s="62">
        <f>E424-E425</f>
        <v>-11174</v>
      </c>
    </row>
    <row r="425" spans="1:6" x14ac:dyDescent="0.2">
      <c r="A425" s="15"/>
      <c r="B425" s="15" t="s">
        <v>1143</v>
      </c>
      <c r="C425" s="16">
        <v>740</v>
      </c>
      <c r="D425" s="15">
        <v>16</v>
      </c>
      <c r="E425" s="16">
        <v>11840</v>
      </c>
      <c r="F425" s="62">
        <f>E425-E425</f>
        <v>0</v>
      </c>
    </row>
    <row r="426" spans="1:6" x14ac:dyDescent="0.2">
      <c r="A426" s="15" t="s">
        <v>882</v>
      </c>
      <c r="B426" s="137" t="s">
        <v>471</v>
      </c>
      <c r="C426" s="149">
        <v>5.62</v>
      </c>
      <c r="D426" s="138">
        <v>767</v>
      </c>
      <c r="E426" s="136">
        <v>4310.54</v>
      </c>
      <c r="F426" s="62">
        <f>E426-E427</f>
        <v>-72402.460000000006</v>
      </c>
    </row>
    <row r="427" spans="1:6" x14ac:dyDescent="0.2">
      <c r="A427" s="15"/>
      <c r="B427" s="15" t="s">
        <v>1344</v>
      </c>
      <c r="C427" s="16">
        <v>5901</v>
      </c>
      <c r="D427" s="15">
        <v>13</v>
      </c>
      <c r="E427" s="16">
        <v>76713</v>
      </c>
      <c r="F427" s="62">
        <f>E427-E427</f>
        <v>0</v>
      </c>
    </row>
    <row r="428" spans="1:6" x14ac:dyDescent="0.2">
      <c r="A428" s="141" t="s">
        <v>882</v>
      </c>
      <c r="B428" s="141"/>
      <c r="C428" s="136"/>
      <c r="D428" s="141"/>
      <c r="E428" s="136"/>
      <c r="F428" s="62">
        <f>E428-E429</f>
        <v>-353856</v>
      </c>
    </row>
    <row r="429" spans="1:6" x14ac:dyDescent="0.2">
      <c r="A429" s="15"/>
      <c r="B429" s="15" t="s">
        <v>1079</v>
      </c>
      <c r="C429" s="16">
        <v>22116</v>
      </c>
      <c r="D429" s="15">
        <v>4</v>
      </c>
      <c r="E429" s="16">
        <v>353856</v>
      </c>
      <c r="F429" s="62">
        <f>E429-E429</f>
        <v>0</v>
      </c>
    </row>
    <row r="430" spans="1:6" x14ac:dyDescent="0.2">
      <c r="A430" s="15" t="s">
        <v>882</v>
      </c>
      <c r="B430" s="139" t="s">
        <v>120</v>
      </c>
      <c r="C430" s="150">
        <v>129.62</v>
      </c>
      <c r="D430" s="140">
        <v>224</v>
      </c>
      <c r="E430" s="136">
        <v>29034.880000000001</v>
      </c>
      <c r="F430" s="62">
        <f>E430-E431</f>
        <v>-9851.119999999999</v>
      </c>
    </row>
    <row r="431" spans="1:6" x14ac:dyDescent="0.2">
      <c r="A431" s="15"/>
      <c r="B431" s="15" t="s">
        <v>1466</v>
      </c>
      <c r="C431" s="16">
        <v>12962</v>
      </c>
      <c r="D431" s="15">
        <v>3</v>
      </c>
      <c r="E431" s="16">
        <v>38886</v>
      </c>
      <c r="F431" s="62">
        <f>E431-E431</f>
        <v>0</v>
      </c>
    </row>
    <row r="432" spans="1:6" x14ac:dyDescent="0.15">
      <c r="A432" s="15" t="s">
        <v>882</v>
      </c>
      <c r="B432" s="137" t="s">
        <v>322</v>
      </c>
      <c r="C432" s="149">
        <v>123.8</v>
      </c>
      <c r="D432" s="140">
        <v>1</v>
      </c>
      <c r="E432" s="136">
        <v>123.8</v>
      </c>
      <c r="F432" s="62">
        <f>E432-E433</f>
        <v>-1114.2</v>
      </c>
    </row>
    <row r="433" spans="1:6" x14ac:dyDescent="0.2">
      <c r="A433" s="15"/>
      <c r="B433" s="15" t="s">
        <v>1161</v>
      </c>
      <c r="C433" s="16">
        <v>1238</v>
      </c>
      <c r="D433" s="15">
        <v>1</v>
      </c>
      <c r="E433" s="16">
        <v>1238</v>
      </c>
      <c r="F433" s="62">
        <f>E433-E433</f>
        <v>0</v>
      </c>
    </row>
    <row r="434" spans="1:6" x14ac:dyDescent="0.15">
      <c r="A434" s="15" t="s">
        <v>882</v>
      </c>
      <c r="B434" s="137" t="s">
        <v>295</v>
      </c>
      <c r="C434" s="149">
        <v>319.3</v>
      </c>
      <c r="D434" s="135">
        <v>1</v>
      </c>
      <c r="E434" s="136">
        <v>319.3</v>
      </c>
      <c r="F434" s="62">
        <f>E434-E435</f>
        <v>-9259.7000000000007</v>
      </c>
    </row>
    <row r="435" spans="1:6" x14ac:dyDescent="0.2">
      <c r="A435" s="15"/>
      <c r="B435" s="15" t="s">
        <v>1144</v>
      </c>
      <c r="C435" s="16">
        <v>3193</v>
      </c>
      <c r="D435" s="15">
        <v>3</v>
      </c>
      <c r="E435" s="16">
        <v>9579</v>
      </c>
      <c r="F435" s="62">
        <f>E435-E435</f>
        <v>0</v>
      </c>
    </row>
    <row r="436" spans="1:6" x14ac:dyDescent="0.2">
      <c r="A436" s="15" t="s">
        <v>882</v>
      </c>
      <c r="B436" s="139" t="s">
        <v>122</v>
      </c>
      <c r="C436" s="150">
        <v>287.94</v>
      </c>
      <c r="D436" s="140">
        <v>186</v>
      </c>
      <c r="E436" s="136">
        <v>53556.84</v>
      </c>
      <c r="F436" s="62">
        <f>E436-E437</f>
        <v>-867851.16</v>
      </c>
    </row>
    <row r="437" spans="1:6" x14ac:dyDescent="0.2">
      <c r="A437" s="15"/>
      <c r="B437" s="15" t="s">
        <v>1037</v>
      </c>
      <c r="C437" s="16">
        <v>28794</v>
      </c>
      <c r="D437" s="15">
        <v>32</v>
      </c>
      <c r="E437" s="16">
        <v>921408</v>
      </c>
      <c r="F437" s="62">
        <f>E437-E437</f>
        <v>0</v>
      </c>
    </row>
    <row r="438" spans="1:6" x14ac:dyDescent="0.2">
      <c r="A438" s="15" t="s">
        <v>882</v>
      </c>
      <c r="B438" s="139" t="s">
        <v>121</v>
      </c>
      <c r="C438" s="150">
        <v>189.46</v>
      </c>
      <c r="D438" s="140">
        <v>290</v>
      </c>
      <c r="E438" s="136">
        <v>54943.4</v>
      </c>
      <c r="F438" s="62">
        <f>E438-E439</f>
        <v>-248192.6</v>
      </c>
    </row>
    <row r="439" spans="1:6" x14ac:dyDescent="0.2">
      <c r="A439" s="15"/>
      <c r="B439" s="15" t="s">
        <v>1038</v>
      </c>
      <c r="C439" s="16">
        <v>18946</v>
      </c>
      <c r="D439" s="15">
        <v>16</v>
      </c>
      <c r="E439" s="16">
        <v>303136</v>
      </c>
      <c r="F439" s="62">
        <f>E439-E439</f>
        <v>0</v>
      </c>
    </row>
    <row r="440" spans="1:6" x14ac:dyDescent="0.2">
      <c r="A440" s="15" t="s">
        <v>882</v>
      </c>
      <c r="B440" s="139" t="s">
        <v>519</v>
      </c>
      <c r="C440" s="150">
        <v>69.069999999999993</v>
      </c>
      <c r="D440" s="135">
        <v>50</v>
      </c>
      <c r="E440" s="136">
        <v>3453.4999999999995</v>
      </c>
      <c r="F440" s="62">
        <f>E440-E441</f>
        <v>-17267.5</v>
      </c>
    </row>
    <row r="441" spans="1:6" x14ac:dyDescent="0.2">
      <c r="A441" s="15"/>
      <c r="B441" s="15" t="s">
        <v>1426</v>
      </c>
      <c r="C441" s="16">
        <v>6907</v>
      </c>
      <c r="D441" s="15">
        <v>3</v>
      </c>
      <c r="E441" s="16">
        <v>20721</v>
      </c>
      <c r="F441" s="62">
        <f>E441-E441</f>
        <v>0</v>
      </c>
    </row>
    <row r="442" spans="1:6" x14ac:dyDescent="0.2">
      <c r="A442" s="15" t="s">
        <v>882</v>
      </c>
      <c r="B442" s="139" t="s">
        <v>378</v>
      </c>
      <c r="C442" s="150">
        <v>17.8</v>
      </c>
      <c r="D442" s="140">
        <v>50</v>
      </c>
      <c r="E442" s="136">
        <v>890</v>
      </c>
      <c r="F442" s="62">
        <f>E442-E443</f>
        <v>890</v>
      </c>
    </row>
    <row r="443" spans="1:6" x14ac:dyDescent="0.2">
      <c r="A443" s="15"/>
      <c r="B443" s="17"/>
      <c r="C443" s="154"/>
      <c r="D443" s="99"/>
      <c r="E443" s="122"/>
      <c r="F443" s="62">
        <f>E443-E443</f>
        <v>0</v>
      </c>
    </row>
    <row r="444" spans="1:6" x14ac:dyDescent="0.2">
      <c r="A444" s="15" t="s">
        <v>882</v>
      </c>
      <c r="B444" s="139" t="s">
        <v>123</v>
      </c>
      <c r="C444" s="159">
        <v>8.99</v>
      </c>
      <c r="D444" s="140">
        <v>400.69230769230768</v>
      </c>
      <c r="E444" s="136">
        <v>3602.2238461538459</v>
      </c>
      <c r="F444" s="62">
        <f>E444-E445</f>
        <v>-30559.776153846153</v>
      </c>
    </row>
    <row r="445" spans="1:6" x14ac:dyDescent="0.2">
      <c r="A445" s="15"/>
      <c r="B445" s="15" t="s">
        <v>1132</v>
      </c>
      <c r="C445" s="16">
        <v>899</v>
      </c>
      <c r="D445" s="15">
        <v>23</v>
      </c>
      <c r="E445" s="16">
        <v>34162</v>
      </c>
      <c r="F445" s="62">
        <f>E445-E445</f>
        <v>0</v>
      </c>
    </row>
    <row r="446" spans="1:6" x14ac:dyDescent="0.2">
      <c r="A446" s="15" t="s">
        <v>882</v>
      </c>
      <c r="B446" s="139" t="s">
        <v>126</v>
      </c>
      <c r="C446" s="159">
        <v>4.9000000000000004</v>
      </c>
      <c r="D446" s="140">
        <v>1317</v>
      </c>
      <c r="E446" s="136">
        <v>6453.3</v>
      </c>
      <c r="F446" s="62">
        <f>E446-E447</f>
        <v>-22946.7</v>
      </c>
    </row>
    <row r="447" spans="1:6" x14ac:dyDescent="0.2">
      <c r="A447" s="15"/>
      <c r="B447" s="15" t="s">
        <v>1158</v>
      </c>
      <c r="C447" s="16">
        <v>4900</v>
      </c>
      <c r="D447" s="15">
        <v>6</v>
      </c>
      <c r="E447" s="16">
        <v>29400</v>
      </c>
      <c r="F447" s="62">
        <f>E447-E447</f>
        <v>0</v>
      </c>
    </row>
    <row r="448" spans="1:6" x14ac:dyDescent="0.2">
      <c r="A448" s="15" t="s">
        <v>882</v>
      </c>
      <c r="B448" s="139" t="s">
        <v>129</v>
      </c>
      <c r="C448" s="150">
        <v>170.17</v>
      </c>
      <c r="D448" s="140">
        <v>142</v>
      </c>
      <c r="E448" s="136">
        <v>24164.14</v>
      </c>
      <c r="F448" s="62">
        <f>E448-E449</f>
        <v>-392762.86</v>
      </c>
    </row>
    <row r="449" spans="1:6" x14ac:dyDescent="0.2">
      <c r="A449" s="15"/>
      <c r="B449" s="15" t="s">
        <v>1039</v>
      </c>
      <c r="C449" s="16">
        <v>59561</v>
      </c>
      <c r="D449" s="15">
        <v>7</v>
      </c>
      <c r="E449" s="16">
        <v>416927</v>
      </c>
      <c r="F449" s="62">
        <f>E449-E449</f>
        <v>0</v>
      </c>
    </row>
    <row r="450" spans="1:6" x14ac:dyDescent="0.2">
      <c r="A450" s="15" t="s">
        <v>882</v>
      </c>
      <c r="B450" s="139" t="s">
        <v>826</v>
      </c>
      <c r="C450" s="150">
        <v>34.909999999999997</v>
      </c>
      <c r="D450" s="140">
        <v>4</v>
      </c>
      <c r="E450" s="136">
        <v>139.63999999999999</v>
      </c>
      <c r="F450" s="62">
        <f>E450-E451</f>
        <v>-15230.36</v>
      </c>
    </row>
    <row r="451" spans="1:6" x14ac:dyDescent="0.2">
      <c r="A451" s="15"/>
      <c r="B451" s="15" t="s">
        <v>1040</v>
      </c>
      <c r="C451" s="16">
        <v>3074</v>
      </c>
      <c r="D451" s="15">
        <v>5</v>
      </c>
      <c r="E451" s="16">
        <v>15370</v>
      </c>
      <c r="F451" s="62">
        <f>E451-E451</f>
        <v>0</v>
      </c>
    </row>
    <row r="452" spans="1:6" x14ac:dyDescent="0.2">
      <c r="A452" s="15" t="s">
        <v>882</v>
      </c>
      <c r="B452" s="139" t="s">
        <v>130</v>
      </c>
      <c r="C452" s="150">
        <v>86.09</v>
      </c>
      <c r="D452" s="140">
        <v>450</v>
      </c>
      <c r="E452" s="136">
        <v>38740.5</v>
      </c>
      <c r="F452" s="62">
        <f>E452-E453</f>
        <v>-51652.5</v>
      </c>
    </row>
    <row r="453" spans="1:6" x14ac:dyDescent="0.2">
      <c r="A453" s="15"/>
      <c r="B453" s="15" t="s">
        <v>1041</v>
      </c>
      <c r="C453" s="16">
        <v>30131</v>
      </c>
      <c r="D453" s="15">
        <v>3</v>
      </c>
      <c r="E453" s="16">
        <v>90393</v>
      </c>
      <c r="F453" s="62">
        <f>E453-E453</f>
        <v>0</v>
      </c>
    </row>
    <row r="454" spans="1:6" x14ac:dyDescent="0.2">
      <c r="A454" s="141" t="s">
        <v>1505</v>
      </c>
      <c r="B454" s="141"/>
      <c r="C454" s="136"/>
      <c r="D454" s="141"/>
      <c r="E454" s="136"/>
      <c r="F454" s="62">
        <f>E454-E455</f>
        <v>-7390</v>
      </c>
    </row>
    <row r="455" spans="1:6" x14ac:dyDescent="0.2">
      <c r="A455" s="15"/>
      <c r="B455" s="15" t="s">
        <v>1166</v>
      </c>
      <c r="C455" s="16">
        <v>1478</v>
      </c>
      <c r="D455" s="15">
        <v>5</v>
      </c>
      <c r="E455" s="16">
        <v>7390</v>
      </c>
      <c r="F455" s="62">
        <f>E455-E455</f>
        <v>0</v>
      </c>
    </row>
    <row r="456" spans="1:6" x14ac:dyDescent="0.2">
      <c r="A456" s="15" t="s">
        <v>882</v>
      </c>
      <c r="B456" s="139" t="s">
        <v>495</v>
      </c>
      <c r="C456" s="150">
        <v>4.7699999999999996</v>
      </c>
      <c r="D456" s="140">
        <v>1826.4285714285713</v>
      </c>
      <c r="E456" s="136">
        <v>8712.0642857142848</v>
      </c>
      <c r="F456" s="62">
        <f>E456-E457</f>
        <v>-38510.935714285719</v>
      </c>
    </row>
    <row r="457" spans="1:6" x14ac:dyDescent="0.2">
      <c r="A457" s="15"/>
      <c r="B457" s="15" t="s">
        <v>1235</v>
      </c>
      <c r="C457" s="16">
        <v>477</v>
      </c>
      <c r="D457" s="15">
        <v>39</v>
      </c>
      <c r="E457" s="16">
        <v>47223</v>
      </c>
      <c r="F457" s="62">
        <f>E457-E457</f>
        <v>0</v>
      </c>
    </row>
    <row r="458" spans="1:6" x14ac:dyDescent="0.2">
      <c r="A458" s="15" t="s">
        <v>882</v>
      </c>
      <c r="B458" s="139" t="s">
        <v>497</v>
      </c>
      <c r="C458" s="150">
        <v>5.36</v>
      </c>
      <c r="D458" s="135">
        <v>622.22222222222217</v>
      </c>
      <c r="E458" s="136">
        <v>3335.1111111111109</v>
      </c>
      <c r="F458" s="62">
        <f>E458-E459</f>
        <v>3335.1111111111109</v>
      </c>
    </row>
    <row r="459" spans="1:6" x14ac:dyDescent="0.2">
      <c r="A459" s="15"/>
      <c r="B459" s="17"/>
      <c r="C459" s="154"/>
      <c r="D459" s="147"/>
      <c r="E459" s="122"/>
      <c r="F459" s="62">
        <f>E459-E459</f>
        <v>0</v>
      </c>
    </row>
    <row r="460" spans="1:6" x14ac:dyDescent="0.2">
      <c r="A460" s="15" t="s">
        <v>882</v>
      </c>
      <c r="B460" s="139" t="s">
        <v>323</v>
      </c>
      <c r="C460" s="150">
        <v>107.1</v>
      </c>
      <c r="D460" s="140">
        <v>4</v>
      </c>
      <c r="E460" s="136">
        <v>428.4</v>
      </c>
      <c r="F460" s="62">
        <f>E460-E461</f>
        <v>428.4</v>
      </c>
    </row>
    <row r="461" spans="1:6" x14ac:dyDescent="0.2">
      <c r="A461" s="15"/>
      <c r="B461" s="17"/>
      <c r="C461" s="154"/>
      <c r="D461" s="99"/>
      <c r="E461" s="122"/>
      <c r="F461" s="62">
        <f>E461-E461</f>
        <v>0</v>
      </c>
    </row>
    <row r="462" spans="1:6" x14ac:dyDescent="0.2">
      <c r="A462" s="15" t="s">
        <v>882</v>
      </c>
      <c r="B462" s="139" t="s">
        <v>778</v>
      </c>
      <c r="C462" s="159">
        <v>10.93</v>
      </c>
      <c r="D462" s="140">
        <v>851.85185185185185</v>
      </c>
      <c r="E462" s="136">
        <v>9310.7407407407409</v>
      </c>
      <c r="F462" s="62">
        <f>E462-E463</f>
        <v>-97699.259259259255</v>
      </c>
    </row>
    <row r="463" spans="1:6" x14ac:dyDescent="0.2">
      <c r="A463" s="15"/>
      <c r="B463" s="15" t="s">
        <v>1401</v>
      </c>
      <c r="C463" s="16">
        <v>3280</v>
      </c>
      <c r="D463" s="15">
        <v>19</v>
      </c>
      <c r="E463" s="16">
        <v>107010</v>
      </c>
      <c r="F463" s="62">
        <f>E463-E463</f>
        <v>0</v>
      </c>
    </row>
    <row r="464" spans="1:6" x14ac:dyDescent="0.2">
      <c r="A464" s="15" t="s">
        <v>882</v>
      </c>
      <c r="B464" s="139" t="s">
        <v>840</v>
      </c>
      <c r="C464" s="159">
        <v>12.04</v>
      </c>
      <c r="D464" s="135">
        <v>176</v>
      </c>
      <c r="E464" s="136">
        <v>2119.04</v>
      </c>
      <c r="F464" s="62">
        <f>E464-E465</f>
        <v>-24368.959999999999</v>
      </c>
    </row>
    <row r="465" spans="1:6" x14ac:dyDescent="0.2">
      <c r="A465" s="15"/>
      <c r="B465" s="15" t="s">
        <v>1296</v>
      </c>
      <c r="C465" s="16">
        <v>1204</v>
      </c>
      <c r="D465" s="15">
        <v>22</v>
      </c>
      <c r="E465" s="16">
        <v>26488</v>
      </c>
      <c r="F465" s="62">
        <f>E465-E465</f>
        <v>0</v>
      </c>
    </row>
    <row r="466" spans="1:6" x14ac:dyDescent="0.2">
      <c r="A466" s="15" t="s">
        <v>882</v>
      </c>
      <c r="B466" s="139" t="s">
        <v>133</v>
      </c>
      <c r="C466" s="150">
        <v>63.08</v>
      </c>
      <c r="D466" s="135">
        <v>382</v>
      </c>
      <c r="E466" s="136">
        <v>24096.559999999998</v>
      </c>
      <c r="F466" s="62">
        <f>E466-E467</f>
        <v>-113409.44</v>
      </c>
    </row>
    <row r="467" spans="1:6" x14ac:dyDescent="0.2">
      <c r="A467" s="15"/>
      <c r="B467" s="15" t="s">
        <v>133</v>
      </c>
      <c r="C467" s="16">
        <v>6308</v>
      </c>
      <c r="D467" s="15">
        <v>12</v>
      </c>
      <c r="E467" s="16">
        <v>137506</v>
      </c>
      <c r="F467" s="62">
        <f>E467-E467</f>
        <v>0</v>
      </c>
    </row>
    <row r="468" spans="1:6" x14ac:dyDescent="0.2">
      <c r="A468" s="15" t="s">
        <v>882</v>
      </c>
      <c r="B468" s="139" t="s">
        <v>282</v>
      </c>
      <c r="C468" s="150">
        <v>864</v>
      </c>
      <c r="D468" s="135">
        <v>3.3</v>
      </c>
      <c r="E468" s="136">
        <v>2592</v>
      </c>
      <c r="F468" s="62">
        <f>E468-E469</f>
        <v>-26786</v>
      </c>
    </row>
    <row r="469" spans="1:6" x14ac:dyDescent="0.2">
      <c r="A469" s="15"/>
      <c r="B469" s="15" t="s">
        <v>1335</v>
      </c>
      <c r="C469" s="16">
        <v>4321</v>
      </c>
      <c r="D469" s="15">
        <v>2</v>
      </c>
      <c r="E469" s="16">
        <v>29378</v>
      </c>
      <c r="F469" s="62">
        <f>E469-E469</f>
        <v>0</v>
      </c>
    </row>
    <row r="470" spans="1:6" x14ac:dyDescent="0.2">
      <c r="A470" s="15" t="s">
        <v>882</v>
      </c>
      <c r="B470" s="141" t="s">
        <v>726</v>
      </c>
      <c r="C470" s="150">
        <v>522</v>
      </c>
      <c r="D470" s="135">
        <v>74</v>
      </c>
      <c r="E470" s="136">
        <v>38628</v>
      </c>
      <c r="F470" s="62">
        <f>E470-E471</f>
        <v>-65772</v>
      </c>
    </row>
    <row r="471" spans="1:6" x14ac:dyDescent="0.2">
      <c r="A471" s="15"/>
      <c r="B471" s="15" t="s">
        <v>1488</v>
      </c>
      <c r="C471" s="16">
        <v>5220</v>
      </c>
      <c r="D471" s="15">
        <v>20</v>
      </c>
      <c r="E471" s="16">
        <v>104400</v>
      </c>
      <c r="F471" s="62">
        <f>E471-E471</f>
        <v>0</v>
      </c>
    </row>
    <row r="472" spans="1:6" x14ac:dyDescent="0.15">
      <c r="A472" s="15" t="s">
        <v>882</v>
      </c>
      <c r="B472" s="137" t="s">
        <v>256</v>
      </c>
      <c r="C472" s="149">
        <v>66</v>
      </c>
      <c r="D472" s="135">
        <v>7</v>
      </c>
      <c r="E472" s="136">
        <v>462</v>
      </c>
      <c r="F472" s="62">
        <f>E472-E473</f>
        <v>462</v>
      </c>
    </row>
    <row r="473" spans="1:6" x14ac:dyDescent="0.15">
      <c r="A473" s="15"/>
      <c r="B473" s="20"/>
      <c r="C473" s="152"/>
      <c r="D473" s="147"/>
      <c r="E473" s="122"/>
      <c r="F473" s="62">
        <f>E473-E473</f>
        <v>0</v>
      </c>
    </row>
    <row r="474" spans="1:6" x14ac:dyDescent="0.2">
      <c r="A474" s="15" t="s">
        <v>882</v>
      </c>
      <c r="B474" s="139" t="s">
        <v>134</v>
      </c>
      <c r="C474" s="150">
        <v>7.32</v>
      </c>
      <c r="D474" s="135">
        <v>287</v>
      </c>
      <c r="E474" s="136">
        <v>2100.84</v>
      </c>
      <c r="F474" s="62">
        <f>E474-E475</f>
        <v>-3755.16</v>
      </c>
    </row>
    <row r="475" spans="1:6" x14ac:dyDescent="0.2">
      <c r="A475" s="15"/>
      <c r="B475" s="15" t="s">
        <v>1226</v>
      </c>
      <c r="C475" s="16">
        <v>732</v>
      </c>
      <c r="D475" s="15">
        <v>8</v>
      </c>
      <c r="E475" s="16">
        <v>5856</v>
      </c>
      <c r="F475" s="62">
        <f>E475-E475</f>
        <v>0</v>
      </c>
    </row>
    <row r="476" spans="1:6" x14ac:dyDescent="0.15">
      <c r="A476" s="15" t="s">
        <v>882</v>
      </c>
      <c r="B476" s="137" t="s">
        <v>793</v>
      </c>
      <c r="C476" s="149">
        <v>1975</v>
      </c>
      <c r="D476" s="135">
        <v>9</v>
      </c>
      <c r="E476" s="136">
        <v>17775</v>
      </c>
      <c r="F476" s="62">
        <f>E476-E477</f>
        <v>-29625</v>
      </c>
    </row>
    <row r="477" spans="1:6" x14ac:dyDescent="0.2">
      <c r="A477" s="15"/>
      <c r="B477" s="15" t="s">
        <v>1489</v>
      </c>
      <c r="C477" s="16">
        <v>3950</v>
      </c>
      <c r="D477" s="15">
        <v>12</v>
      </c>
      <c r="E477" s="16">
        <v>47400</v>
      </c>
      <c r="F477" s="62">
        <f>E477-E477</f>
        <v>0</v>
      </c>
    </row>
    <row r="478" spans="1:6" x14ac:dyDescent="0.2">
      <c r="A478" s="15" t="s">
        <v>882</v>
      </c>
      <c r="B478" s="139" t="s">
        <v>652</v>
      </c>
      <c r="C478" s="150">
        <v>538.29999999999995</v>
      </c>
      <c r="D478" s="140">
        <v>39</v>
      </c>
      <c r="E478" s="136">
        <v>20993.699999999997</v>
      </c>
      <c r="F478" s="62">
        <f>E478-E479</f>
        <v>-748775.3</v>
      </c>
    </row>
    <row r="479" spans="1:6" x14ac:dyDescent="0.2">
      <c r="A479" s="15"/>
      <c r="B479" s="15" t="s">
        <v>1457</v>
      </c>
      <c r="C479" s="16">
        <v>5383</v>
      </c>
      <c r="D479" s="15">
        <v>143</v>
      </c>
      <c r="E479" s="16">
        <v>769769</v>
      </c>
      <c r="F479" s="62">
        <f>E479-E479</f>
        <v>0</v>
      </c>
    </row>
    <row r="480" spans="1:6" x14ac:dyDescent="0.15">
      <c r="A480" s="15" t="s">
        <v>882</v>
      </c>
      <c r="B480" s="137" t="s">
        <v>135</v>
      </c>
      <c r="C480" s="149">
        <v>5.19</v>
      </c>
      <c r="D480" s="135">
        <v>775</v>
      </c>
      <c r="E480" s="136">
        <v>4022.2500000000005</v>
      </c>
      <c r="F480" s="62">
        <f>E480-E481</f>
        <v>2984.2500000000005</v>
      </c>
    </row>
    <row r="481" spans="1:6" x14ac:dyDescent="0.2">
      <c r="A481" s="15"/>
      <c r="B481" s="15" t="s">
        <v>989</v>
      </c>
      <c r="C481" s="16">
        <v>519</v>
      </c>
      <c r="D481" s="15">
        <v>2</v>
      </c>
      <c r="E481" s="16">
        <v>1038</v>
      </c>
      <c r="F481" s="62">
        <f>E481-E481</f>
        <v>0</v>
      </c>
    </row>
    <row r="482" spans="1:6" x14ac:dyDescent="0.15">
      <c r="A482" s="15" t="s">
        <v>882</v>
      </c>
      <c r="B482" s="137" t="s">
        <v>136</v>
      </c>
      <c r="C482" s="149">
        <v>7.13</v>
      </c>
      <c r="D482" s="135">
        <v>736</v>
      </c>
      <c r="E482" s="136">
        <v>5247.68</v>
      </c>
      <c r="F482" s="62">
        <f>E482-E483</f>
        <v>-7586.32</v>
      </c>
    </row>
    <row r="483" spans="1:6" x14ac:dyDescent="0.2">
      <c r="A483" s="15"/>
      <c r="B483" s="15" t="s">
        <v>990</v>
      </c>
      <c r="C483" s="16">
        <v>713</v>
      </c>
      <c r="D483" s="15">
        <v>18</v>
      </c>
      <c r="E483" s="16">
        <v>12834</v>
      </c>
      <c r="F483" s="62">
        <f>E483-E483</f>
        <v>0</v>
      </c>
    </row>
    <row r="484" spans="1:6" x14ac:dyDescent="0.2">
      <c r="A484" s="15" t="s">
        <v>882</v>
      </c>
      <c r="B484" s="137" t="s">
        <v>137</v>
      </c>
      <c r="C484" s="150">
        <v>5.71</v>
      </c>
      <c r="D484" s="135">
        <v>2548.3333333333335</v>
      </c>
      <c r="E484" s="136">
        <v>14550.983333333334</v>
      </c>
      <c r="F484" s="62">
        <f>E484-E485</f>
        <v>-24812.016666666666</v>
      </c>
    </row>
    <row r="485" spans="1:6" x14ac:dyDescent="0.2">
      <c r="A485" s="15"/>
      <c r="B485" s="15" t="s">
        <v>991</v>
      </c>
      <c r="C485" s="16">
        <v>571</v>
      </c>
      <c r="D485" s="15">
        <v>29</v>
      </c>
      <c r="E485" s="16">
        <v>39363</v>
      </c>
      <c r="F485" s="62">
        <f>E485-E485</f>
        <v>0</v>
      </c>
    </row>
    <row r="486" spans="1:6" x14ac:dyDescent="0.2">
      <c r="A486" s="15" t="s">
        <v>882</v>
      </c>
      <c r="B486" s="139" t="s">
        <v>400</v>
      </c>
      <c r="C486" s="150">
        <v>2930</v>
      </c>
      <c r="D486" s="140">
        <v>2</v>
      </c>
      <c r="E486" s="136">
        <v>5860</v>
      </c>
      <c r="F486" s="62">
        <f>E486-E487</f>
        <v>-11720</v>
      </c>
    </row>
    <row r="487" spans="1:6" x14ac:dyDescent="0.2">
      <c r="A487" s="15"/>
      <c r="B487" s="15" t="s">
        <v>903</v>
      </c>
      <c r="C487" s="16">
        <v>2930</v>
      </c>
      <c r="D487" s="15">
        <v>6</v>
      </c>
      <c r="E487" s="16">
        <v>17580</v>
      </c>
      <c r="F487" s="62">
        <f>E487-E487</f>
        <v>0</v>
      </c>
    </row>
    <row r="488" spans="1:6" x14ac:dyDescent="0.2">
      <c r="A488" s="15" t="s">
        <v>882</v>
      </c>
      <c r="B488" s="139" t="s">
        <v>399</v>
      </c>
      <c r="C488" s="150">
        <v>2930</v>
      </c>
      <c r="D488" s="140">
        <v>2</v>
      </c>
      <c r="E488" s="136">
        <v>5860</v>
      </c>
      <c r="F488" s="62">
        <f>E488-E489</f>
        <v>-79110</v>
      </c>
    </row>
    <row r="489" spans="1:6" x14ac:dyDescent="0.2">
      <c r="A489" s="15"/>
      <c r="B489" s="15" t="s">
        <v>904</v>
      </c>
      <c r="C489" s="16">
        <v>2930</v>
      </c>
      <c r="D489" s="15">
        <v>29</v>
      </c>
      <c r="E489" s="16">
        <v>84970</v>
      </c>
      <c r="F489" s="62">
        <f>E489-E489</f>
        <v>0</v>
      </c>
    </row>
    <row r="490" spans="1:6" x14ac:dyDescent="0.2">
      <c r="A490" s="15" t="s">
        <v>882</v>
      </c>
      <c r="B490" s="139" t="s">
        <v>367</v>
      </c>
      <c r="C490" s="150">
        <v>90</v>
      </c>
      <c r="D490" s="140">
        <v>155</v>
      </c>
      <c r="E490" s="136">
        <v>13950</v>
      </c>
      <c r="F490" s="62">
        <f>E490-E491</f>
        <v>-916090</v>
      </c>
    </row>
    <row r="491" spans="1:6" x14ac:dyDescent="0.2">
      <c r="A491" s="15"/>
      <c r="B491" s="15" t="s">
        <v>1376</v>
      </c>
      <c r="C491" s="16">
        <v>890</v>
      </c>
      <c r="D491" s="15">
        <v>686</v>
      </c>
      <c r="E491" s="16">
        <v>930040</v>
      </c>
      <c r="F491" s="62">
        <f>E491-E491</f>
        <v>0</v>
      </c>
    </row>
    <row r="492" spans="1:6" x14ac:dyDescent="0.2">
      <c r="A492" s="15" t="s">
        <v>882</v>
      </c>
      <c r="B492" s="139" t="s">
        <v>324</v>
      </c>
      <c r="C492" s="150">
        <v>188.8</v>
      </c>
      <c r="D492" s="140">
        <v>130</v>
      </c>
      <c r="E492" s="136">
        <v>24544</v>
      </c>
      <c r="F492" s="62">
        <f>E492-E493</f>
        <v>-738208</v>
      </c>
    </row>
    <row r="493" spans="1:6" x14ac:dyDescent="0.2">
      <c r="A493" s="15"/>
      <c r="B493" s="15" t="s">
        <v>1377</v>
      </c>
      <c r="C493" s="16">
        <v>1888</v>
      </c>
      <c r="D493" s="15">
        <v>404</v>
      </c>
      <c r="E493" s="16">
        <v>762752</v>
      </c>
      <c r="F493" s="62">
        <f>E493-E493</f>
        <v>0</v>
      </c>
    </row>
    <row r="494" spans="1:6" x14ac:dyDescent="0.2">
      <c r="A494" s="15" t="s">
        <v>882</v>
      </c>
      <c r="B494" s="139" t="s">
        <v>138</v>
      </c>
      <c r="C494" s="150">
        <v>14.9</v>
      </c>
      <c r="D494" s="135">
        <v>1261</v>
      </c>
      <c r="E494" s="136">
        <v>18788.900000000001</v>
      </c>
      <c r="F494" s="62">
        <f>E494-E495</f>
        <v>-125741.1</v>
      </c>
    </row>
    <row r="495" spans="1:6" x14ac:dyDescent="0.2">
      <c r="A495" s="15"/>
      <c r="B495" s="15" t="s">
        <v>914</v>
      </c>
      <c r="C495" s="16">
        <v>1490</v>
      </c>
      <c r="D495" s="15">
        <v>2</v>
      </c>
      <c r="E495" s="16">
        <v>144530</v>
      </c>
      <c r="F495" s="62">
        <f>E495-E495</f>
        <v>0</v>
      </c>
    </row>
    <row r="496" spans="1:6" x14ac:dyDescent="0.15">
      <c r="A496" s="15" t="s">
        <v>882</v>
      </c>
      <c r="B496" s="137" t="s">
        <v>139</v>
      </c>
      <c r="C496" s="149">
        <v>4.95</v>
      </c>
      <c r="D496" s="135">
        <v>1449</v>
      </c>
      <c r="E496" s="136">
        <v>7172.55</v>
      </c>
      <c r="F496" s="62">
        <f>E496-E497</f>
        <v>-252.44999999999982</v>
      </c>
    </row>
    <row r="497" spans="1:6" x14ac:dyDescent="0.2">
      <c r="A497" s="15"/>
      <c r="B497" s="15" t="s">
        <v>915</v>
      </c>
      <c r="C497" s="16">
        <v>495</v>
      </c>
      <c r="D497" s="15">
        <v>15</v>
      </c>
      <c r="E497" s="16">
        <v>7425</v>
      </c>
      <c r="F497" s="62">
        <f>E497-E497</f>
        <v>0</v>
      </c>
    </row>
    <row r="498" spans="1:6" x14ac:dyDescent="0.15">
      <c r="A498" s="15" t="s">
        <v>882</v>
      </c>
      <c r="B498" s="137" t="s">
        <v>140</v>
      </c>
      <c r="C498" s="149">
        <v>5.04</v>
      </c>
      <c r="D498" s="135">
        <v>1472.6666666666667</v>
      </c>
      <c r="E498" s="136">
        <v>7422.2400000000007</v>
      </c>
      <c r="F498" s="62">
        <f>E498-E499</f>
        <v>-641.75999999999931</v>
      </c>
    </row>
    <row r="499" spans="1:6" x14ac:dyDescent="0.2">
      <c r="A499" s="15"/>
      <c r="B499" s="15" t="s">
        <v>916</v>
      </c>
      <c r="C499" s="16">
        <v>504</v>
      </c>
      <c r="D499" s="15">
        <v>6</v>
      </c>
      <c r="E499" s="16">
        <v>8064</v>
      </c>
      <c r="F499" s="62">
        <f>E499-E499</f>
        <v>0</v>
      </c>
    </row>
    <row r="500" spans="1:6" x14ac:dyDescent="0.2">
      <c r="A500" s="15" t="s">
        <v>882</v>
      </c>
      <c r="B500" s="139" t="s">
        <v>664</v>
      </c>
      <c r="C500" s="150">
        <v>469.8</v>
      </c>
      <c r="D500" s="140">
        <v>46</v>
      </c>
      <c r="E500" s="136">
        <v>21610.799999999999</v>
      </c>
      <c r="F500" s="62">
        <f>E500-E501</f>
        <v>2818.7999999999993</v>
      </c>
    </row>
    <row r="501" spans="1:6" x14ac:dyDescent="0.2">
      <c r="A501" s="15"/>
      <c r="B501" s="15" t="s">
        <v>1458</v>
      </c>
      <c r="C501" s="16">
        <v>4698</v>
      </c>
      <c r="D501" s="15">
        <v>4</v>
      </c>
      <c r="E501" s="16">
        <v>18792</v>
      </c>
      <c r="F501" s="62">
        <f>E501-E501</f>
        <v>0</v>
      </c>
    </row>
    <row r="502" spans="1:6" x14ac:dyDescent="0.15">
      <c r="A502" s="15" t="s">
        <v>882</v>
      </c>
      <c r="B502" s="137" t="s">
        <v>325</v>
      </c>
      <c r="C502" s="149">
        <v>405.4</v>
      </c>
      <c r="D502" s="140">
        <v>0</v>
      </c>
      <c r="E502" s="136">
        <v>0</v>
      </c>
      <c r="F502" s="62">
        <f>E502-E503</f>
        <v>-893555</v>
      </c>
    </row>
    <row r="503" spans="1:6" x14ac:dyDescent="0.2">
      <c r="A503" s="15"/>
      <c r="B503" s="15" t="s">
        <v>1450</v>
      </c>
      <c r="C503" s="16">
        <v>3835</v>
      </c>
      <c r="D503" s="15">
        <v>233</v>
      </c>
      <c r="E503" s="16">
        <v>893555</v>
      </c>
      <c r="F503" s="62">
        <f>E503-E503</f>
        <v>0</v>
      </c>
    </row>
    <row r="504" spans="1:6" x14ac:dyDescent="0.2">
      <c r="A504" s="15" t="s">
        <v>882</v>
      </c>
      <c r="B504" s="139" t="s">
        <v>326</v>
      </c>
      <c r="C504" s="150">
        <v>383.5</v>
      </c>
      <c r="D504" s="140">
        <v>74</v>
      </c>
      <c r="E504" s="136">
        <v>28379</v>
      </c>
      <c r="F504" s="62">
        <f>E504-E505</f>
        <v>28379</v>
      </c>
    </row>
    <row r="505" spans="1:6" x14ac:dyDescent="0.2">
      <c r="A505" s="15"/>
      <c r="B505" s="17"/>
      <c r="C505" s="154"/>
      <c r="D505" s="99"/>
      <c r="E505" s="122"/>
      <c r="F505" s="62">
        <f>E505-E505</f>
        <v>0</v>
      </c>
    </row>
    <row r="506" spans="1:6" x14ac:dyDescent="0.2">
      <c r="A506" s="15" t="s">
        <v>882</v>
      </c>
      <c r="B506" s="139" t="s">
        <v>327</v>
      </c>
      <c r="C506" s="150">
        <v>38961</v>
      </c>
      <c r="D506" s="140">
        <v>3</v>
      </c>
      <c r="E506" s="136">
        <v>116883</v>
      </c>
      <c r="F506" s="62">
        <f>E506-E507</f>
        <v>-701298</v>
      </c>
    </row>
    <row r="507" spans="1:6" x14ac:dyDescent="0.2">
      <c r="A507" s="15"/>
      <c r="B507" s="15" t="s">
        <v>1042</v>
      </c>
      <c r="C507" s="16">
        <v>38961</v>
      </c>
      <c r="D507" s="15">
        <v>21</v>
      </c>
      <c r="E507" s="16">
        <v>818181</v>
      </c>
      <c r="F507" s="62">
        <f>E507-E507</f>
        <v>0</v>
      </c>
    </row>
    <row r="508" spans="1:6" x14ac:dyDescent="0.2">
      <c r="A508" s="15" t="s">
        <v>882</v>
      </c>
      <c r="B508" s="139" t="s">
        <v>328</v>
      </c>
      <c r="C508" s="150">
        <v>49996</v>
      </c>
      <c r="D508" s="140">
        <v>1</v>
      </c>
      <c r="E508" s="136">
        <v>49996</v>
      </c>
      <c r="F508" s="62">
        <f>E508-E509</f>
        <v>-999920</v>
      </c>
    </row>
    <row r="509" spans="1:6" x14ac:dyDescent="0.2">
      <c r="A509" s="15"/>
      <c r="B509" s="15" t="s">
        <v>1043</v>
      </c>
      <c r="C509" s="16">
        <v>49996</v>
      </c>
      <c r="D509" s="15">
        <v>21</v>
      </c>
      <c r="E509" s="16">
        <v>1049916</v>
      </c>
      <c r="F509" s="62">
        <f>E509-E509</f>
        <v>0</v>
      </c>
    </row>
    <row r="510" spans="1:6" x14ac:dyDescent="0.2">
      <c r="A510" s="15" t="s">
        <v>882</v>
      </c>
      <c r="B510" s="139" t="s">
        <v>330</v>
      </c>
      <c r="C510" s="150">
        <v>24411</v>
      </c>
      <c r="D510" s="140">
        <v>1</v>
      </c>
      <c r="E510" s="136">
        <v>24411</v>
      </c>
      <c r="F510" s="62">
        <f>E510-E511</f>
        <v>-366165</v>
      </c>
    </row>
    <row r="511" spans="1:6" x14ac:dyDescent="0.2">
      <c r="A511" s="15"/>
      <c r="B511" s="15" t="s">
        <v>1044</v>
      </c>
      <c r="C511" s="16">
        <v>24411</v>
      </c>
      <c r="D511" s="15">
        <v>16</v>
      </c>
      <c r="E511" s="16">
        <v>390576</v>
      </c>
      <c r="F511" s="62">
        <f>E511-E511</f>
        <v>0</v>
      </c>
    </row>
    <row r="512" spans="1:6" x14ac:dyDescent="0.2">
      <c r="A512" s="15" t="s">
        <v>882</v>
      </c>
      <c r="B512" s="139" t="s">
        <v>331</v>
      </c>
      <c r="C512" s="150">
        <v>32112</v>
      </c>
      <c r="D512" s="140">
        <v>1</v>
      </c>
      <c r="E512" s="136">
        <v>32112</v>
      </c>
      <c r="F512" s="62">
        <f>E512-E513</f>
        <v>-1188144</v>
      </c>
    </row>
    <row r="513" spans="1:6" x14ac:dyDescent="0.2">
      <c r="A513" s="15"/>
      <c r="B513" s="15" t="s">
        <v>1045</v>
      </c>
      <c r="C513" s="16">
        <v>32112</v>
      </c>
      <c r="D513" s="15">
        <v>38</v>
      </c>
      <c r="E513" s="16">
        <v>1220256</v>
      </c>
      <c r="F513" s="62">
        <f>E513-E513</f>
        <v>0</v>
      </c>
    </row>
    <row r="514" spans="1:6" x14ac:dyDescent="0.2">
      <c r="A514" s="15" t="s">
        <v>882</v>
      </c>
      <c r="B514" s="141" t="s">
        <v>406</v>
      </c>
      <c r="C514" s="150">
        <v>39.200000000000003</v>
      </c>
      <c r="D514" s="135">
        <v>215</v>
      </c>
      <c r="E514" s="136">
        <v>8428</v>
      </c>
      <c r="F514" s="62">
        <f>E514-E515</f>
        <v>-42532</v>
      </c>
    </row>
    <row r="515" spans="1:6" x14ac:dyDescent="0.2">
      <c r="A515" s="15"/>
      <c r="B515" s="15" t="s">
        <v>1192</v>
      </c>
      <c r="C515" s="16">
        <v>3920</v>
      </c>
      <c r="D515" s="15">
        <v>13</v>
      </c>
      <c r="E515" s="16">
        <v>50960</v>
      </c>
      <c r="F515" s="62">
        <f>E515-E515</f>
        <v>0</v>
      </c>
    </row>
    <row r="516" spans="1:6" x14ac:dyDescent="0.2">
      <c r="A516" s="15" t="s">
        <v>882</v>
      </c>
      <c r="B516" s="139" t="s">
        <v>332</v>
      </c>
      <c r="C516" s="150">
        <v>73.099999999999994</v>
      </c>
      <c r="D516" s="140">
        <v>9</v>
      </c>
      <c r="E516" s="136">
        <v>657.9</v>
      </c>
      <c r="F516" s="62">
        <f>E516-E517</f>
        <v>-73.100000000000023</v>
      </c>
    </row>
    <row r="517" spans="1:6" x14ac:dyDescent="0.2">
      <c r="A517" s="15"/>
      <c r="B517" s="15" t="s">
        <v>917</v>
      </c>
      <c r="C517" s="16">
        <v>731</v>
      </c>
      <c r="D517" s="15">
        <v>1</v>
      </c>
      <c r="E517" s="16">
        <v>731</v>
      </c>
      <c r="F517" s="62">
        <f>E517-E517</f>
        <v>0</v>
      </c>
    </row>
    <row r="518" spans="1:6" x14ac:dyDescent="0.15">
      <c r="A518" s="15" t="s">
        <v>882</v>
      </c>
      <c r="B518" s="137" t="s">
        <v>841</v>
      </c>
      <c r="C518" s="149">
        <v>14.26</v>
      </c>
      <c r="D518" s="135">
        <v>510</v>
      </c>
      <c r="E518" s="136">
        <v>7272.5999999999995</v>
      </c>
      <c r="F518" s="62">
        <f>E518-E519</f>
        <v>-169551.4</v>
      </c>
    </row>
    <row r="519" spans="1:6" x14ac:dyDescent="0.2">
      <c r="A519" s="15"/>
      <c r="B519" s="15" t="s">
        <v>1080</v>
      </c>
      <c r="C519" s="16">
        <v>1426</v>
      </c>
      <c r="D519" s="15">
        <v>44</v>
      </c>
      <c r="E519" s="16">
        <v>176824</v>
      </c>
      <c r="F519" s="62">
        <f>E519-E519</f>
        <v>0</v>
      </c>
    </row>
    <row r="520" spans="1:6" x14ac:dyDescent="0.2">
      <c r="A520" s="15" t="s">
        <v>882</v>
      </c>
      <c r="B520" s="139" t="s">
        <v>522</v>
      </c>
      <c r="C520" s="150">
        <v>5.43</v>
      </c>
      <c r="D520" s="135">
        <v>1526</v>
      </c>
      <c r="E520" s="136">
        <v>8286.18</v>
      </c>
      <c r="F520" s="62">
        <f>E520-E521</f>
        <v>-40026.82</v>
      </c>
    </row>
    <row r="521" spans="1:6" x14ac:dyDescent="0.2">
      <c r="A521" s="15"/>
      <c r="B521" s="15" t="s">
        <v>965</v>
      </c>
      <c r="C521" s="16">
        <v>543</v>
      </c>
      <c r="D521" s="15">
        <v>19</v>
      </c>
      <c r="E521" s="16">
        <v>48313</v>
      </c>
      <c r="F521" s="62">
        <f>E521-E521</f>
        <v>0</v>
      </c>
    </row>
    <row r="522" spans="1:6" x14ac:dyDescent="0.2">
      <c r="A522" s="15" t="s">
        <v>882</v>
      </c>
      <c r="B522" s="139" t="s">
        <v>141</v>
      </c>
      <c r="C522" s="150">
        <v>7.27</v>
      </c>
      <c r="D522" s="135">
        <v>40</v>
      </c>
      <c r="E522" s="136">
        <v>290.79999999999995</v>
      </c>
      <c r="F522" s="62">
        <f>E522-E523</f>
        <v>290.79999999999995</v>
      </c>
    </row>
    <row r="523" spans="1:6" x14ac:dyDescent="0.2">
      <c r="A523" s="15"/>
      <c r="B523" s="17"/>
      <c r="C523" s="154"/>
      <c r="D523" s="147"/>
      <c r="E523" s="122"/>
      <c r="F523" s="62">
        <f>E523-E523</f>
        <v>0</v>
      </c>
    </row>
    <row r="524" spans="1:6" x14ac:dyDescent="0.15">
      <c r="A524" s="15" t="s">
        <v>882</v>
      </c>
      <c r="B524" s="137" t="s">
        <v>333</v>
      </c>
      <c r="C524" s="149">
        <v>81.06</v>
      </c>
      <c r="D524" s="140">
        <v>35</v>
      </c>
      <c r="E524" s="136">
        <v>2837.1</v>
      </c>
      <c r="F524" s="62">
        <f>E524-E525</f>
        <v>-5268.9</v>
      </c>
    </row>
    <row r="525" spans="1:6" x14ac:dyDescent="0.2">
      <c r="A525" s="15"/>
      <c r="B525" s="15" t="s">
        <v>992</v>
      </c>
      <c r="C525" s="16">
        <v>4053</v>
      </c>
      <c r="D525" s="15">
        <v>2</v>
      </c>
      <c r="E525" s="16">
        <v>8106</v>
      </c>
      <c r="F525" s="62">
        <f>E525-E525</f>
        <v>0</v>
      </c>
    </row>
    <row r="526" spans="1:6" x14ac:dyDescent="0.15">
      <c r="A526" s="15" t="s">
        <v>882</v>
      </c>
      <c r="B526" s="137" t="s">
        <v>388</v>
      </c>
      <c r="C526" s="149">
        <v>6877</v>
      </c>
      <c r="D526" s="140">
        <v>1</v>
      </c>
      <c r="E526" s="136">
        <v>6877</v>
      </c>
      <c r="F526" s="62">
        <f>E526-E527</f>
        <v>-20631</v>
      </c>
    </row>
    <row r="527" spans="1:6" x14ac:dyDescent="0.2">
      <c r="A527" s="15"/>
      <c r="B527" s="15" t="s">
        <v>993</v>
      </c>
      <c r="C527" s="16">
        <v>6877</v>
      </c>
      <c r="D527" s="15">
        <v>4</v>
      </c>
      <c r="E527" s="16">
        <v>27508</v>
      </c>
      <c r="F527" s="62">
        <f>E527-E527</f>
        <v>0</v>
      </c>
    </row>
    <row r="528" spans="1:6" x14ac:dyDescent="0.2">
      <c r="A528" s="15" t="s">
        <v>882</v>
      </c>
      <c r="B528" s="139" t="s">
        <v>712</v>
      </c>
      <c r="C528" s="150">
        <v>4.2300000000000004</v>
      </c>
      <c r="D528" s="135">
        <v>2267</v>
      </c>
      <c r="E528" s="136">
        <v>9589.4100000000017</v>
      </c>
      <c r="F528" s="62">
        <f>E528-E529</f>
        <v>-299200.59000000003</v>
      </c>
    </row>
    <row r="529" spans="1:6" x14ac:dyDescent="0.2">
      <c r="A529" s="15"/>
      <c r="B529" s="15" t="s">
        <v>1258</v>
      </c>
      <c r="C529" s="16">
        <v>4230</v>
      </c>
      <c r="D529" s="15">
        <v>22</v>
      </c>
      <c r="E529" s="16">
        <v>308790</v>
      </c>
      <c r="F529" s="62">
        <f>E529-E529</f>
        <v>0</v>
      </c>
    </row>
    <row r="530" spans="1:6" x14ac:dyDescent="0.15">
      <c r="A530" s="15" t="s">
        <v>882</v>
      </c>
      <c r="B530" s="137" t="s">
        <v>22</v>
      </c>
      <c r="C530" s="157">
        <v>6.5</v>
      </c>
      <c r="D530" s="140">
        <v>652</v>
      </c>
      <c r="E530" s="136">
        <v>4238</v>
      </c>
      <c r="F530" s="62">
        <f>E530-E531</f>
        <v>975</v>
      </c>
    </row>
    <row r="531" spans="1:6" x14ac:dyDescent="0.2">
      <c r="A531" s="15"/>
      <c r="B531" s="15" t="s">
        <v>1252</v>
      </c>
      <c r="C531" s="16">
        <v>3263</v>
      </c>
      <c r="D531" s="15">
        <v>1</v>
      </c>
      <c r="E531" s="16">
        <v>3263</v>
      </c>
      <c r="F531" s="62">
        <f>E531-E531</f>
        <v>0</v>
      </c>
    </row>
    <row r="532" spans="1:6" x14ac:dyDescent="0.15">
      <c r="A532" s="15" t="s">
        <v>882</v>
      </c>
      <c r="B532" s="137" t="s">
        <v>653</v>
      </c>
      <c r="C532" s="149">
        <v>1063</v>
      </c>
      <c r="D532" s="140">
        <v>79</v>
      </c>
      <c r="E532" s="136">
        <v>83977</v>
      </c>
      <c r="F532" s="62">
        <f>E532-E533</f>
        <v>-606973</v>
      </c>
    </row>
    <row r="533" spans="1:6" x14ac:dyDescent="0.2">
      <c r="A533" s="15"/>
      <c r="B533" s="15" t="s">
        <v>1459</v>
      </c>
      <c r="C533" s="16">
        <v>10630</v>
      </c>
      <c r="D533" s="15">
        <v>65</v>
      </c>
      <c r="E533" s="16">
        <v>690950</v>
      </c>
      <c r="F533" s="62">
        <f>E533-E533</f>
        <v>0</v>
      </c>
    </row>
    <row r="534" spans="1:6" x14ac:dyDescent="0.2">
      <c r="A534" s="15" t="s">
        <v>882</v>
      </c>
      <c r="B534" s="141" t="s">
        <v>755</v>
      </c>
      <c r="C534" s="150">
        <v>62.98</v>
      </c>
      <c r="D534" s="135">
        <v>102</v>
      </c>
      <c r="E534" s="136">
        <v>6423.96</v>
      </c>
      <c r="F534" s="62">
        <f>E534-E535</f>
        <v>-20030.04</v>
      </c>
    </row>
    <row r="535" spans="1:6" x14ac:dyDescent="0.2">
      <c r="A535" s="15"/>
      <c r="B535" s="15" t="s">
        <v>1167</v>
      </c>
      <c r="C535" s="16">
        <v>8818</v>
      </c>
      <c r="D535" s="15">
        <v>3</v>
      </c>
      <c r="E535" s="16">
        <v>26454</v>
      </c>
      <c r="F535" s="62">
        <f>E535-E535</f>
        <v>0</v>
      </c>
    </row>
    <row r="536" spans="1:6" x14ac:dyDescent="0.2">
      <c r="A536" s="15" t="s">
        <v>882</v>
      </c>
      <c r="B536" s="139" t="s">
        <v>858</v>
      </c>
      <c r="C536" s="150">
        <v>247.53</v>
      </c>
      <c r="D536" s="135">
        <v>30</v>
      </c>
      <c r="E536" s="136">
        <v>7425.9</v>
      </c>
      <c r="F536" s="62">
        <f>E536-E537</f>
        <v>-462881.1</v>
      </c>
    </row>
    <row r="537" spans="1:6" x14ac:dyDescent="0.2">
      <c r="A537" s="15"/>
      <c r="B537" s="15" t="s">
        <v>975</v>
      </c>
      <c r="C537" s="16">
        <v>24753</v>
      </c>
      <c r="D537" s="15">
        <v>19</v>
      </c>
      <c r="E537" s="16">
        <v>470307</v>
      </c>
      <c r="F537" s="62">
        <f>E537-E537</f>
        <v>0</v>
      </c>
    </row>
    <row r="538" spans="1:6" x14ac:dyDescent="0.2">
      <c r="A538" s="15" t="s">
        <v>882</v>
      </c>
      <c r="B538" s="139" t="s">
        <v>142</v>
      </c>
      <c r="C538" s="150">
        <v>10.63</v>
      </c>
      <c r="D538" s="135">
        <v>3010.5263157894738</v>
      </c>
      <c r="E538" s="136">
        <v>32001.894736842107</v>
      </c>
      <c r="F538" s="62">
        <f>E538-E539</f>
        <v>10741.894736842107</v>
      </c>
    </row>
    <row r="539" spans="1:6" x14ac:dyDescent="0.2">
      <c r="A539" s="15"/>
      <c r="B539" s="15" t="s">
        <v>944</v>
      </c>
      <c r="C539" s="16">
        <v>10630</v>
      </c>
      <c r="D539" s="15">
        <v>2</v>
      </c>
      <c r="E539" s="16">
        <v>21260</v>
      </c>
      <c r="F539" s="62">
        <f>E539-E539</f>
        <v>0</v>
      </c>
    </row>
    <row r="540" spans="1:6" x14ac:dyDescent="0.2">
      <c r="A540" s="15" t="s">
        <v>882</v>
      </c>
      <c r="B540" s="139" t="s">
        <v>425</v>
      </c>
      <c r="C540" s="150">
        <v>5.79</v>
      </c>
      <c r="D540" s="135">
        <v>404.22222222222223</v>
      </c>
      <c r="E540" s="136">
        <v>2340.4466666666667</v>
      </c>
      <c r="F540" s="62">
        <f>E540-E541</f>
        <v>-47453.55333333333</v>
      </c>
    </row>
    <row r="541" spans="1:6" x14ac:dyDescent="0.2">
      <c r="A541" s="15"/>
      <c r="B541" s="15" t="s">
        <v>918</v>
      </c>
      <c r="C541" s="16">
        <v>579</v>
      </c>
      <c r="D541" s="15">
        <v>46</v>
      </c>
      <c r="E541" s="16">
        <v>49794</v>
      </c>
      <c r="F541" s="62">
        <f>E541-E541</f>
        <v>0</v>
      </c>
    </row>
    <row r="542" spans="1:6" x14ac:dyDescent="0.2">
      <c r="A542" s="15" t="s">
        <v>882</v>
      </c>
      <c r="B542" s="139" t="s">
        <v>257</v>
      </c>
      <c r="C542" s="150">
        <v>48.6</v>
      </c>
      <c r="D542" s="135">
        <v>7</v>
      </c>
      <c r="E542" s="136">
        <v>340.2</v>
      </c>
      <c r="F542" s="62">
        <f>E542-E543</f>
        <v>-349.8</v>
      </c>
    </row>
    <row r="543" spans="1:6" x14ac:dyDescent="0.2">
      <c r="A543" s="15"/>
      <c r="B543" s="15" t="s">
        <v>1314</v>
      </c>
      <c r="C543" s="16">
        <v>690</v>
      </c>
      <c r="D543" s="15">
        <v>1</v>
      </c>
      <c r="E543" s="16">
        <v>690</v>
      </c>
      <c r="F543" s="62">
        <f>E543-E543</f>
        <v>0</v>
      </c>
    </row>
    <row r="544" spans="1:6" x14ac:dyDescent="0.2">
      <c r="A544" s="15" t="s">
        <v>882</v>
      </c>
      <c r="B544" s="139" t="s">
        <v>454</v>
      </c>
      <c r="C544" s="150">
        <v>2171</v>
      </c>
      <c r="D544" s="135">
        <v>160</v>
      </c>
      <c r="E544" s="136">
        <v>347360</v>
      </c>
      <c r="F544" s="62">
        <f>E544-E545</f>
        <v>260520</v>
      </c>
    </row>
    <row r="545" spans="1:6" x14ac:dyDescent="0.2">
      <c r="A545" s="15"/>
      <c r="B545" s="15" t="s">
        <v>1477</v>
      </c>
      <c r="C545" s="16">
        <v>21710</v>
      </c>
      <c r="D545" s="15">
        <v>4</v>
      </c>
      <c r="E545" s="16">
        <v>86840</v>
      </c>
      <c r="F545" s="62">
        <f>E545-E545</f>
        <v>0</v>
      </c>
    </row>
    <row r="546" spans="1:6" x14ac:dyDescent="0.15">
      <c r="A546" s="15" t="s">
        <v>882</v>
      </c>
      <c r="B546" s="137" t="s">
        <v>143</v>
      </c>
      <c r="C546" s="149">
        <v>5.22</v>
      </c>
      <c r="D546" s="135">
        <v>2066.3333333333335</v>
      </c>
      <c r="E546" s="136">
        <v>10786.26</v>
      </c>
      <c r="F546" s="62">
        <f>E546-E547</f>
        <v>-185038.74</v>
      </c>
    </row>
    <row r="547" spans="1:6" x14ac:dyDescent="0.2">
      <c r="A547" s="15"/>
      <c r="B547" s="15" t="s">
        <v>919</v>
      </c>
      <c r="C547" s="16">
        <v>5222</v>
      </c>
      <c r="D547" s="15">
        <v>18</v>
      </c>
      <c r="E547" s="16">
        <v>195825</v>
      </c>
      <c r="F547" s="62">
        <f>E547-E547</f>
        <v>0</v>
      </c>
    </row>
    <row r="548" spans="1:6" x14ac:dyDescent="0.15">
      <c r="A548" s="15" t="s">
        <v>882</v>
      </c>
      <c r="B548" s="137" t="s">
        <v>144</v>
      </c>
      <c r="C548" s="149">
        <v>7.62</v>
      </c>
      <c r="D548" s="135">
        <v>1792.8461538461538</v>
      </c>
      <c r="E548" s="136">
        <v>13661.487692307692</v>
      </c>
      <c r="F548" s="62">
        <f>E548-E549</f>
        <v>-12980.512307692308</v>
      </c>
    </row>
    <row r="549" spans="1:6" x14ac:dyDescent="0.2">
      <c r="A549" s="15"/>
      <c r="B549" s="15" t="s">
        <v>920</v>
      </c>
      <c r="C549" s="16">
        <v>3806</v>
      </c>
      <c r="D549" s="15">
        <v>3</v>
      </c>
      <c r="E549" s="16">
        <v>26642</v>
      </c>
      <c r="F549" s="62">
        <f>E549-E549</f>
        <v>0</v>
      </c>
    </row>
    <row r="550" spans="1:6" x14ac:dyDescent="0.15">
      <c r="A550" s="15" t="s">
        <v>882</v>
      </c>
      <c r="B550" s="137" t="s">
        <v>781</v>
      </c>
      <c r="C550" s="149">
        <v>30.95</v>
      </c>
      <c r="D550" s="135">
        <v>285</v>
      </c>
      <c r="E550" s="136">
        <v>8820.75</v>
      </c>
      <c r="F550" s="62">
        <f>E550-E551</f>
        <v>-46889.25</v>
      </c>
    </row>
    <row r="551" spans="1:6" x14ac:dyDescent="0.2">
      <c r="A551" s="15"/>
      <c r="B551" s="15" t="s">
        <v>1297</v>
      </c>
      <c r="C551" s="16">
        <v>3095</v>
      </c>
      <c r="D551" s="15">
        <v>6</v>
      </c>
      <c r="E551" s="16">
        <v>55710</v>
      </c>
      <c r="F551" s="62">
        <f>E551-E551</f>
        <v>0</v>
      </c>
    </row>
    <row r="552" spans="1:6" x14ac:dyDescent="0.15">
      <c r="A552" s="15" t="s">
        <v>882</v>
      </c>
      <c r="B552" s="137" t="s">
        <v>665</v>
      </c>
      <c r="C552" s="149">
        <v>194.6</v>
      </c>
      <c r="D552" s="140">
        <v>9</v>
      </c>
      <c r="E552" s="136">
        <v>1751.3999999999999</v>
      </c>
      <c r="F552" s="62">
        <f>E552-E553</f>
        <v>-194.60000000000014</v>
      </c>
    </row>
    <row r="553" spans="1:6" x14ac:dyDescent="0.2">
      <c r="A553" s="15"/>
      <c r="B553" s="15" t="s">
        <v>1176</v>
      </c>
      <c r="C553" s="16">
        <v>1946</v>
      </c>
      <c r="D553" s="15">
        <v>1</v>
      </c>
      <c r="E553" s="16">
        <v>1946</v>
      </c>
      <c r="F553" s="62">
        <f>E553-E553</f>
        <v>0</v>
      </c>
    </row>
    <row r="554" spans="1:6" x14ac:dyDescent="0.2">
      <c r="A554" s="15" t="s">
        <v>882</v>
      </c>
      <c r="B554" s="139" t="s">
        <v>334</v>
      </c>
      <c r="C554" s="150">
        <v>107</v>
      </c>
      <c r="D554" s="140">
        <v>30</v>
      </c>
      <c r="E554" s="136">
        <v>3210</v>
      </c>
      <c r="F554" s="62">
        <f>E554-E555</f>
        <v>0</v>
      </c>
    </row>
    <row r="555" spans="1:6" x14ac:dyDescent="0.2">
      <c r="A555" s="15"/>
      <c r="B555" s="15" t="s">
        <v>1371</v>
      </c>
      <c r="C555" s="16">
        <v>3210</v>
      </c>
      <c r="D555" s="15">
        <v>1</v>
      </c>
      <c r="E555" s="16">
        <v>3210</v>
      </c>
      <c r="F555" s="62">
        <f>E555-E555</f>
        <v>0</v>
      </c>
    </row>
    <row r="556" spans="1:6" x14ac:dyDescent="0.2">
      <c r="A556" s="15" t="s">
        <v>882</v>
      </c>
      <c r="B556" s="139" t="s">
        <v>335</v>
      </c>
      <c r="C556" s="150">
        <v>160.85</v>
      </c>
      <c r="D556" s="140">
        <v>87</v>
      </c>
      <c r="E556" s="136">
        <v>13993.949999999999</v>
      </c>
      <c r="F556" s="62">
        <f>E556-E557</f>
        <v>-95384.05</v>
      </c>
    </row>
    <row r="557" spans="1:6" x14ac:dyDescent="0.2">
      <c r="A557" s="15"/>
      <c r="B557" s="15" t="s">
        <v>1372</v>
      </c>
      <c r="C557" s="16">
        <v>3217</v>
      </c>
      <c r="D557" s="15">
        <v>34</v>
      </c>
      <c r="E557" s="16">
        <v>109378</v>
      </c>
      <c r="F557" s="62">
        <f>E557-E557</f>
        <v>0</v>
      </c>
    </row>
    <row r="558" spans="1:6" x14ac:dyDescent="0.15">
      <c r="A558" s="15" t="s">
        <v>882</v>
      </c>
      <c r="B558" s="137" t="s">
        <v>842</v>
      </c>
      <c r="C558" s="149">
        <v>143.55000000000001</v>
      </c>
      <c r="D558" s="135">
        <v>66</v>
      </c>
      <c r="E558" s="136">
        <v>9474.3000000000011</v>
      </c>
      <c r="F558" s="62">
        <f>E558-E559</f>
        <v>-33590.699999999997</v>
      </c>
    </row>
    <row r="559" spans="1:6" x14ac:dyDescent="0.2">
      <c r="A559" s="15"/>
      <c r="B559" s="15" t="s">
        <v>1427</v>
      </c>
      <c r="C559" s="16">
        <v>14355</v>
      </c>
      <c r="D559" s="15">
        <v>3</v>
      </c>
      <c r="E559" s="16">
        <v>43065</v>
      </c>
      <c r="F559" s="62">
        <f>E559-E559</f>
        <v>0</v>
      </c>
    </row>
    <row r="560" spans="1:6" x14ac:dyDescent="0.15">
      <c r="A560" s="15" t="s">
        <v>882</v>
      </c>
      <c r="B560" s="137" t="s">
        <v>258</v>
      </c>
      <c r="C560" s="149">
        <v>49.18</v>
      </c>
      <c r="D560" s="135">
        <v>43</v>
      </c>
      <c r="E560" s="136">
        <v>2114.7399999999998</v>
      </c>
      <c r="F560" s="62">
        <f>E560-E561</f>
        <v>-10180.26</v>
      </c>
    </row>
    <row r="561" spans="1:11" x14ac:dyDescent="0.2">
      <c r="A561" s="15"/>
      <c r="B561" s="15" t="s">
        <v>945</v>
      </c>
      <c r="C561" s="16">
        <v>2459</v>
      </c>
      <c r="D561" s="15">
        <v>5</v>
      </c>
      <c r="E561" s="16">
        <v>12295</v>
      </c>
      <c r="F561" s="62">
        <f>E561-E561</f>
        <v>0</v>
      </c>
    </row>
    <row r="562" spans="1:11" x14ac:dyDescent="0.2">
      <c r="A562" s="15" t="s">
        <v>882</v>
      </c>
      <c r="B562" s="139" t="s">
        <v>802</v>
      </c>
      <c r="C562" s="150">
        <v>50.78</v>
      </c>
      <c r="D562" s="140">
        <v>22</v>
      </c>
      <c r="E562" s="136">
        <v>1117.1600000000001</v>
      </c>
      <c r="F562" s="62">
        <f>E562-E563</f>
        <v>-9038.84</v>
      </c>
      <c r="K562" t="s">
        <v>1506</v>
      </c>
    </row>
    <row r="563" spans="1:11" x14ac:dyDescent="0.2">
      <c r="A563" s="15"/>
      <c r="B563" s="15" t="s">
        <v>1345</v>
      </c>
      <c r="C563" s="16">
        <v>2539</v>
      </c>
      <c r="D563" s="15">
        <v>4</v>
      </c>
      <c r="E563" s="16">
        <v>10156</v>
      </c>
      <c r="F563" s="62">
        <f>E563-E563</f>
        <v>0</v>
      </c>
    </row>
    <row r="564" spans="1:11" x14ac:dyDescent="0.2">
      <c r="A564" s="15" t="s">
        <v>882</v>
      </c>
      <c r="B564" s="143" t="s">
        <v>407</v>
      </c>
      <c r="C564" s="150">
        <v>14.61</v>
      </c>
      <c r="D564" s="135">
        <v>98.5</v>
      </c>
      <c r="E564" s="136">
        <v>1439.085</v>
      </c>
      <c r="F564" s="62">
        <f>E564-E565</f>
        <v>-7326.915</v>
      </c>
    </row>
    <row r="565" spans="1:11" x14ac:dyDescent="0.2">
      <c r="A565" s="15"/>
      <c r="B565" s="15" t="s">
        <v>1484</v>
      </c>
      <c r="C565" s="16">
        <v>1461</v>
      </c>
      <c r="D565" s="15">
        <v>6</v>
      </c>
      <c r="E565" s="16">
        <v>8766</v>
      </c>
      <c r="F565" s="62">
        <f>E565-E565</f>
        <v>0</v>
      </c>
    </row>
    <row r="566" spans="1:11" x14ac:dyDescent="0.2">
      <c r="A566" s="15" t="s">
        <v>882</v>
      </c>
      <c r="B566" s="143" t="s">
        <v>554</v>
      </c>
      <c r="C566" s="150">
        <v>136.75</v>
      </c>
      <c r="D566" s="135">
        <v>119</v>
      </c>
      <c r="E566" s="136">
        <v>16273.25</v>
      </c>
      <c r="F566" s="62">
        <f>E566-E567</f>
        <v>-93126.75</v>
      </c>
    </row>
    <row r="567" spans="1:11" x14ac:dyDescent="0.2">
      <c r="A567" s="15"/>
      <c r="B567" s="15" t="s">
        <v>1428</v>
      </c>
      <c r="C567" s="16">
        <v>13675</v>
      </c>
      <c r="D567" s="15">
        <v>8</v>
      </c>
      <c r="E567" s="16">
        <v>109400</v>
      </c>
      <c r="F567" s="62">
        <f>E567-E567</f>
        <v>0</v>
      </c>
    </row>
    <row r="568" spans="1:11" x14ac:dyDescent="0.15">
      <c r="A568" s="15" t="s">
        <v>882</v>
      </c>
      <c r="B568" s="137" t="s">
        <v>779</v>
      </c>
      <c r="C568" s="149">
        <v>85.3</v>
      </c>
      <c r="D568" s="135">
        <v>372</v>
      </c>
      <c r="E568" s="136">
        <v>31731.599999999999</v>
      </c>
      <c r="F568" s="62">
        <f>E568-E569</f>
        <v>-2519178.4</v>
      </c>
    </row>
    <row r="569" spans="1:11" x14ac:dyDescent="0.2">
      <c r="A569" s="15"/>
      <c r="B569" s="15" t="s">
        <v>1241</v>
      </c>
      <c r="C569" s="16">
        <v>8530</v>
      </c>
      <c r="D569" s="15">
        <v>23</v>
      </c>
      <c r="E569" s="16">
        <v>2550910</v>
      </c>
      <c r="F569" s="62">
        <f>E569-E569</f>
        <v>0</v>
      </c>
    </row>
    <row r="570" spans="1:11" x14ac:dyDescent="0.15">
      <c r="A570" s="15" t="s">
        <v>882</v>
      </c>
      <c r="B570" s="137" t="s">
        <v>780</v>
      </c>
      <c r="C570" s="149">
        <v>127.6</v>
      </c>
      <c r="D570" s="135">
        <v>340.90909090909088</v>
      </c>
      <c r="E570" s="136">
        <v>43499.999999999993</v>
      </c>
      <c r="F570" s="62">
        <f>E570-E571</f>
        <v>-377580</v>
      </c>
    </row>
    <row r="571" spans="1:11" x14ac:dyDescent="0.2">
      <c r="A571" s="15"/>
      <c r="B571" s="15" t="s">
        <v>1242</v>
      </c>
      <c r="C571" s="16">
        <v>12760</v>
      </c>
      <c r="D571" s="15">
        <v>18</v>
      </c>
      <c r="E571" s="16">
        <v>421080</v>
      </c>
      <c r="F571" s="62">
        <f>E571-E571</f>
        <v>0</v>
      </c>
    </row>
    <row r="572" spans="1:11" x14ac:dyDescent="0.2">
      <c r="A572" s="15" t="s">
        <v>882</v>
      </c>
      <c r="B572" s="139" t="s">
        <v>654</v>
      </c>
      <c r="C572" s="150">
        <v>420.5</v>
      </c>
      <c r="D572" s="140">
        <v>20</v>
      </c>
      <c r="E572" s="136">
        <v>8410</v>
      </c>
      <c r="F572" s="62">
        <f>E572-E573</f>
        <v>-365835</v>
      </c>
    </row>
    <row r="573" spans="1:11" x14ac:dyDescent="0.2">
      <c r="A573" s="15"/>
      <c r="B573" s="15" t="s">
        <v>1243</v>
      </c>
      <c r="C573" s="16">
        <v>4205</v>
      </c>
      <c r="D573" s="15">
        <v>89</v>
      </c>
      <c r="E573" s="16">
        <v>374245</v>
      </c>
      <c r="F573" s="62">
        <f>E573-E573</f>
        <v>0</v>
      </c>
    </row>
    <row r="574" spans="1:11" x14ac:dyDescent="0.2">
      <c r="A574" s="15" t="s">
        <v>882</v>
      </c>
      <c r="B574" s="143" t="s">
        <v>408</v>
      </c>
      <c r="C574" s="150">
        <v>8.2899999999999991</v>
      </c>
      <c r="D574" s="135">
        <v>57</v>
      </c>
      <c r="E574" s="136">
        <v>472.53</v>
      </c>
      <c r="F574" s="62">
        <f>E574-E575</f>
        <v>-6988.47</v>
      </c>
    </row>
    <row r="575" spans="1:11" x14ac:dyDescent="0.2">
      <c r="A575" s="15"/>
      <c r="B575" s="15" t="s">
        <v>1405</v>
      </c>
      <c r="C575" s="16">
        <v>829</v>
      </c>
      <c r="D575" s="15">
        <v>9</v>
      </c>
      <c r="E575" s="16">
        <v>7461</v>
      </c>
      <c r="F575" s="62">
        <f>E575-E575</f>
        <v>0</v>
      </c>
    </row>
    <row r="576" spans="1:11" x14ac:dyDescent="0.15">
      <c r="A576" s="15" t="s">
        <v>882</v>
      </c>
      <c r="B576" s="137" t="s">
        <v>147</v>
      </c>
      <c r="C576" s="149">
        <v>17.43</v>
      </c>
      <c r="D576" s="135">
        <v>612.5</v>
      </c>
      <c r="E576" s="136">
        <v>10675.875</v>
      </c>
      <c r="F576" s="62">
        <f>E576-E577</f>
        <v>-135708.125</v>
      </c>
    </row>
    <row r="577" spans="1:6" x14ac:dyDescent="0.2">
      <c r="A577" s="15"/>
      <c r="B577" s="15" t="s">
        <v>1298</v>
      </c>
      <c r="C577" s="16">
        <v>5228</v>
      </c>
      <c r="D577" s="15">
        <v>28</v>
      </c>
      <c r="E577" s="16">
        <v>146384</v>
      </c>
      <c r="F577" s="62">
        <f>E577-E577</f>
        <v>0</v>
      </c>
    </row>
    <row r="578" spans="1:6" x14ac:dyDescent="0.15">
      <c r="A578" s="15" t="s">
        <v>882</v>
      </c>
      <c r="B578" s="137" t="s">
        <v>843</v>
      </c>
      <c r="C578" s="149">
        <v>80.569999999999993</v>
      </c>
      <c r="D578" s="135">
        <v>230</v>
      </c>
      <c r="E578" s="136">
        <v>18531.099999999999</v>
      </c>
      <c r="F578" s="62">
        <f>E578-E579</f>
        <v>-45924.9</v>
      </c>
    </row>
    <row r="579" spans="1:6" x14ac:dyDescent="0.2">
      <c r="A579" s="15"/>
      <c r="B579" s="15" t="s">
        <v>1109</v>
      </c>
      <c r="C579" s="16">
        <v>8057</v>
      </c>
      <c r="D579" s="15">
        <v>8</v>
      </c>
      <c r="E579" s="16">
        <v>64456</v>
      </c>
      <c r="F579" s="62">
        <f>E579-E579</f>
        <v>0</v>
      </c>
    </row>
    <row r="580" spans="1:6" x14ac:dyDescent="0.2">
      <c r="A580" s="15" t="s">
        <v>882</v>
      </c>
      <c r="B580" s="139" t="s">
        <v>259</v>
      </c>
      <c r="C580" s="150">
        <v>345</v>
      </c>
      <c r="D580" s="135">
        <v>15</v>
      </c>
      <c r="E580" s="136">
        <v>5175</v>
      </c>
      <c r="F580" s="62">
        <f>E580-E581</f>
        <v>1725</v>
      </c>
    </row>
    <row r="581" spans="1:6" x14ac:dyDescent="0.2">
      <c r="A581" s="15"/>
      <c r="B581" s="15" t="s">
        <v>1145</v>
      </c>
      <c r="C581" s="16">
        <v>3450</v>
      </c>
      <c r="D581" s="15">
        <v>1</v>
      </c>
      <c r="E581" s="16">
        <v>3450</v>
      </c>
      <c r="F581" s="62">
        <f>E581-E581</f>
        <v>0</v>
      </c>
    </row>
    <row r="582" spans="1:6" x14ac:dyDescent="0.15">
      <c r="A582" s="15" t="s">
        <v>882</v>
      </c>
      <c r="B582" s="137" t="s">
        <v>260</v>
      </c>
      <c r="C582" s="149">
        <v>495.4</v>
      </c>
      <c r="D582" s="135">
        <v>3</v>
      </c>
      <c r="E582" s="136">
        <v>1486.1999999999998</v>
      </c>
      <c r="F582" s="62">
        <f>E582-E583</f>
        <v>-3467.8</v>
      </c>
    </row>
    <row r="583" spans="1:6" x14ac:dyDescent="0.2">
      <c r="A583" s="15"/>
      <c r="B583" s="15" t="s">
        <v>1157</v>
      </c>
      <c r="C583" s="16">
        <v>2477</v>
      </c>
      <c r="D583" s="15">
        <v>2</v>
      </c>
      <c r="E583" s="16">
        <v>4954</v>
      </c>
      <c r="F583" s="62">
        <f>E583-E583</f>
        <v>0</v>
      </c>
    </row>
    <row r="584" spans="1:6" x14ac:dyDescent="0.2">
      <c r="A584" s="15" t="s">
        <v>882</v>
      </c>
      <c r="B584" s="139" t="s">
        <v>803</v>
      </c>
      <c r="C584" s="150">
        <v>1717</v>
      </c>
      <c r="D584" s="140">
        <v>2</v>
      </c>
      <c r="E584" s="136">
        <v>3434</v>
      </c>
      <c r="F584" s="62">
        <f>E584-E585</f>
        <v>-211191</v>
      </c>
    </row>
    <row r="585" spans="1:6" x14ac:dyDescent="0.2">
      <c r="A585" s="15"/>
      <c r="B585" s="15" t="s">
        <v>1429</v>
      </c>
      <c r="C585" s="16">
        <v>1717</v>
      </c>
      <c r="D585" s="15">
        <v>125</v>
      </c>
      <c r="E585" s="16">
        <v>214625</v>
      </c>
      <c r="F585" s="62">
        <f>E585-E585</f>
        <v>0</v>
      </c>
    </row>
    <row r="586" spans="1:6" x14ac:dyDescent="0.2">
      <c r="A586" s="15" t="s">
        <v>882</v>
      </c>
      <c r="B586" s="139" t="s">
        <v>150</v>
      </c>
      <c r="C586" s="150">
        <v>16.579999999999998</v>
      </c>
      <c r="D586" s="135">
        <v>130</v>
      </c>
      <c r="E586" s="136">
        <v>2155.3999999999996</v>
      </c>
      <c r="F586" s="62">
        <f>E586-E587</f>
        <v>497.39999999999964</v>
      </c>
    </row>
    <row r="587" spans="1:6" x14ac:dyDescent="0.2">
      <c r="A587" s="15"/>
      <c r="B587" s="15" t="s">
        <v>1131</v>
      </c>
      <c r="C587" s="16">
        <v>1658</v>
      </c>
      <c r="D587" s="15">
        <v>1</v>
      </c>
      <c r="E587" s="16">
        <v>1658</v>
      </c>
      <c r="F587" s="62">
        <f>E587-E587</f>
        <v>0</v>
      </c>
    </row>
    <row r="588" spans="1:6" x14ac:dyDescent="0.2">
      <c r="A588" s="15" t="s">
        <v>882</v>
      </c>
      <c r="B588" s="139" t="s">
        <v>336</v>
      </c>
      <c r="C588" s="150">
        <v>7999.6</v>
      </c>
      <c r="D588" s="140">
        <v>2</v>
      </c>
      <c r="E588" s="136">
        <v>15999.2</v>
      </c>
      <c r="F588" s="62">
        <f>E588-E589</f>
        <v>15999.2</v>
      </c>
    </row>
    <row r="589" spans="1:6" x14ac:dyDescent="0.2">
      <c r="A589" s="15"/>
      <c r="B589" s="15"/>
      <c r="C589" s="16"/>
      <c r="D589" s="15"/>
      <c r="E589" s="16"/>
      <c r="F589" s="62">
        <f>E589-E589</f>
        <v>0</v>
      </c>
    </row>
    <row r="590" spans="1:6" x14ac:dyDescent="0.2">
      <c r="A590" s="15" t="s">
        <v>882</v>
      </c>
      <c r="B590" s="139" t="s">
        <v>680</v>
      </c>
      <c r="C590" s="155">
        <v>6.36</v>
      </c>
      <c r="D590" s="140">
        <v>730</v>
      </c>
      <c r="E590" s="136">
        <v>4642.8</v>
      </c>
      <c r="F590" s="62">
        <f>E590-E591</f>
        <v>-8073.2</v>
      </c>
    </row>
    <row r="591" spans="1:6" x14ac:dyDescent="0.2">
      <c r="A591" s="15"/>
      <c r="B591" s="15" t="s">
        <v>1236</v>
      </c>
      <c r="C591" s="16">
        <v>3179</v>
      </c>
      <c r="D591" s="15">
        <v>4</v>
      </c>
      <c r="E591" s="16">
        <v>12716</v>
      </c>
      <c r="F591" s="62">
        <f>E591-E591</f>
        <v>0</v>
      </c>
    </row>
    <row r="592" spans="1:6" x14ac:dyDescent="0.2">
      <c r="A592" s="15" t="s">
        <v>882</v>
      </c>
      <c r="B592" s="143" t="s">
        <v>556</v>
      </c>
      <c r="C592" s="150">
        <v>41.39</v>
      </c>
      <c r="D592" s="135">
        <v>136</v>
      </c>
      <c r="E592" s="136">
        <v>5629.04</v>
      </c>
      <c r="F592" s="62">
        <f>E592-E593</f>
        <v>-27482.959999999999</v>
      </c>
    </row>
    <row r="593" spans="1:6" x14ac:dyDescent="0.2">
      <c r="A593" s="15"/>
      <c r="B593" s="15" t="s">
        <v>1168</v>
      </c>
      <c r="C593" s="16">
        <v>4139</v>
      </c>
      <c r="D593" s="15">
        <v>8</v>
      </c>
      <c r="E593" s="16">
        <v>33112</v>
      </c>
      <c r="F593" s="62">
        <f>E593-E593</f>
        <v>0</v>
      </c>
    </row>
    <row r="594" spans="1:6" x14ac:dyDescent="0.2">
      <c r="A594" s="15" t="s">
        <v>882</v>
      </c>
      <c r="B594" s="139" t="s">
        <v>804</v>
      </c>
      <c r="C594" s="150">
        <v>838.8</v>
      </c>
      <c r="D594" s="140">
        <v>48</v>
      </c>
      <c r="E594" s="136">
        <v>40262.399999999994</v>
      </c>
      <c r="F594" s="62">
        <f>E594-E595</f>
        <v>-35229.600000000006</v>
      </c>
    </row>
    <row r="595" spans="1:6" x14ac:dyDescent="0.2">
      <c r="A595" s="15"/>
      <c r="B595" s="15" t="s">
        <v>1460</v>
      </c>
      <c r="C595" s="16">
        <v>8388</v>
      </c>
      <c r="D595" s="15">
        <v>9</v>
      </c>
      <c r="E595" s="16">
        <v>75492</v>
      </c>
      <c r="F595" s="62">
        <f>E595-E595</f>
        <v>0</v>
      </c>
    </row>
    <row r="596" spans="1:6" x14ac:dyDescent="0.2">
      <c r="A596" s="15" t="s">
        <v>882</v>
      </c>
      <c r="B596" s="139" t="s">
        <v>557</v>
      </c>
      <c r="C596" s="150">
        <v>4.84</v>
      </c>
      <c r="D596" s="135">
        <v>672.72727272727263</v>
      </c>
      <c r="E596" s="136">
        <v>3255.9999999999995</v>
      </c>
      <c r="F596" s="62">
        <f>E596-E597</f>
        <v>-11264</v>
      </c>
    </row>
    <row r="597" spans="1:6" x14ac:dyDescent="0.2">
      <c r="A597" s="15"/>
      <c r="B597" s="15" t="s">
        <v>1135</v>
      </c>
      <c r="C597" s="16">
        <v>4840</v>
      </c>
      <c r="D597" s="15">
        <v>3</v>
      </c>
      <c r="E597" s="16">
        <v>14520</v>
      </c>
      <c r="F597" s="62">
        <f>E597-E597</f>
        <v>0</v>
      </c>
    </row>
    <row r="598" spans="1:6" x14ac:dyDescent="0.2">
      <c r="A598" s="15" t="s">
        <v>882</v>
      </c>
      <c r="B598" s="139" t="s">
        <v>637</v>
      </c>
      <c r="C598" s="150">
        <v>251.3</v>
      </c>
      <c r="D598" s="135">
        <v>12</v>
      </c>
      <c r="E598" s="136">
        <v>3015.6000000000004</v>
      </c>
      <c r="F598" s="62">
        <f>E598-E599</f>
        <v>3015.6000000000004</v>
      </c>
    </row>
    <row r="599" spans="1:6" x14ac:dyDescent="0.2">
      <c r="A599" s="15"/>
      <c r="B599" s="17"/>
      <c r="C599" s="154"/>
      <c r="D599" s="147"/>
      <c r="E599" s="122"/>
      <c r="F599" s="62">
        <f>E599-E599</f>
        <v>0</v>
      </c>
    </row>
    <row r="600" spans="1:6" x14ac:dyDescent="0.2">
      <c r="A600" s="15" t="s">
        <v>882</v>
      </c>
      <c r="B600" s="139" t="s">
        <v>558</v>
      </c>
      <c r="C600" s="150">
        <v>8.73</v>
      </c>
      <c r="D600" s="135">
        <v>1390</v>
      </c>
      <c r="E600" s="136">
        <v>12134.7</v>
      </c>
      <c r="F600" s="62">
        <f>E600-E601</f>
        <v>-35880.300000000003</v>
      </c>
    </row>
    <row r="601" spans="1:6" x14ac:dyDescent="0.2">
      <c r="A601" s="15"/>
      <c r="B601" s="15" t="s">
        <v>1276</v>
      </c>
      <c r="C601" s="16">
        <v>4365</v>
      </c>
      <c r="D601" s="15">
        <v>11</v>
      </c>
      <c r="E601" s="16">
        <v>48015</v>
      </c>
      <c r="F601" s="62">
        <f>E601-E601</f>
        <v>0</v>
      </c>
    </row>
    <row r="602" spans="1:6" x14ac:dyDescent="0.2">
      <c r="A602" s="15" t="s">
        <v>882</v>
      </c>
      <c r="B602" s="139" t="s">
        <v>151</v>
      </c>
      <c r="C602" s="150">
        <v>8.73</v>
      </c>
      <c r="D602" s="135">
        <v>1260</v>
      </c>
      <c r="E602" s="136">
        <v>10999.800000000001</v>
      </c>
      <c r="F602" s="62">
        <f>E602-E603</f>
        <v>-80665.2</v>
      </c>
    </row>
    <row r="603" spans="1:6" x14ac:dyDescent="0.2">
      <c r="A603" s="15"/>
      <c r="B603" s="15" t="s">
        <v>1277</v>
      </c>
      <c r="C603" s="16">
        <v>4365</v>
      </c>
      <c r="D603" s="15">
        <v>21</v>
      </c>
      <c r="E603" s="16">
        <v>91665</v>
      </c>
      <c r="F603" s="62">
        <f>E603-E603</f>
        <v>0</v>
      </c>
    </row>
    <row r="604" spans="1:6" x14ac:dyDescent="0.2">
      <c r="A604" s="15" t="s">
        <v>882</v>
      </c>
      <c r="B604" s="141"/>
      <c r="C604" s="136"/>
      <c r="D604" s="141"/>
      <c r="E604" s="136"/>
      <c r="F604" s="62">
        <f>E604-E605</f>
        <v>-256963</v>
      </c>
    </row>
    <row r="605" spans="1:6" x14ac:dyDescent="0.2">
      <c r="A605" s="15"/>
      <c r="B605" s="15" t="s">
        <v>1278</v>
      </c>
      <c r="C605" s="16">
        <v>36709</v>
      </c>
      <c r="D605" s="15">
        <v>7</v>
      </c>
      <c r="E605" s="16">
        <v>256963</v>
      </c>
      <c r="F605" s="62">
        <f>E605-E605</f>
        <v>0</v>
      </c>
    </row>
    <row r="606" spans="1:6" x14ac:dyDescent="0.15">
      <c r="A606" s="15" t="s">
        <v>882</v>
      </c>
      <c r="B606" s="137" t="s">
        <v>284</v>
      </c>
      <c r="C606" s="149">
        <v>20.6</v>
      </c>
      <c r="D606" s="135">
        <v>258</v>
      </c>
      <c r="E606" s="136">
        <v>5314.8</v>
      </c>
      <c r="F606" s="62">
        <f>E606-E607</f>
        <v>-32255.200000000001</v>
      </c>
    </row>
    <row r="607" spans="1:6" x14ac:dyDescent="0.2">
      <c r="A607" s="15"/>
      <c r="B607" s="15" t="s">
        <v>1227</v>
      </c>
      <c r="C607" s="16">
        <v>1445</v>
      </c>
      <c r="D607" s="15">
        <v>26</v>
      </c>
      <c r="E607" s="16">
        <v>37570</v>
      </c>
      <c r="F607" s="62">
        <f>E607-E607</f>
        <v>0</v>
      </c>
    </row>
    <row r="608" spans="1:6" x14ac:dyDescent="0.2">
      <c r="A608" s="15" t="s">
        <v>882</v>
      </c>
      <c r="B608" s="139" t="s">
        <v>559</v>
      </c>
      <c r="C608" s="150">
        <v>44.8</v>
      </c>
      <c r="D608" s="135">
        <v>791.66666666666674</v>
      </c>
      <c r="E608" s="136">
        <v>35466.666666666664</v>
      </c>
      <c r="F608" s="62">
        <f>E608-E609</f>
        <v>-811253.33333333337</v>
      </c>
    </row>
    <row r="609" spans="1:6" x14ac:dyDescent="0.2">
      <c r="A609" s="15"/>
      <c r="B609" s="15" t="s">
        <v>1110</v>
      </c>
      <c r="C609" s="16"/>
      <c r="D609" s="15"/>
      <c r="E609" s="16">
        <v>846720</v>
      </c>
      <c r="F609" s="62">
        <f>E609-E609</f>
        <v>0</v>
      </c>
    </row>
    <row r="610" spans="1:6" x14ac:dyDescent="0.2">
      <c r="A610" s="15" t="s">
        <v>882</v>
      </c>
      <c r="B610" s="139" t="s">
        <v>560</v>
      </c>
      <c r="C610" s="150">
        <v>71.12</v>
      </c>
      <c r="D610" s="135">
        <v>1937.3333333333335</v>
      </c>
      <c r="E610" s="136">
        <v>137783.1466666667</v>
      </c>
      <c r="F610" s="62">
        <f>E610-E611</f>
        <v>-4627256.8533333335</v>
      </c>
    </row>
    <row r="611" spans="1:6" x14ac:dyDescent="0.2">
      <c r="A611" s="15"/>
      <c r="B611" s="15" t="s">
        <v>1111</v>
      </c>
      <c r="C611" s="16">
        <v>35560</v>
      </c>
      <c r="D611" s="15">
        <v>25</v>
      </c>
      <c r="E611" s="16">
        <v>4765040</v>
      </c>
      <c r="F611" s="62">
        <f>E611-E611</f>
        <v>0</v>
      </c>
    </row>
    <row r="612" spans="1:6" x14ac:dyDescent="0.2">
      <c r="A612" s="15" t="s">
        <v>882</v>
      </c>
      <c r="B612" s="139" t="s">
        <v>152</v>
      </c>
      <c r="C612" s="150">
        <v>5.26</v>
      </c>
      <c r="D612" s="135">
        <v>395.6521739130435</v>
      </c>
      <c r="E612" s="136">
        <v>2081.1304347826085</v>
      </c>
      <c r="F612" s="62">
        <f>E612-E613</f>
        <v>-4756.8695652173919</v>
      </c>
    </row>
    <row r="613" spans="1:6" x14ac:dyDescent="0.2">
      <c r="A613" s="15"/>
      <c r="B613" s="15" t="s">
        <v>1228</v>
      </c>
      <c r="C613" s="16">
        <v>526</v>
      </c>
      <c r="D613" s="15">
        <v>13</v>
      </c>
      <c r="E613" s="16">
        <v>6838</v>
      </c>
      <c r="F613" s="62">
        <f>E613-E613</f>
        <v>0</v>
      </c>
    </row>
    <row r="614" spans="1:6" x14ac:dyDescent="0.2">
      <c r="A614" s="15" t="s">
        <v>882</v>
      </c>
      <c r="B614" s="139" t="s">
        <v>805</v>
      </c>
      <c r="C614" s="150">
        <v>154.1</v>
      </c>
      <c r="D614" s="140">
        <v>10</v>
      </c>
      <c r="E614" s="136">
        <v>1541</v>
      </c>
      <c r="F614" s="62">
        <f>E614-E615</f>
        <v>-1541</v>
      </c>
    </row>
    <row r="615" spans="1:6" x14ac:dyDescent="0.2">
      <c r="A615" s="15"/>
      <c r="B615" s="15" t="s">
        <v>1282</v>
      </c>
      <c r="C615" s="16">
        <v>1541</v>
      </c>
      <c r="D615" s="15">
        <v>2</v>
      </c>
      <c r="E615" s="16">
        <v>3082</v>
      </c>
      <c r="F615" s="62">
        <f>E615-E615</f>
        <v>0</v>
      </c>
    </row>
    <row r="616" spans="1:6" x14ac:dyDescent="0.2">
      <c r="A616" s="15" t="s">
        <v>882</v>
      </c>
      <c r="B616" s="139" t="s">
        <v>638</v>
      </c>
      <c r="C616" s="150">
        <v>195</v>
      </c>
      <c r="D616" s="135">
        <v>20</v>
      </c>
      <c r="E616" s="136">
        <v>3900</v>
      </c>
      <c r="F616" s="62">
        <f>E616-E617</f>
        <v>-4960</v>
      </c>
    </row>
    <row r="617" spans="1:6" x14ac:dyDescent="0.2">
      <c r="A617" s="15"/>
      <c r="B617" s="15" t="s">
        <v>1269</v>
      </c>
      <c r="C617" s="16">
        <v>1772</v>
      </c>
      <c r="D617" s="15">
        <v>5</v>
      </c>
      <c r="E617" s="16">
        <v>8860</v>
      </c>
      <c r="F617" s="62">
        <f>E617-E617</f>
        <v>0</v>
      </c>
    </row>
    <row r="618" spans="1:6" x14ac:dyDescent="0.15">
      <c r="A618" s="15" t="s">
        <v>882</v>
      </c>
      <c r="B618" s="137" t="s">
        <v>788</v>
      </c>
      <c r="C618" s="149">
        <v>172.8</v>
      </c>
      <c r="D618" s="135">
        <v>7</v>
      </c>
      <c r="E618" s="136">
        <v>1209.6000000000001</v>
      </c>
      <c r="F618" s="62">
        <f>E618-E619</f>
        <v>-518.39999999999986</v>
      </c>
    </row>
    <row r="619" spans="1:6" x14ac:dyDescent="0.2">
      <c r="A619" s="15"/>
      <c r="B619" s="15" t="s">
        <v>1315</v>
      </c>
      <c r="C619" s="16">
        <v>1728</v>
      </c>
      <c r="D619" s="15">
        <v>1</v>
      </c>
      <c r="E619" s="16">
        <v>1728</v>
      </c>
      <c r="F619" s="62">
        <f>E619-E619</f>
        <v>0</v>
      </c>
    </row>
    <row r="620" spans="1:6" x14ac:dyDescent="0.2">
      <c r="A620" s="15" t="s">
        <v>882</v>
      </c>
      <c r="B620" s="139" t="s">
        <v>620</v>
      </c>
      <c r="C620" s="150">
        <v>848.3</v>
      </c>
      <c r="D620" s="135">
        <v>8</v>
      </c>
      <c r="E620" s="136">
        <v>6786.4</v>
      </c>
      <c r="F620" s="62">
        <f>E620-E621</f>
        <v>6786.4</v>
      </c>
    </row>
    <row r="621" spans="1:6" x14ac:dyDescent="0.2">
      <c r="A621" s="15"/>
      <c r="B621" s="17"/>
      <c r="C621" s="154"/>
      <c r="D621" s="147"/>
      <c r="E621" s="122"/>
      <c r="F621" s="62">
        <f>E621-E621</f>
        <v>0</v>
      </c>
    </row>
    <row r="622" spans="1:6" x14ac:dyDescent="0.15">
      <c r="A622" s="15" t="s">
        <v>882</v>
      </c>
      <c r="B622" s="137" t="s">
        <v>153</v>
      </c>
      <c r="C622" s="149">
        <v>9.27</v>
      </c>
      <c r="D622" s="135">
        <v>173</v>
      </c>
      <c r="E622" s="136">
        <v>1603.71</v>
      </c>
      <c r="F622" s="62">
        <f>E622-E623</f>
        <v>-20644.29</v>
      </c>
    </row>
    <row r="623" spans="1:6" x14ac:dyDescent="0.2">
      <c r="A623" s="15"/>
      <c r="B623" s="15" t="s">
        <v>1081</v>
      </c>
      <c r="C623" s="16">
        <v>927</v>
      </c>
      <c r="D623" s="15">
        <v>24</v>
      </c>
      <c r="E623" s="16">
        <v>22248</v>
      </c>
      <c r="F623" s="62">
        <f>E623-E623</f>
        <v>0</v>
      </c>
    </row>
    <row r="624" spans="1:6" x14ac:dyDescent="0.15">
      <c r="A624" s="15" t="s">
        <v>882</v>
      </c>
      <c r="B624" s="137" t="s">
        <v>154</v>
      </c>
      <c r="C624" s="149">
        <v>24.3</v>
      </c>
      <c r="D624" s="135">
        <v>600</v>
      </c>
      <c r="E624" s="136">
        <v>14580</v>
      </c>
      <c r="F624" s="62">
        <f>E624-E625</f>
        <v>14580</v>
      </c>
    </row>
    <row r="625" spans="1:6" x14ac:dyDescent="0.2">
      <c r="A625" s="15"/>
      <c r="B625" s="15"/>
      <c r="C625" s="16"/>
      <c r="D625" s="15"/>
      <c r="E625" s="16"/>
      <c r="F625" s="62">
        <f>E625-E625</f>
        <v>0</v>
      </c>
    </row>
    <row r="626" spans="1:6" x14ac:dyDescent="0.2">
      <c r="A626" s="15" t="s">
        <v>882</v>
      </c>
      <c r="B626" s="139" t="s">
        <v>720</v>
      </c>
      <c r="C626" s="150">
        <v>10.83</v>
      </c>
      <c r="D626" s="135">
        <v>22</v>
      </c>
      <c r="E626" s="136">
        <v>238.26</v>
      </c>
      <c r="F626" s="62">
        <f>E626-E627</f>
        <v>-411.74</v>
      </c>
    </row>
    <row r="627" spans="1:6" x14ac:dyDescent="0.2">
      <c r="A627" s="15"/>
      <c r="B627" s="15" t="s">
        <v>1348</v>
      </c>
      <c r="C627" s="16">
        <v>650</v>
      </c>
      <c r="D627" s="15">
        <v>1</v>
      </c>
      <c r="E627" s="16">
        <v>650</v>
      </c>
      <c r="F627" s="62">
        <f>E627-E627</f>
        <v>0</v>
      </c>
    </row>
    <row r="628" spans="1:6" x14ac:dyDescent="0.15">
      <c r="A628" t="s">
        <v>882</v>
      </c>
      <c r="B628" s="165" t="s">
        <v>155</v>
      </c>
      <c r="C628" s="166">
        <v>10</v>
      </c>
      <c r="D628" s="167">
        <v>1653.1176470588234</v>
      </c>
      <c r="E628" s="164">
        <v>16531.176470588234</v>
      </c>
      <c r="F628" s="62">
        <f>E628-E629</f>
        <v>-612468.82352941181</v>
      </c>
    </row>
    <row r="629" spans="1:6" x14ac:dyDescent="0.2">
      <c r="B629" s="15" t="s">
        <v>946</v>
      </c>
      <c r="C629" s="16">
        <v>1000</v>
      </c>
      <c r="D629" s="15">
        <v>69</v>
      </c>
      <c r="E629" s="16">
        <v>629000</v>
      </c>
      <c r="F629" s="62">
        <f>E629-E629</f>
        <v>0</v>
      </c>
    </row>
    <row r="630" spans="1:6" x14ac:dyDescent="0.2">
      <c r="A630" s="148"/>
      <c r="B630" s="141"/>
      <c r="C630" s="136"/>
      <c r="D630" s="141"/>
      <c r="E630" s="136"/>
      <c r="F630" s="62">
        <f>E630-E631</f>
        <v>-14580</v>
      </c>
    </row>
    <row r="631" spans="1:6" x14ac:dyDescent="0.2">
      <c r="B631" s="15" t="s">
        <v>947</v>
      </c>
      <c r="C631" s="16">
        <v>810</v>
      </c>
      <c r="D631" s="15">
        <v>18</v>
      </c>
      <c r="E631" s="16">
        <v>14580</v>
      </c>
      <c r="F631" s="62">
        <f>E631-E631</f>
        <v>0</v>
      </c>
    </row>
    <row r="632" spans="1:6" x14ac:dyDescent="0.2">
      <c r="A632" t="s">
        <v>882</v>
      </c>
      <c r="B632" s="139" t="s">
        <v>465</v>
      </c>
      <c r="C632" s="155">
        <v>34</v>
      </c>
      <c r="D632" s="140">
        <v>131</v>
      </c>
      <c r="E632" s="136">
        <v>4454</v>
      </c>
      <c r="F632" s="62">
        <f>E632-E633</f>
        <v>1054</v>
      </c>
    </row>
    <row r="633" spans="1:6" x14ac:dyDescent="0.2">
      <c r="B633" s="15" t="s">
        <v>921</v>
      </c>
      <c r="C633" s="16">
        <v>3400</v>
      </c>
      <c r="D633" s="15">
        <v>1</v>
      </c>
      <c r="E633" s="16">
        <v>3400</v>
      </c>
      <c r="F633" s="62">
        <f>E633-E633</f>
        <v>0</v>
      </c>
    </row>
    <row r="634" spans="1:6" x14ac:dyDescent="0.15">
      <c r="A634" t="s">
        <v>882</v>
      </c>
      <c r="B634" s="137" t="s">
        <v>156</v>
      </c>
      <c r="C634" s="149">
        <v>5.73</v>
      </c>
      <c r="D634" s="135">
        <v>2890</v>
      </c>
      <c r="E634" s="136">
        <v>16559.7</v>
      </c>
      <c r="F634" s="62">
        <f>E634-E635</f>
        <v>5105.7000000000007</v>
      </c>
    </row>
    <row r="635" spans="1:6" x14ac:dyDescent="0.2">
      <c r="B635" s="15" t="s">
        <v>1244</v>
      </c>
      <c r="C635" s="16">
        <v>5727</v>
      </c>
      <c r="D635" s="15">
        <v>2</v>
      </c>
      <c r="E635" s="16">
        <v>11454</v>
      </c>
      <c r="F635" s="62">
        <f>E635-E635</f>
        <v>0</v>
      </c>
    </row>
    <row r="636" spans="1:6" x14ac:dyDescent="0.15">
      <c r="A636" t="s">
        <v>882</v>
      </c>
      <c r="B636" s="137" t="s">
        <v>681</v>
      </c>
      <c r="C636" s="157">
        <v>8.73</v>
      </c>
      <c r="D636" s="140">
        <v>313</v>
      </c>
      <c r="E636" s="136">
        <v>2732.4900000000002</v>
      </c>
      <c r="F636" s="62">
        <f>E636-E637</f>
        <v>-24330.51</v>
      </c>
    </row>
    <row r="637" spans="1:6" ht="12.75" customHeight="1" x14ac:dyDescent="0.2">
      <c r="B637" s="15" t="s">
        <v>1245</v>
      </c>
      <c r="C637" s="16">
        <v>873</v>
      </c>
      <c r="D637" s="15">
        <v>31</v>
      </c>
      <c r="E637" s="16">
        <v>27063</v>
      </c>
      <c r="F637" s="62">
        <f>E637-E637</f>
        <v>0</v>
      </c>
    </row>
    <row r="638" spans="1:6" x14ac:dyDescent="0.15">
      <c r="A638" t="s">
        <v>882</v>
      </c>
      <c r="B638" s="137" t="s">
        <v>607</v>
      </c>
      <c r="C638" s="149">
        <v>17.8</v>
      </c>
      <c r="D638" s="135">
        <v>2478</v>
      </c>
      <c r="E638" s="136">
        <v>44108.4</v>
      </c>
      <c r="F638" s="62">
        <f>E638-E639</f>
        <v>-133891.6</v>
      </c>
    </row>
    <row r="639" spans="1:6" x14ac:dyDescent="0.2">
      <c r="B639" s="15" t="s">
        <v>1082</v>
      </c>
      <c r="C639" s="16">
        <v>8900</v>
      </c>
      <c r="D639" s="15">
        <v>4</v>
      </c>
      <c r="E639" s="16">
        <v>178000</v>
      </c>
      <c r="F639" s="62">
        <f>E639-E639</f>
        <v>0</v>
      </c>
    </row>
    <row r="640" spans="1:6" x14ac:dyDescent="0.2">
      <c r="A640" t="s">
        <v>882</v>
      </c>
      <c r="B640" s="143" t="s">
        <v>529</v>
      </c>
      <c r="C640" s="150">
        <v>26.53</v>
      </c>
      <c r="D640" s="135">
        <v>35</v>
      </c>
      <c r="E640" s="136">
        <v>928.55000000000007</v>
      </c>
      <c r="F640" s="62">
        <f>E640-E641</f>
        <v>-44443.45</v>
      </c>
    </row>
    <row r="641" spans="1:6" x14ac:dyDescent="0.2">
      <c r="B641" s="15" t="s">
        <v>1287</v>
      </c>
      <c r="C641" s="16">
        <v>796</v>
      </c>
      <c r="D641" s="15">
        <v>57</v>
      </c>
      <c r="E641" s="16">
        <v>45372</v>
      </c>
      <c r="F641" s="62">
        <f>E641-E641</f>
        <v>0</v>
      </c>
    </row>
    <row r="642" spans="1:6" x14ac:dyDescent="0.15">
      <c r="A642" t="s">
        <v>882</v>
      </c>
      <c r="B642" s="137" t="s">
        <v>518</v>
      </c>
      <c r="C642" s="149">
        <v>21.53</v>
      </c>
      <c r="D642" s="135">
        <v>1607</v>
      </c>
      <c r="E642" s="136">
        <v>34598.71</v>
      </c>
      <c r="F642" s="62">
        <f>E642-E643</f>
        <v>-178548.29</v>
      </c>
    </row>
    <row r="643" spans="1:6" x14ac:dyDescent="0.2">
      <c r="B643" s="15" t="s">
        <v>1083</v>
      </c>
      <c r="C643" s="16">
        <v>2153</v>
      </c>
      <c r="D643" s="15">
        <v>19</v>
      </c>
      <c r="E643" s="16">
        <v>213147</v>
      </c>
      <c r="F643" s="62">
        <f>E643-E643</f>
        <v>0</v>
      </c>
    </row>
    <row r="644" spans="1:6" x14ac:dyDescent="0.2">
      <c r="A644" t="s">
        <v>882</v>
      </c>
      <c r="B644" s="139" t="s">
        <v>655</v>
      </c>
      <c r="C644" s="150">
        <v>20623</v>
      </c>
      <c r="D644" s="140">
        <v>2</v>
      </c>
      <c r="E644" s="136">
        <v>41246</v>
      </c>
      <c r="F644" s="62">
        <f>E644-E645</f>
        <v>-11296</v>
      </c>
    </row>
    <row r="645" spans="1:6" x14ac:dyDescent="0.2">
      <c r="B645" s="15" t="s">
        <v>1279</v>
      </c>
      <c r="C645" s="16">
        <v>8757</v>
      </c>
      <c r="D645" s="15">
        <v>6</v>
      </c>
      <c r="E645" s="16">
        <v>52542</v>
      </c>
      <c r="F645" s="62">
        <f>E645-E645</f>
        <v>0</v>
      </c>
    </row>
    <row r="646" spans="1:6" x14ac:dyDescent="0.2">
      <c r="A646" t="s">
        <v>882</v>
      </c>
      <c r="B646" s="139" t="s">
        <v>630</v>
      </c>
      <c r="C646" s="150">
        <v>89.9</v>
      </c>
      <c r="D646" s="135">
        <v>34</v>
      </c>
      <c r="E646" s="136">
        <v>3056.6000000000004</v>
      </c>
      <c r="F646" s="62">
        <f>E646-E647</f>
        <v>-28408.400000000001</v>
      </c>
    </row>
    <row r="647" spans="1:6" x14ac:dyDescent="0.2">
      <c r="B647" s="15" t="s">
        <v>1326</v>
      </c>
      <c r="C647" s="16">
        <v>4495</v>
      </c>
      <c r="D647" s="15">
        <v>7</v>
      </c>
      <c r="E647" s="16">
        <v>31465</v>
      </c>
      <c r="F647" s="62">
        <f>E647-E647</f>
        <v>0</v>
      </c>
    </row>
    <row r="648" spans="1:6" x14ac:dyDescent="0.2">
      <c r="A648" t="s">
        <v>882</v>
      </c>
      <c r="B648" s="139" t="s">
        <v>631</v>
      </c>
      <c r="C648" s="150">
        <v>90</v>
      </c>
      <c r="D648" s="135">
        <v>17</v>
      </c>
      <c r="E648" s="136">
        <v>1530</v>
      </c>
      <c r="F648" s="62">
        <f>E648-E649</f>
        <v>-6465</v>
      </c>
    </row>
    <row r="649" spans="1:6" x14ac:dyDescent="0.2">
      <c r="B649" s="15" t="s">
        <v>1327</v>
      </c>
      <c r="C649" s="16">
        <v>1239</v>
      </c>
      <c r="D649" s="15">
        <v>5</v>
      </c>
      <c r="E649" s="16">
        <v>7995</v>
      </c>
      <c r="F649" s="62">
        <f>E649-E649</f>
        <v>0</v>
      </c>
    </row>
    <row r="650" spans="1:6" x14ac:dyDescent="0.15">
      <c r="A650" t="s">
        <v>882</v>
      </c>
      <c r="B650" s="137" t="s">
        <v>782</v>
      </c>
      <c r="C650" s="149">
        <v>8.2799999999999994</v>
      </c>
      <c r="D650" s="135">
        <v>1219</v>
      </c>
      <c r="E650" s="136">
        <v>10093.32</v>
      </c>
      <c r="F650" s="62">
        <f>E650-E651</f>
        <v>-199904.68</v>
      </c>
    </row>
    <row r="651" spans="1:6" x14ac:dyDescent="0.2">
      <c r="B651" s="15" t="s">
        <v>1193</v>
      </c>
      <c r="C651" s="16">
        <v>828</v>
      </c>
      <c r="D651" s="15">
        <v>8</v>
      </c>
      <c r="E651" s="16">
        <v>209998</v>
      </c>
      <c r="F651" s="62">
        <f>E651-E651</f>
        <v>0</v>
      </c>
    </row>
    <row r="652" spans="1:6" x14ac:dyDescent="0.2">
      <c r="A652" t="s">
        <v>882</v>
      </c>
      <c r="B652" s="139" t="s">
        <v>262</v>
      </c>
      <c r="C652" s="150">
        <v>123.38</v>
      </c>
      <c r="D652" s="135">
        <v>351</v>
      </c>
      <c r="E652" s="136">
        <v>43306.38</v>
      </c>
      <c r="F652" s="62">
        <f>E652-E653</f>
        <v>-36890.620000000003</v>
      </c>
    </row>
    <row r="653" spans="1:6" x14ac:dyDescent="0.2">
      <c r="B653" s="15" t="s">
        <v>1316</v>
      </c>
      <c r="C653" s="16">
        <v>12338</v>
      </c>
      <c r="D653" s="15">
        <v>3</v>
      </c>
      <c r="E653" s="16">
        <v>80197</v>
      </c>
      <c r="F653" s="62">
        <f>E653-E653</f>
        <v>0</v>
      </c>
    </row>
    <row r="654" spans="1:6" x14ac:dyDescent="0.2">
      <c r="A654" t="s">
        <v>882</v>
      </c>
      <c r="B654" s="139" t="s">
        <v>263</v>
      </c>
      <c r="C654" s="150">
        <v>71</v>
      </c>
      <c r="D654" s="135">
        <v>34</v>
      </c>
      <c r="E654" s="136">
        <v>2414</v>
      </c>
      <c r="F654" s="62">
        <f>E654-E655</f>
        <v>-5396</v>
      </c>
    </row>
    <row r="655" spans="1:6" x14ac:dyDescent="0.2">
      <c r="B655" s="15" t="s">
        <v>1317</v>
      </c>
      <c r="C655" s="16">
        <v>710</v>
      </c>
      <c r="D655" s="15">
        <v>11</v>
      </c>
      <c r="E655" s="16">
        <v>7810</v>
      </c>
      <c r="F655" s="62">
        <f>E655-E655</f>
        <v>0</v>
      </c>
    </row>
    <row r="656" spans="1:6" x14ac:dyDescent="0.2">
      <c r="A656" t="s">
        <v>1502</v>
      </c>
      <c r="B656" s="141"/>
      <c r="C656" s="136"/>
      <c r="D656" s="141"/>
      <c r="E656" s="136"/>
      <c r="F656" s="62">
        <f>E656-E657</f>
        <v>-1422</v>
      </c>
    </row>
    <row r="657" spans="1:6" x14ac:dyDescent="0.2">
      <c r="B657" s="15" t="s">
        <v>966</v>
      </c>
      <c r="C657" s="16">
        <v>711</v>
      </c>
      <c r="D657" s="15">
        <v>2</v>
      </c>
      <c r="E657" s="16">
        <v>1422</v>
      </c>
      <c r="F657" s="62">
        <f>E657-E657</f>
        <v>0</v>
      </c>
    </row>
    <row r="658" spans="1:6" x14ac:dyDescent="0.2">
      <c r="A658" t="s">
        <v>882</v>
      </c>
      <c r="B658" s="137" t="s">
        <v>44</v>
      </c>
      <c r="C658" s="149">
        <v>5.6</v>
      </c>
      <c r="D658" s="138">
        <v>654</v>
      </c>
      <c r="E658" s="136">
        <v>3662.3999999999996</v>
      </c>
      <c r="F658" s="62">
        <f>E658-E659</f>
        <v>-9801.6</v>
      </c>
    </row>
    <row r="659" spans="1:6" x14ac:dyDescent="0.2">
      <c r="B659" s="15" t="s">
        <v>1100</v>
      </c>
      <c r="C659" s="16">
        <v>4488</v>
      </c>
      <c r="D659" s="15">
        <v>3</v>
      </c>
      <c r="E659" s="16">
        <v>13464</v>
      </c>
      <c r="F659" s="62">
        <f>E659-E659</f>
        <v>0</v>
      </c>
    </row>
    <row r="660" spans="1:6" x14ac:dyDescent="0.15">
      <c r="A660" t="s">
        <v>882</v>
      </c>
      <c r="B660" s="137" t="s">
        <v>735</v>
      </c>
      <c r="C660" s="149">
        <v>47.23</v>
      </c>
      <c r="D660" s="135">
        <v>148</v>
      </c>
      <c r="E660" s="136">
        <v>6990.04</v>
      </c>
      <c r="F660" s="62">
        <f>E660-E661</f>
        <v>-7178.96</v>
      </c>
    </row>
    <row r="661" spans="1:6" x14ac:dyDescent="0.2">
      <c r="B661" s="15" t="s">
        <v>1471</v>
      </c>
      <c r="C661" s="16">
        <v>4723</v>
      </c>
      <c r="D661" s="15">
        <v>3</v>
      </c>
      <c r="E661" s="16">
        <v>14169</v>
      </c>
      <c r="F661" s="62">
        <f>E661-E661</f>
        <v>0</v>
      </c>
    </row>
    <row r="662" spans="1:6" x14ac:dyDescent="0.2">
      <c r="A662" t="s">
        <v>882</v>
      </c>
      <c r="B662" s="139" t="s">
        <v>490</v>
      </c>
      <c r="C662" s="150">
        <v>71.25</v>
      </c>
      <c r="D662" s="135">
        <v>461.80645161290323</v>
      </c>
      <c r="E662" s="136">
        <v>32903.709677419356</v>
      </c>
      <c r="F662" s="62">
        <f>E662-E663</f>
        <v>-54876.290322580644</v>
      </c>
    </row>
    <row r="663" spans="1:6" x14ac:dyDescent="0.2">
      <c r="B663" s="15" t="s">
        <v>1112</v>
      </c>
      <c r="C663" s="16">
        <v>3990</v>
      </c>
      <c r="D663" s="15">
        <v>22</v>
      </c>
      <c r="E663" s="16">
        <v>87780</v>
      </c>
      <c r="F663" s="62">
        <f>E663-E663</f>
        <v>0</v>
      </c>
    </row>
    <row r="664" spans="1:6" x14ac:dyDescent="0.2">
      <c r="A664" t="s">
        <v>882</v>
      </c>
      <c r="B664" s="139" t="s">
        <v>488</v>
      </c>
      <c r="C664" s="150">
        <v>28.21</v>
      </c>
      <c r="D664" s="135">
        <v>1272.8571428571429</v>
      </c>
      <c r="E664" s="136">
        <v>35907.300000000003</v>
      </c>
      <c r="F664" s="62">
        <f>E664-E665</f>
        <v>-110702.7</v>
      </c>
    </row>
    <row r="665" spans="1:6" x14ac:dyDescent="0.2">
      <c r="B665" s="15" t="s">
        <v>1113</v>
      </c>
      <c r="C665" s="16"/>
      <c r="D665" s="15"/>
      <c r="E665" s="16">
        <v>146610</v>
      </c>
      <c r="F665" s="62">
        <f>E665-E665</f>
        <v>0</v>
      </c>
    </row>
    <row r="666" spans="1:6" x14ac:dyDescent="0.2">
      <c r="A666" t="s">
        <v>882</v>
      </c>
      <c r="B666" s="139" t="s">
        <v>489</v>
      </c>
      <c r="C666" s="150">
        <v>42.14</v>
      </c>
      <c r="D666" s="135">
        <v>840.42857142857144</v>
      </c>
      <c r="E666" s="136">
        <v>35415.660000000003</v>
      </c>
      <c r="F666" s="62">
        <f>E666-E667</f>
        <v>-570584.34</v>
      </c>
    </row>
    <row r="667" spans="1:6" x14ac:dyDescent="0.2">
      <c r="B667" s="15" t="s">
        <v>1114</v>
      </c>
      <c r="C667" s="16"/>
      <c r="D667" s="15"/>
      <c r="E667" s="16">
        <v>606000</v>
      </c>
      <c r="F667" s="62">
        <f>E667-E667</f>
        <v>0</v>
      </c>
    </row>
    <row r="668" spans="1:6" x14ac:dyDescent="0.2">
      <c r="A668" t="s">
        <v>882</v>
      </c>
      <c r="B668" s="139" t="s">
        <v>439</v>
      </c>
      <c r="C668" s="150">
        <v>305.10000000000002</v>
      </c>
      <c r="D668" s="140">
        <v>13</v>
      </c>
      <c r="E668" s="136">
        <v>3966.3</v>
      </c>
      <c r="F668" s="62">
        <f>E668-E669</f>
        <v>915.30000000000018</v>
      </c>
    </row>
    <row r="669" spans="1:6" x14ac:dyDescent="0.2">
      <c r="B669" s="15" t="s">
        <v>976</v>
      </c>
      <c r="C669" s="16">
        <v>3051</v>
      </c>
      <c r="D669" s="15">
        <v>1</v>
      </c>
      <c r="E669" s="16">
        <v>3051</v>
      </c>
      <c r="F669" s="62">
        <f>E669-E669</f>
        <v>0</v>
      </c>
    </row>
    <row r="670" spans="1:6" x14ac:dyDescent="0.15">
      <c r="A670" t="s">
        <v>882</v>
      </c>
      <c r="B670" s="137" t="s">
        <v>337</v>
      </c>
      <c r="C670" s="149">
        <v>130</v>
      </c>
      <c r="D670" s="140">
        <v>40</v>
      </c>
      <c r="E670" s="136">
        <v>5200</v>
      </c>
      <c r="F670" s="62">
        <f>E670-E671</f>
        <v>5200</v>
      </c>
    </row>
    <row r="671" spans="1:6" x14ac:dyDescent="0.15">
      <c r="B671" s="20"/>
      <c r="C671" s="152"/>
      <c r="D671" s="99"/>
      <c r="E671" s="122"/>
      <c r="F671" s="62">
        <f>E671-E671</f>
        <v>0</v>
      </c>
    </row>
    <row r="672" spans="1:6" x14ac:dyDescent="0.2">
      <c r="A672" t="s">
        <v>882</v>
      </c>
      <c r="B672" s="139" t="s">
        <v>736</v>
      </c>
      <c r="C672" s="150">
        <v>26.75</v>
      </c>
      <c r="D672" s="135">
        <v>396.57142857142856</v>
      </c>
      <c r="E672" s="136">
        <v>10608.285714285714</v>
      </c>
      <c r="F672" s="62">
        <f>E672-E673</f>
        <v>-131166.71428571429</v>
      </c>
    </row>
    <row r="673" spans="1:6" x14ac:dyDescent="0.2">
      <c r="B673" s="15" t="s">
        <v>1411</v>
      </c>
      <c r="C673" s="16">
        <v>2675</v>
      </c>
      <c r="D673" s="15">
        <v>53</v>
      </c>
      <c r="E673" s="16">
        <v>141775</v>
      </c>
      <c r="F673" s="62">
        <f>E673-E673</f>
        <v>0</v>
      </c>
    </row>
    <row r="674" spans="1:6" x14ac:dyDescent="0.2">
      <c r="A674" t="s">
        <v>882</v>
      </c>
      <c r="B674" s="139" t="s">
        <v>561</v>
      </c>
      <c r="C674" s="150">
        <v>31.6</v>
      </c>
      <c r="D674" s="135">
        <v>115</v>
      </c>
      <c r="E674" s="136">
        <v>3634</v>
      </c>
      <c r="F674" s="62">
        <f>E674-E675</f>
        <v>-97486</v>
      </c>
    </row>
    <row r="675" spans="1:6" x14ac:dyDescent="0.2">
      <c r="B675" s="15" t="s">
        <v>977</v>
      </c>
      <c r="C675" s="16">
        <v>3160</v>
      </c>
      <c r="D675" s="15">
        <v>32</v>
      </c>
      <c r="E675" s="16">
        <v>101120</v>
      </c>
      <c r="F675" s="62">
        <f>E675-E675</f>
        <v>0</v>
      </c>
    </row>
    <row r="676" spans="1:6" x14ac:dyDescent="0.15">
      <c r="A676" t="s">
        <v>882</v>
      </c>
      <c r="B676" s="137" t="s">
        <v>157</v>
      </c>
      <c r="C676" s="149">
        <v>8.5299999999999994</v>
      </c>
      <c r="D676" s="135">
        <v>225</v>
      </c>
      <c r="E676" s="136">
        <v>1919.2499999999998</v>
      </c>
      <c r="F676" s="62">
        <f>E676-E677</f>
        <v>-23660.75</v>
      </c>
    </row>
    <row r="677" spans="1:6" x14ac:dyDescent="0.2">
      <c r="B677" s="15" t="s">
        <v>1084</v>
      </c>
      <c r="C677" s="16">
        <v>2558</v>
      </c>
      <c r="D677" s="15">
        <v>10</v>
      </c>
      <c r="E677" s="16">
        <v>25580</v>
      </c>
      <c r="F677" s="62">
        <f>E677-E677</f>
        <v>0</v>
      </c>
    </row>
    <row r="678" spans="1:6" x14ac:dyDescent="0.2">
      <c r="A678" t="s">
        <v>882</v>
      </c>
      <c r="B678" s="143" t="s">
        <v>562</v>
      </c>
      <c r="C678" s="150">
        <v>108.68</v>
      </c>
      <c r="D678" s="135">
        <v>196</v>
      </c>
      <c r="E678" s="136">
        <v>21301.280000000002</v>
      </c>
      <c r="F678" s="62">
        <f>E678-E679</f>
        <v>-141718.72</v>
      </c>
    </row>
    <row r="679" spans="1:6" x14ac:dyDescent="0.2">
      <c r="B679" s="15" t="s">
        <v>1415</v>
      </c>
      <c r="C679" s="16">
        <v>10868</v>
      </c>
      <c r="D679" s="15">
        <v>15</v>
      </c>
      <c r="E679" s="16">
        <v>163020</v>
      </c>
      <c r="F679" s="62">
        <f>E679-E679</f>
        <v>0</v>
      </c>
    </row>
    <row r="680" spans="1:6" x14ac:dyDescent="0.2">
      <c r="A680" t="s">
        <v>882</v>
      </c>
      <c r="B680" s="139" t="s">
        <v>158</v>
      </c>
      <c r="C680" s="150">
        <v>5.26</v>
      </c>
      <c r="D680" s="135">
        <v>1121</v>
      </c>
      <c r="E680" s="136">
        <v>5896.46</v>
      </c>
      <c r="F680" s="62">
        <f>E680-E681</f>
        <v>-127089.54</v>
      </c>
    </row>
    <row r="681" spans="1:6" x14ac:dyDescent="0.2">
      <c r="B681" s="15" t="s">
        <v>1085</v>
      </c>
      <c r="C681" s="16">
        <v>526</v>
      </c>
      <c r="D681" s="15">
        <v>23</v>
      </c>
      <c r="E681" s="16">
        <v>132986</v>
      </c>
      <c r="F681" s="62">
        <f>E681-E681</f>
        <v>0</v>
      </c>
    </row>
    <row r="682" spans="1:6" x14ac:dyDescent="0.2">
      <c r="A682" t="s">
        <v>882</v>
      </c>
      <c r="B682" s="143" t="s">
        <v>563</v>
      </c>
      <c r="C682" s="150">
        <v>16.3</v>
      </c>
      <c r="D682" s="135">
        <v>184</v>
      </c>
      <c r="E682" s="136">
        <v>2999.2000000000003</v>
      </c>
      <c r="F682" s="62">
        <f>E682-E683</f>
        <v>-13300.8</v>
      </c>
    </row>
    <row r="683" spans="1:6" x14ac:dyDescent="0.2">
      <c r="B683" s="15" t="s">
        <v>967</v>
      </c>
      <c r="C683" s="16">
        <v>1630</v>
      </c>
      <c r="D683" s="15">
        <v>10</v>
      </c>
      <c r="E683" s="16">
        <v>16300</v>
      </c>
      <c r="F683" s="62">
        <f>E683-E683</f>
        <v>0</v>
      </c>
    </row>
    <row r="684" spans="1:6" x14ac:dyDescent="0.2">
      <c r="A684" t="s">
        <v>882</v>
      </c>
      <c r="B684" s="139" t="s">
        <v>159</v>
      </c>
      <c r="C684" s="150">
        <v>9</v>
      </c>
      <c r="D684" s="135">
        <v>865.42857142857144</v>
      </c>
      <c r="E684" s="136">
        <v>7788.8571428571431</v>
      </c>
      <c r="F684" s="62">
        <f>E684-E685</f>
        <v>-36311.142857142855</v>
      </c>
    </row>
    <row r="685" spans="1:6" x14ac:dyDescent="0.2">
      <c r="B685" s="15" t="s">
        <v>1384</v>
      </c>
      <c r="C685" s="16">
        <v>900</v>
      </c>
      <c r="D685" s="15">
        <v>49</v>
      </c>
      <c r="E685" s="16">
        <v>44100</v>
      </c>
      <c r="F685" s="62">
        <f>E685-E685</f>
        <v>0</v>
      </c>
    </row>
    <row r="686" spans="1:6" x14ac:dyDescent="0.2">
      <c r="A686" t="s">
        <v>882</v>
      </c>
      <c r="B686" s="139" t="s">
        <v>338</v>
      </c>
      <c r="C686" s="150">
        <v>57.5</v>
      </c>
      <c r="D686" s="140">
        <v>72</v>
      </c>
      <c r="E686" s="136">
        <v>4140</v>
      </c>
      <c r="F686" s="62">
        <f>E686-E687</f>
        <v>-8510</v>
      </c>
    </row>
    <row r="687" spans="1:6" x14ac:dyDescent="0.2">
      <c r="B687" s="15" t="s">
        <v>1385</v>
      </c>
      <c r="C687" s="16">
        <v>575</v>
      </c>
      <c r="D687" s="15">
        <v>22</v>
      </c>
      <c r="E687" s="16">
        <v>12650</v>
      </c>
      <c r="F687" s="62">
        <f>E687-E687</f>
        <v>0</v>
      </c>
    </row>
    <row r="688" spans="1:6" x14ac:dyDescent="0.2">
      <c r="A688" t="s">
        <v>882</v>
      </c>
      <c r="B688" s="139" t="s">
        <v>160</v>
      </c>
      <c r="C688" s="150">
        <v>5.36</v>
      </c>
      <c r="D688" s="135">
        <v>1846.1111111111111</v>
      </c>
      <c r="E688" s="136">
        <v>9895.1555555555551</v>
      </c>
      <c r="F688" s="62">
        <f>E688-E689</f>
        <v>-13688.844444444445</v>
      </c>
    </row>
    <row r="689" spans="1:6" x14ac:dyDescent="0.2">
      <c r="B689" s="15" t="s">
        <v>922</v>
      </c>
      <c r="C689" s="16">
        <v>536</v>
      </c>
      <c r="D689" s="15">
        <v>14</v>
      </c>
      <c r="E689" s="16">
        <v>23584</v>
      </c>
      <c r="F689" s="62">
        <f>E689-E689</f>
        <v>0</v>
      </c>
    </row>
    <row r="690" spans="1:6" x14ac:dyDescent="0.15">
      <c r="A690" t="s">
        <v>882</v>
      </c>
      <c r="B690" s="137" t="s">
        <v>161</v>
      </c>
      <c r="C690" s="149">
        <v>8.9</v>
      </c>
      <c r="D690" s="135">
        <v>330.76923076923077</v>
      </c>
      <c r="E690" s="136">
        <v>2943.8461538461538</v>
      </c>
      <c r="F690" s="62">
        <f>E690-E691</f>
        <v>-8626.1538461538457</v>
      </c>
    </row>
    <row r="691" spans="1:6" x14ac:dyDescent="0.2">
      <c r="B691" s="15" t="s">
        <v>1086</v>
      </c>
      <c r="C691" s="16">
        <v>890</v>
      </c>
      <c r="D691" s="15">
        <v>13</v>
      </c>
      <c r="E691" s="16">
        <v>11570</v>
      </c>
      <c r="F691" s="62">
        <f>E691-E691</f>
        <v>0</v>
      </c>
    </row>
    <row r="692" spans="1:6" x14ac:dyDescent="0.2">
      <c r="A692" t="s">
        <v>882</v>
      </c>
      <c r="B692" s="139" t="s">
        <v>339</v>
      </c>
      <c r="C692" s="150">
        <v>228</v>
      </c>
      <c r="D692" s="140">
        <v>69</v>
      </c>
      <c r="E692" s="136">
        <v>15732</v>
      </c>
      <c r="F692" s="62">
        <f>E692-E693</f>
        <v>-1101468</v>
      </c>
    </row>
    <row r="693" spans="1:6" x14ac:dyDescent="0.2">
      <c r="B693" s="15" t="s">
        <v>1373</v>
      </c>
      <c r="C693" s="16">
        <v>4560</v>
      </c>
      <c r="D693" s="15">
        <v>245</v>
      </c>
      <c r="E693" s="16">
        <v>1117200</v>
      </c>
      <c r="F693" s="62">
        <f>E693-E693</f>
        <v>0</v>
      </c>
    </row>
    <row r="694" spans="1:6" x14ac:dyDescent="0.15">
      <c r="A694" t="s">
        <v>882</v>
      </c>
      <c r="B694" s="137" t="s">
        <v>564</v>
      </c>
      <c r="C694" s="149">
        <v>7.9</v>
      </c>
      <c r="D694" s="135">
        <v>525</v>
      </c>
      <c r="E694" s="136">
        <v>4147.5</v>
      </c>
      <c r="F694" s="62">
        <f>E694-E695</f>
        <v>-51208.5</v>
      </c>
    </row>
    <row r="695" spans="1:6" x14ac:dyDescent="0.2">
      <c r="B695" s="15" t="s">
        <v>978</v>
      </c>
      <c r="C695" s="16">
        <v>7908</v>
      </c>
      <c r="D695" s="15">
        <v>7</v>
      </c>
      <c r="E695" s="16">
        <v>55356</v>
      </c>
      <c r="F695" s="62">
        <f>E695-E695</f>
        <v>0</v>
      </c>
    </row>
    <row r="696" spans="1:6" x14ac:dyDescent="0.2">
      <c r="A696" t="s">
        <v>882</v>
      </c>
      <c r="B696" s="139" t="s">
        <v>162</v>
      </c>
      <c r="C696" s="150">
        <v>4.96</v>
      </c>
      <c r="D696" s="135">
        <v>1341.1764705882354</v>
      </c>
      <c r="E696" s="136">
        <v>6652.2352941176478</v>
      </c>
      <c r="F696" s="62">
        <f>E696-E697</f>
        <v>-3267.7647058823522</v>
      </c>
    </row>
    <row r="697" spans="1:6" x14ac:dyDescent="0.2">
      <c r="B697" s="15" t="s">
        <v>1270</v>
      </c>
      <c r="C697" s="16">
        <v>4960</v>
      </c>
      <c r="D697" s="15">
        <v>2</v>
      </c>
      <c r="E697" s="16">
        <v>9920</v>
      </c>
      <c r="F697" s="62">
        <f>E697-E697</f>
        <v>0</v>
      </c>
    </row>
    <row r="698" spans="1:6" x14ac:dyDescent="0.2">
      <c r="A698" t="s">
        <v>882</v>
      </c>
      <c r="B698" s="139" t="s">
        <v>565</v>
      </c>
      <c r="C698" s="150">
        <v>143.87</v>
      </c>
      <c r="D698" s="135">
        <v>459.25</v>
      </c>
      <c r="E698" s="136">
        <v>66072.297500000001</v>
      </c>
      <c r="F698" s="62">
        <f>E698-E699</f>
        <v>-1056113.7024999999</v>
      </c>
    </row>
    <row r="699" spans="1:6" x14ac:dyDescent="0.2">
      <c r="B699" s="15" t="s">
        <v>1087</v>
      </c>
      <c r="C699" s="16">
        <v>14387</v>
      </c>
      <c r="D699" s="15">
        <v>78</v>
      </c>
      <c r="E699" s="16">
        <v>1122186</v>
      </c>
      <c r="F699" s="62">
        <f>E699-E699</f>
        <v>0</v>
      </c>
    </row>
    <row r="700" spans="1:6" x14ac:dyDescent="0.2">
      <c r="A700" t="s">
        <v>882</v>
      </c>
      <c r="B700" s="139" t="s">
        <v>624</v>
      </c>
      <c r="C700" s="150">
        <v>163.19999999999999</v>
      </c>
      <c r="D700" s="135">
        <v>6</v>
      </c>
      <c r="E700" s="136">
        <v>979.19999999999993</v>
      </c>
      <c r="F700" s="62">
        <f>E700-E701</f>
        <v>979.19999999999993</v>
      </c>
    </row>
    <row r="701" spans="1:6" x14ac:dyDescent="0.2">
      <c r="B701" s="17"/>
      <c r="C701" s="154"/>
      <c r="D701" s="147"/>
      <c r="E701" s="122"/>
      <c r="F701" s="62">
        <f>E701-E701</f>
        <v>0</v>
      </c>
    </row>
    <row r="702" spans="1:6" x14ac:dyDescent="0.2">
      <c r="A702" s="148" t="s">
        <v>882</v>
      </c>
      <c r="B702" s="139"/>
      <c r="C702" s="150"/>
      <c r="D702" s="135"/>
      <c r="E702" s="136"/>
      <c r="F702" s="62">
        <f>E702-E703</f>
        <v>-80864</v>
      </c>
    </row>
    <row r="703" spans="1:6" x14ac:dyDescent="0.2">
      <c r="B703" s="15" t="s">
        <v>1177</v>
      </c>
      <c r="C703" s="16">
        <v>5054</v>
      </c>
      <c r="D703" s="15">
        <v>16</v>
      </c>
      <c r="E703" s="16">
        <v>80864</v>
      </c>
      <c r="F703" s="62">
        <f>E703-E703</f>
        <v>0</v>
      </c>
    </row>
    <row r="704" spans="1:6" x14ac:dyDescent="0.2">
      <c r="A704" t="s">
        <v>882</v>
      </c>
      <c r="B704" s="139" t="s">
        <v>543</v>
      </c>
      <c r="C704" s="151">
        <v>88</v>
      </c>
      <c r="D704" s="140">
        <v>6</v>
      </c>
      <c r="E704" s="136">
        <v>528</v>
      </c>
      <c r="F704" s="62">
        <f>E704-E705</f>
        <v>528</v>
      </c>
    </row>
    <row r="705" spans="1:6" x14ac:dyDescent="0.2">
      <c r="B705" s="17"/>
      <c r="C705" s="171"/>
      <c r="D705" s="99"/>
      <c r="E705" s="122"/>
      <c r="F705" s="62">
        <f>E705-E705</f>
        <v>0</v>
      </c>
    </row>
    <row r="706" spans="1:6" x14ac:dyDescent="0.2">
      <c r="A706" t="s">
        <v>882</v>
      </c>
      <c r="B706" s="139" t="s">
        <v>806</v>
      </c>
      <c r="C706" s="151">
        <v>2437</v>
      </c>
      <c r="D706" s="140">
        <v>1</v>
      </c>
      <c r="E706" s="136">
        <v>2437</v>
      </c>
      <c r="F706" s="62">
        <f>E706-E707</f>
        <v>-124287</v>
      </c>
    </row>
    <row r="707" spans="1:6" x14ac:dyDescent="0.2">
      <c r="B707" s="15" t="s">
        <v>1288</v>
      </c>
      <c r="C707" s="16">
        <v>4874</v>
      </c>
      <c r="D707" s="15">
        <v>26</v>
      </c>
      <c r="E707" s="16">
        <v>126724</v>
      </c>
      <c r="F707" s="62">
        <f>E707-E707</f>
        <v>0</v>
      </c>
    </row>
    <row r="708" spans="1:6" x14ac:dyDescent="0.2">
      <c r="A708" t="s">
        <v>882</v>
      </c>
      <c r="B708" s="139" t="s">
        <v>807</v>
      </c>
      <c r="C708" s="151">
        <v>1760</v>
      </c>
      <c r="D708" s="140">
        <v>1</v>
      </c>
      <c r="E708" s="136">
        <v>1760</v>
      </c>
      <c r="F708" s="62">
        <f>E708-E709</f>
        <v>-26400</v>
      </c>
    </row>
    <row r="709" spans="1:6" x14ac:dyDescent="0.2">
      <c r="B709" s="15" t="s">
        <v>1289</v>
      </c>
      <c r="C709" s="16">
        <v>3520</v>
      </c>
      <c r="D709" s="15">
        <v>8</v>
      </c>
      <c r="E709" s="16">
        <v>28160</v>
      </c>
      <c r="F709" s="62">
        <f>E709-E709</f>
        <v>0</v>
      </c>
    </row>
    <row r="710" spans="1:6" x14ac:dyDescent="0.2">
      <c r="A710" t="s">
        <v>882</v>
      </c>
      <c r="B710" s="139" t="s">
        <v>163</v>
      </c>
      <c r="C710" s="150">
        <v>9.5</v>
      </c>
      <c r="D710" s="135">
        <v>570</v>
      </c>
      <c r="E710" s="136">
        <v>5415</v>
      </c>
      <c r="F710" s="62">
        <f>E710-E711</f>
        <v>-1235</v>
      </c>
    </row>
    <row r="711" spans="1:6" x14ac:dyDescent="0.2">
      <c r="B711" s="15" t="s">
        <v>1088</v>
      </c>
      <c r="C711" s="16">
        <v>950</v>
      </c>
      <c r="D711" s="15">
        <v>7</v>
      </c>
      <c r="E711" s="16">
        <v>6650</v>
      </c>
      <c r="F711" s="62">
        <f>E711-E711</f>
        <v>0</v>
      </c>
    </row>
    <row r="712" spans="1:6" x14ac:dyDescent="0.2">
      <c r="A712" t="s">
        <v>882</v>
      </c>
      <c r="B712" s="139" t="s">
        <v>164</v>
      </c>
      <c r="C712" s="150">
        <v>13.15</v>
      </c>
      <c r="D712" s="135">
        <v>570</v>
      </c>
      <c r="E712" s="136">
        <v>7495.5</v>
      </c>
      <c r="F712" s="62">
        <f>E712-E713</f>
        <v>-26694.5</v>
      </c>
    </row>
    <row r="713" spans="1:6" x14ac:dyDescent="0.2">
      <c r="B713" s="15" t="s">
        <v>1089</v>
      </c>
      <c r="C713" s="16">
        <v>1315</v>
      </c>
      <c r="D713" s="15">
        <v>26</v>
      </c>
      <c r="E713" s="16">
        <v>34190</v>
      </c>
      <c r="F713" s="62">
        <f>E713-E713</f>
        <v>0</v>
      </c>
    </row>
    <row r="714" spans="1:6" x14ac:dyDescent="0.2">
      <c r="A714" s="148" t="s">
        <v>1505</v>
      </c>
      <c r="B714" s="141"/>
      <c r="C714" s="136"/>
      <c r="D714" s="141"/>
      <c r="E714" s="136"/>
      <c r="F714" s="62">
        <f>E714-E715</f>
        <v>-782613</v>
      </c>
    </row>
    <row r="715" spans="1:6" x14ac:dyDescent="0.2">
      <c r="B715" s="15" t="s">
        <v>979</v>
      </c>
      <c r="C715" s="16">
        <v>60201</v>
      </c>
      <c r="D715" s="15">
        <v>13</v>
      </c>
      <c r="E715" s="16">
        <v>782613</v>
      </c>
      <c r="F715" s="62">
        <f>E715-E715</f>
        <v>0</v>
      </c>
    </row>
    <row r="716" spans="1:6" x14ac:dyDescent="0.2">
      <c r="A716" t="s">
        <v>882</v>
      </c>
      <c r="B716" s="142" t="s">
        <v>464</v>
      </c>
      <c r="C716" s="155">
        <v>68.239999999999995</v>
      </c>
      <c r="D716" s="140">
        <v>153</v>
      </c>
      <c r="E716" s="136">
        <v>10440.719999999999</v>
      </c>
      <c r="F716" s="62">
        <f>E716-E717</f>
        <v>-37327.279999999999</v>
      </c>
    </row>
    <row r="717" spans="1:6" x14ac:dyDescent="0.2">
      <c r="B717" s="15" t="s">
        <v>994</v>
      </c>
      <c r="C717" s="16">
        <v>6824</v>
      </c>
      <c r="D717" s="15">
        <v>7</v>
      </c>
      <c r="E717" s="16">
        <v>47768</v>
      </c>
      <c r="F717" s="62">
        <f>E717-E717</f>
        <v>0</v>
      </c>
    </row>
    <row r="718" spans="1:6" x14ac:dyDescent="0.2">
      <c r="A718" t="s">
        <v>882</v>
      </c>
      <c r="B718" s="139" t="s">
        <v>717</v>
      </c>
      <c r="C718" s="150">
        <v>8.9</v>
      </c>
      <c r="D718" s="135">
        <v>723.07692307692309</v>
      </c>
      <c r="E718" s="136">
        <v>6435.3846153846162</v>
      </c>
      <c r="F718" s="62">
        <f>E718-E719</f>
        <v>-18704.615384615383</v>
      </c>
    </row>
    <row r="719" spans="1:6" x14ac:dyDescent="0.2">
      <c r="B719" s="15" t="s">
        <v>995</v>
      </c>
      <c r="C719" s="16">
        <v>8380</v>
      </c>
      <c r="D719" s="15">
        <v>3</v>
      </c>
      <c r="E719" s="16">
        <v>25140</v>
      </c>
      <c r="F719" s="62">
        <f>E719-E719</f>
        <v>0</v>
      </c>
    </row>
    <row r="720" spans="1:6" x14ac:dyDescent="0.2">
      <c r="A720" t="s">
        <v>882</v>
      </c>
      <c r="B720" s="139" t="s">
        <v>718</v>
      </c>
      <c r="C720" s="150">
        <v>23.97</v>
      </c>
      <c r="D720" s="135">
        <v>290</v>
      </c>
      <c r="E720" s="136">
        <v>6951.2999999999993</v>
      </c>
      <c r="F720" s="62">
        <f>E720-E721</f>
        <v>-160838.70000000001</v>
      </c>
    </row>
    <row r="721" spans="1:6" x14ac:dyDescent="0.2">
      <c r="B721" s="15" t="s">
        <v>996</v>
      </c>
      <c r="C721" s="16">
        <v>23970</v>
      </c>
      <c r="D721" s="15">
        <v>7</v>
      </c>
      <c r="E721" s="16">
        <v>167790</v>
      </c>
      <c r="F721" s="62">
        <f>E721-E721</f>
        <v>0</v>
      </c>
    </row>
    <row r="722" spans="1:6" x14ac:dyDescent="0.2">
      <c r="A722" t="s">
        <v>882</v>
      </c>
      <c r="B722" s="139" t="s">
        <v>340</v>
      </c>
      <c r="C722" s="150">
        <v>171.1</v>
      </c>
      <c r="D722" s="140">
        <v>10</v>
      </c>
      <c r="E722" s="136">
        <v>1711</v>
      </c>
      <c r="F722" s="62">
        <f>E722-E723</f>
        <v>0</v>
      </c>
    </row>
    <row r="723" spans="1:6" x14ac:dyDescent="0.2">
      <c r="B723" s="15" t="s">
        <v>997</v>
      </c>
      <c r="C723" s="16">
        <v>1711</v>
      </c>
      <c r="D723" s="15">
        <v>1</v>
      </c>
      <c r="E723" s="16">
        <v>1711</v>
      </c>
      <c r="F723" s="62">
        <f>E723-E723</f>
        <v>0</v>
      </c>
    </row>
    <row r="724" spans="1:6" x14ac:dyDescent="0.15">
      <c r="A724" t="s">
        <v>882</v>
      </c>
      <c r="B724" s="137" t="s">
        <v>379</v>
      </c>
      <c r="C724" s="149">
        <v>1177</v>
      </c>
      <c r="D724" s="140">
        <v>5</v>
      </c>
      <c r="E724" s="136">
        <v>5885</v>
      </c>
      <c r="F724" s="62">
        <f>E724-E725</f>
        <v>5885</v>
      </c>
    </row>
    <row r="725" spans="1:6" x14ac:dyDescent="0.15">
      <c r="B725" s="20"/>
      <c r="C725" s="152"/>
      <c r="D725" s="99"/>
      <c r="E725" s="122"/>
      <c r="F725" s="62">
        <f>E725-E725</f>
        <v>0</v>
      </c>
    </row>
    <row r="726" spans="1:6" x14ac:dyDescent="0.2">
      <c r="A726" t="s">
        <v>882</v>
      </c>
      <c r="B726" s="139" t="s">
        <v>426</v>
      </c>
      <c r="C726" s="150">
        <v>5.26</v>
      </c>
      <c r="D726" s="135">
        <v>1411</v>
      </c>
      <c r="E726" s="136">
        <v>7421.86</v>
      </c>
      <c r="F726" s="62">
        <f>E726-E727</f>
        <v>-34658.14</v>
      </c>
    </row>
    <row r="727" spans="1:6" x14ac:dyDescent="0.2">
      <c r="B727" s="15" t="s">
        <v>1271</v>
      </c>
      <c r="C727" s="16">
        <v>5260</v>
      </c>
      <c r="D727" s="15">
        <v>8</v>
      </c>
      <c r="E727" s="16">
        <v>42080</v>
      </c>
      <c r="F727" s="62">
        <f>E727-E727</f>
        <v>0</v>
      </c>
    </row>
    <row r="728" spans="1:6" x14ac:dyDescent="0.15">
      <c r="A728" t="s">
        <v>882</v>
      </c>
      <c r="B728" s="137" t="s">
        <v>165</v>
      </c>
      <c r="C728" s="149">
        <v>8.83</v>
      </c>
      <c r="D728" s="135">
        <v>211</v>
      </c>
      <c r="E728" s="136">
        <v>1863.13</v>
      </c>
      <c r="F728" s="62">
        <f>E728-E729</f>
        <v>-11381.869999999999</v>
      </c>
    </row>
    <row r="729" spans="1:6" x14ac:dyDescent="0.2">
      <c r="B729" s="15" t="s">
        <v>1194</v>
      </c>
      <c r="C729" s="16">
        <v>883</v>
      </c>
      <c r="D729" s="15">
        <v>15</v>
      </c>
      <c r="E729" s="16">
        <v>13245</v>
      </c>
      <c r="F729" s="62">
        <f>E729-E729</f>
        <v>0</v>
      </c>
    </row>
    <row r="730" spans="1:6" x14ac:dyDescent="0.2">
      <c r="A730" t="s">
        <v>882</v>
      </c>
      <c r="B730" s="142" t="s">
        <v>23</v>
      </c>
      <c r="C730" s="160">
        <v>10.7</v>
      </c>
      <c r="D730" s="140">
        <v>426</v>
      </c>
      <c r="E730" s="136">
        <v>4558.2</v>
      </c>
      <c r="F730" s="62">
        <f>E730-E731</f>
        <v>4558.2</v>
      </c>
    </row>
    <row r="731" spans="1:6" x14ac:dyDescent="0.2">
      <c r="B731" s="23"/>
      <c r="C731" s="172"/>
      <c r="D731" s="99"/>
      <c r="E731" s="122"/>
      <c r="F731" s="62">
        <f>E731-E731</f>
        <v>0</v>
      </c>
    </row>
    <row r="732" spans="1:6" x14ac:dyDescent="0.2">
      <c r="A732" t="s">
        <v>882</v>
      </c>
      <c r="B732" s="139" t="s">
        <v>166</v>
      </c>
      <c r="C732" s="150">
        <v>5.07</v>
      </c>
      <c r="D732" s="135">
        <v>1380</v>
      </c>
      <c r="E732" s="136">
        <v>6996.6</v>
      </c>
      <c r="F732" s="62">
        <f>E732-E733</f>
        <v>1926.6000000000004</v>
      </c>
    </row>
    <row r="733" spans="1:6" x14ac:dyDescent="0.2">
      <c r="B733" s="15" t="s">
        <v>1201</v>
      </c>
      <c r="C733" s="16">
        <v>5070</v>
      </c>
      <c r="D733" s="15">
        <v>1</v>
      </c>
      <c r="E733" s="16">
        <v>5070</v>
      </c>
      <c r="F733" s="62">
        <f>E733-E733</f>
        <v>0</v>
      </c>
    </row>
    <row r="734" spans="1:6" x14ac:dyDescent="0.15">
      <c r="A734" t="s">
        <v>882</v>
      </c>
      <c r="B734" s="137" t="s">
        <v>167</v>
      </c>
      <c r="C734" s="149">
        <v>8.0399999999999991</v>
      </c>
      <c r="D734" s="135">
        <v>1375</v>
      </c>
      <c r="E734" s="136">
        <v>11054.999999999998</v>
      </c>
      <c r="F734" s="62">
        <f>E734-E735</f>
        <v>-21105</v>
      </c>
    </row>
    <row r="735" spans="1:6" x14ac:dyDescent="0.2">
      <c r="B735" s="15" t="s">
        <v>1218</v>
      </c>
      <c r="C735" s="16">
        <v>8040</v>
      </c>
      <c r="D735" s="15">
        <v>4</v>
      </c>
      <c r="E735" s="16">
        <v>32160</v>
      </c>
      <c r="F735" s="62">
        <f>E735-E735</f>
        <v>0</v>
      </c>
    </row>
    <row r="736" spans="1:6" x14ac:dyDescent="0.2">
      <c r="A736" t="s">
        <v>882</v>
      </c>
      <c r="B736" s="139" t="s">
        <v>264</v>
      </c>
      <c r="C736" s="150">
        <v>154.55000000000001</v>
      </c>
      <c r="D736" s="135">
        <v>31</v>
      </c>
      <c r="E736" s="136">
        <v>4791.05</v>
      </c>
      <c r="F736" s="62">
        <f>E736-E737</f>
        <v>-50846.95</v>
      </c>
    </row>
    <row r="737" spans="1:6" x14ac:dyDescent="0.2">
      <c r="B737" s="15" t="s">
        <v>1328</v>
      </c>
      <c r="C737" s="16">
        <v>3091</v>
      </c>
      <c r="D737" s="15">
        <v>18</v>
      </c>
      <c r="E737" s="16">
        <v>55638</v>
      </c>
      <c r="F737" s="62">
        <f>E737-E737</f>
        <v>0</v>
      </c>
    </row>
    <row r="738" spans="1:6" x14ac:dyDescent="0.2">
      <c r="A738" t="s">
        <v>882</v>
      </c>
      <c r="B738" s="139" t="s">
        <v>265</v>
      </c>
      <c r="C738" s="150">
        <v>200.9</v>
      </c>
      <c r="D738" s="135">
        <v>3</v>
      </c>
      <c r="E738" s="136">
        <v>602.70000000000005</v>
      </c>
      <c r="F738" s="62">
        <f>E738-E739</f>
        <v>-17478.3</v>
      </c>
    </row>
    <row r="739" spans="1:6" x14ac:dyDescent="0.2">
      <c r="B739" s="15" t="s">
        <v>1329</v>
      </c>
      <c r="C739" s="16">
        <v>2009</v>
      </c>
      <c r="D739" s="15">
        <v>9</v>
      </c>
      <c r="E739" s="16">
        <v>18081</v>
      </c>
      <c r="F739" s="62">
        <f>E739-E739</f>
        <v>0</v>
      </c>
    </row>
    <row r="740" spans="1:6" x14ac:dyDescent="0.15">
      <c r="A740" t="s">
        <v>882</v>
      </c>
      <c r="B740" s="137" t="s">
        <v>844</v>
      </c>
      <c r="C740" s="149">
        <v>9.5399999999999991</v>
      </c>
      <c r="D740" s="135">
        <v>184</v>
      </c>
      <c r="E740" s="136">
        <v>1755</v>
      </c>
      <c r="F740" s="62">
        <f>E740-E741</f>
        <v>-2061</v>
      </c>
    </row>
    <row r="741" spans="1:6" x14ac:dyDescent="0.2">
      <c r="B741" s="15" t="s">
        <v>1202</v>
      </c>
      <c r="C741" s="16">
        <v>954</v>
      </c>
      <c r="D741" s="15">
        <v>4</v>
      </c>
      <c r="E741" s="16">
        <v>3816</v>
      </c>
      <c r="F741" s="62">
        <f>E741-E741</f>
        <v>0</v>
      </c>
    </row>
    <row r="742" spans="1:6" x14ac:dyDescent="0.2">
      <c r="A742" t="s">
        <v>882</v>
      </c>
      <c r="B742" s="139" t="s">
        <v>480</v>
      </c>
      <c r="C742" s="150">
        <v>7.54</v>
      </c>
      <c r="D742" s="135">
        <v>112</v>
      </c>
      <c r="E742" s="136">
        <v>844.48</v>
      </c>
      <c r="F742" s="62">
        <f>E742-E743</f>
        <v>-663.52</v>
      </c>
    </row>
    <row r="743" spans="1:6" x14ac:dyDescent="0.2">
      <c r="B743" s="15" t="s">
        <v>1203</v>
      </c>
      <c r="C743" s="16">
        <v>754</v>
      </c>
      <c r="D743" s="15">
        <v>2</v>
      </c>
      <c r="E743" s="16">
        <v>1508</v>
      </c>
      <c r="F743" s="62">
        <f>E743-E743</f>
        <v>0</v>
      </c>
    </row>
    <row r="744" spans="1:6" x14ac:dyDescent="0.2">
      <c r="A744" t="s">
        <v>882</v>
      </c>
      <c r="B744" s="139" t="s">
        <v>619</v>
      </c>
      <c r="C744" s="150">
        <v>285.36</v>
      </c>
      <c r="D744" s="135">
        <v>6</v>
      </c>
      <c r="E744" s="136">
        <v>1712.16</v>
      </c>
      <c r="F744" s="62">
        <f>E744-E745</f>
        <v>-94167.84</v>
      </c>
    </row>
    <row r="745" spans="1:6" x14ac:dyDescent="0.2">
      <c r="B745" s="15" t="s">
        <v>980</v>
      </c>
      <c r="C745" s="16">
        <v>7990</v>
      </c>
      <c r="D745" s="15">
        <v>12</v>
      </c>
      <c r="E745" s="16">
        <v>95880</v>
      </c>
      <c r="F745" s="62">
        <f>E745-E745</f>
        <v>0</v>
      </c>
    </row>
    <row r="746" spans="1:6" x14ac:dyDescent="0.2">
      <c r="A746" t="s">
        <v>882</v>
      </c>
      <c r="B746" s="139" t="s">
        <v>168</v>
      </c>
      <c r="C746" s="150">
        <v>6.09</v>
      </c>
      <c r="D746" s="135">
        <v>58.333333333333336</v>
      </c>
      <c r="E746" s="136">
        <v>355.25</v>
      </c>
      <c r="F746" s="62">
        <f>E746-E747</f>
        <v>-30094.75</v>
      </c>
    </row>
    <row r="747" spans="1:6" x14ac:dyDescent="0.2">
      <c r="B747" s="15" t="s">
        <v>998</v>
      </c>
      <c r="C747" s="16">
        <v>6090</v>
      </c>
      <c r="D747" s="15">
        <v>5</v>
      </c>
      <c r="E747" s="16">
        <v>30450</v>
      </c>
    </row>
    <row r="748" spans="1:6" ht="12.75" customHeight="1" x14ac:dyDescent="0.2">
      <c r="A748" t="s">
        <v>882</v>
      </c>
      <c r="B748" s="139" t="s">
        <v>169</v>
      </c>
      <c r="C748" s="150">
        <v>5.18</v>
      </c>
      <c r="D748" s="135">
        <v>388.33333333333337</v>
      </c>
      <c r="E748" s="136">
        <v>2011.5666666666668</v>
      </c>
      <c r="F748" s="62">
        <f>E748-E749</f>
        <v>-60.433333333333167</v>
      </c>
    </row>
    <row r="749" spans="1:6" x14ac:dyDescent="0.2">
      <c r="B749" s="15" t="s">
        <v>999</v>
      </c>
      <c r="C749" s="16">
        <v>518</v>
      </c>
      <c r="D749" s="15">
        <v>4</v>
      </c>
      <c r="E749" s="16">
        <v>2072</v>
      </c>
      <c r="F749" s="62">
        <f>E749-E749</f>
        <v>0</v>
      </c>
    </row>
    <row r="750" spans="1:6" x14ac:dyDescent="0.15">
      <c r="A750" t="s">
        <v>882</v>
      </c>
      <c r="B750" s="137" t="s">
        <v>617</v>
      </c>
      <c r="C750" s="149">
        <v>58</v>
      </c>
      <c r="D750" s="135">
        <v>10</v>
      </c>
      <c r="E750" s="136">
        <v>580</v>
      </c>
      <c r="F750" s="62">
        <f>E750-E751</f>
        <v>-8700</v>
      </c>
    </row>
    <row r="751" spans="1:6" x14ac:dyDescent="0.2">
      <c r="B751" s="15" t="s">
        <v>1332</v>
      </c>
      <c r="C751" s="16">
        <v>580</v>
      </c>
      <c r="D751" s="15">
        <v>16</v>
      </c>
      <c r="E751" s="16">
        <v>9280</v>
      </c>
      <c r="F751" s="62">
        <f>E751-E751</f>
        <v>0</v>
      </c>
    </row>
    <row r="752" spans="1:6" x14ac:dyDescent="0.2">
      <c r="A752" t="s">
        <v>882</v>
      </c>
      <c r="B752" s="139" t="s">
        <v>170</v>
      </c>
      <c r="C752" s="150">
        <v>8.9</v>
      </c>
      <c r="D752" s="135">
        <v>555.55555555555554</v>
      </c>
      <c r="E752" s="136">
        <v>4944.4444444444443</v>
      </c>
      <c r="F752" s="62">
        <f>E752-E753</f>
        <v>-3955.5555555555557</v>
      </c>
    </row>
    <row r="753" spans="1:6" x14ac:dyDescent="0.2">
      <c r="B753" s="15" t="s">
        <v>1204</v>
      </c>
      <c r="C753" s="16">
        <v>4450</v>
      </c>
      <c r="D753" s="15">
        <v>2</v>
      </c>
      <c r="E753" s="16">
        <v>8900</v>
      </c>
      <c r="F753" s="62">
        <f>E753-E753</f>
        <v>0</v>
      </c>
    </row>
    <row r="754" spans="1:6" x14ac:dyDescent="0.2">
      <c r="A754" s="148"/>
      <c r="B754" s="141"/>
      <c r="C754" s="136"/>
      <c r="D754" s="141"/>
      <c r="E754" s="136"/>
      <c r="F754" s="62">
        <f>E754-E755</f>
        <v>-918</v>
      </c>
    </row>
    <row r="755" spans="1:6" x14ac:dyDescent="0.2">
      <c r="B755" s="15" t="s">
        <v>1205</v>
      </c>
      <c r="C755" s="16">
        <v>918</v>
      </c>
      <c r="D755" s="15">
        <v>1</v>
      </c>
      <c r="E755" s="16">
        <v>918</v>
      </c>
      <c r="F755" s="62">
        <f>E755-E755</f>
        <v>0</v>
      </c>
    </row>
    <row r="756" spans="1:6" x14ac:dyDescent="0.2">
      <c r="A756" t="s">
        <v>882</v>
      </c>
      <c r="B756" s="139" t="s">
        <v>171</v>
      </c>
      <c r="C756" s="150">
        <v>13.49</v>
      </c>
      <c r="D756" s="135">
        <v>986.36363636363626</v>
      </c>
      <c r="E756" s="136">
        <v>13306.045454545454</v>
      </c>
      <c r="F756" s="62">
        <f>E756-E757</f>
        <v>-161998.95454545456</v>
      </c>
    </row>
    <row r="757" spans="1:6" x14ac:dyDescent="0.2">
      <c r="B757" s="15" t="s">
        <v>981</v>
      </c>
      <c r="C757" s="16">
        <v>13485</v>
      </c>
      <c r="D757" s="15">
        <v>13</v>
      </c>
      <c r="E757" s="16">
        <v>175305</v>
      </c>
      <c r="F757" s="62">
        <f>E757-E757</f>
        <v>0</v>
      </c>
    </row>
    <row r="758" spans="1:6" x14ac:dyDescent="0.2">
      <c r="A758" t="s">
        <v>882</v>
      </c>
      <c r="B758" s="139" t="s">
        <v>656</v>
      </c>
      <c r="C758" s="151">
        <v>48</v>
      </c>
      <c r="D758" s="140">
        <v>14</v>
      </c>
      <c r="E758" s="136">
        <v>672</v>
      </c>
      <c r="F758" s="62">
        <f>E758-E759</f>
        <v>672</v>
      </c>
    </row>
    <row r="759" spans="1:6" x14ac:dyDescent="0.2">
      <c r="B759" s="17"/>
      <c r="C759" s="171"/>
      <c r="D759" s="99"/>
      <c r="E759" s="122"/>
      <c r="F759" s="62">
        <f>E759-E759</f>
        <v>0</v>
      </c>
    </row>
    <row r="760" spans="1:6" x14ac:dyDescent="0.15">
      <c r="A760" t="s">
        <v>882</v>
      </c>
      <c r="B760" s="137" t="s">
        <v>863</v>
      </c>
      <c r="C760" s="149">
        <v>121.6</v>
      </c>
      <c r="D760" s="135">
        <v>9</v>
      </c>
      <c r="E760" s="136">
        <v>1094.3999999999999</v>
      </c>
      <c r="F760" s="62">
        <f>E760-E761</f>
        <v>-1337.6000000000001</v>
      </c>
    </row>
    <row r="761" spans="1:6" x14ac:dyDescent="0.2">
      <c r="B761" s="15" t="s">
        <v>1146</v>
      </c>
      <c r="C761" s="16">
        <v>1216</v>
      </c>
      <c r="D761" s="15">
        <v>2</v>
      </c>
      <c r="E761" s="16">
        <v>2432</v>
      </c>
      <c r="F761" s="62">
        <f>E761-E761</f>
        <v>0</v>
      </c>
    </row>
    <row r="762" spans="1:6" x14ac:dyDescent="0.2">
      <c r="A762" t="s">
        <v>882</v>
      </c>
      <c r="B762" s="139" t="s">
        <v>172</v>
      </c>
      <c r="C762" s="150">
        <v>25.39</v>
      </c>
      <c r="D762" s="135">
        <v>1006.25</v>
      </c>
      <c r="E762" s="136">
        <v>25548.6875</v>
      </c>
      <c r="F762" s="62">
        <f>E762-E763</f>
        <v>-25231.3125</v>
      </c>
    </row>
    <row r="763" spans="1:6" x14ac:dyDescent="0.2">
      <c r="B763" s="15" t="s">
        <v>968</v>
      </c>
      <c r="C763" s="16">
        <v>25390</v>
      </c>
      <c r="D763" s="15">
        <v>2</v>
      </c>
      <c r="E763" s="16">
        <v>50780</v>
      </c>
      <c r="F763" s="62">
        <f>E763-E763</f>
        <v>0</v>
      </c>
    </row>
    <row r="764" spans="1:6" x14ac:dyDescent="0.2">
      <c r="A764" t="s">
        <v>882</v>
      </c>
      <c r="B764" s="139" t="s">
        <v>784</v>
      </c>
      <c r="C764" s="150">
        <v>5.08</v>
      </c>
      <c r="D764" s="135">
        <v>2935.4285714285716</v>
      </c>
      <c r="E764" s="136">
        <v>14911.977142857144</v>
      </c>
      <c r="F764" s="62">
        <f>E764-E765</f>
        <v>-33297.02285714286</v>
      </c>
    </row>
    <row r="765" spans="1:6" x14ac:dyDescent="0.2">
      <c r="B765" s="15" t="s">
        <v>1346</v>
      </c>
      <c r="C765" s="16">
        <v>2537</v>
      </c>
      <c r="D765" s="15">
        <v>7</v>
      </c>
      <c r="E765" s="16">
        <v>48209</v>
      </c>
      <c r="F765" s="62">
        <f>E765-E765</f>
        <v>0</v>
      </c>
    </row>
    <row r="766" spans="1:6" x14ac:dyDescent="0.2">
      <c r="A766" t="s">
        <v>882</v>
      </c>
      <c r="B766" s="139" t="s">
        <v>845</v>
      </c>
      <c r="C766" s="150">
        <v>703.65</v>
      </c>
      <c r="D766" s="135">
        <v>63</v>
      </c>
      <c r="E766" s="136">
        <v>44329.95</v>
      </c>
      <c r="F766" s="62">
        <f>E766-E767</f>
        <v>-26035.050000000003</v>
      </c>
    </row>
    <row r="767" spans="1:6" x14ac:dyDescent="0.2">
      <c r="B767" s="15" t="s">
        <v>982</v>
      </c>
      <c r="C767" s="16">
        <v>70365</v>
      </c>
      <c r="D767" s="15">
        <v>1</v>
      </c>
      <c r="E767" s="16">
        <v>70365</v>
      </c>
      <c r="F767" s="62">
        <f>E767-E767</f>
        <v>0</v>
      </c>
    </row>
    <row r="768" spans="1:6" x14ac:dyDescent="0.2">
      <c r="A768" t="s">
        <v>882</v>
      </c>
      <c r="B768" s="143" t="s">
        <v>721</v>
      </c>
      <c r="C768" s="150">
        <v>182.79</v>
      </c>
      <c r="D768" s="135">
        <v>133</v>
      </c>
      <c r="E768" s="136">
        <v>24311.07</v>
      </c>
      <c r="F768" s="62">
        <f>E768-E769</f>
        <v>-140199.93</v>
      </c>
    </row>
    <row r="769" spans="1:6" x14ac:dyDescent="0.2">
      <c r="B769" s="15" t="s">
        <v>1406</v>
      </c>
      <c r="C769" s="16">
        <v>18279</v>
      </c>
      <c r="D769" s="15">
        <v>9</v>
      </c>
      <c r="E769" s="16">
        <v>164511</v>
      </c>
      <c r="F769" s="62">
        <f>E769-E769</f>
        <v>0</v>
      </c>
    </row>
    <row r="770" spans="1:6" x14ac:dyDescent="0.2">
      <c r="A770" t="s">
        <v>882</v>
      </c>
      <c r="B770" s="139" t="s">
        <v>342</v>
      </c>
      <c r="C770" s="150">
        <v>83.7</v>
      </c>
      <c r="D770" s="140">
        <v>8</v>
      </c>
      <c r="E770" s="136">
        <v>669.6</v>
      </c>
      <c r="F770" s="62">
        <f>E770-E771</f>
        <v>669.6</v>
      </c>
    </row>
    <row r="771" spans="1:6" x14ac:dyDescent="0.2">
      <c r="B771" s="17"/>
      <c r="C771" s="154"/>
      <c r="D771" s="99"/>
      <c r="E771" s="122"/>
      <c r="F771" s="62">
        <f>E771-E771</f>
        <v>0</v>
      </c>
    </row>
    <row r="772" spans="1:6" x14ac:dyDescent="0.2">
      <c r="A772" t="s">
        <v>882</v>
      </c>
      <c r="B772" s="141" t="s">
        <v>409</v>
      </c>
      <c r="C772" s="150">
        <v>8.4700000000000006</v>
      </c>
      <c r="D772" s="135">
        <v>189.5</v>
      </c>
      <c r="E772" s="136">
        <v>1605.0650000000001</v>
      </c>
      <c r="F772" s="62">
        <f>E772-E773</f>
        <v>758.06500000000005</v>
      </c>
    </row>
    <row r="773" spans="1:6" x14ac:dyDescent="0.2">
      <c r="B773" s="15" t="s">
        <v>1162</v>
      </c>
      <c r="C773" s="16">
        <v>847</v>
      </c>
      <c r="D773" s="15">
        <v>1</v>
      </c>
      <c r="E773" s="16">
        <v>847</v>
      </c>
      <c r="F773" s="62">
        <f>E773-E773</f>
        <v>0</v>
      </c>
    </row>
    <row r="774" spans="1:6" x14ac:dyDescent="0.2">
      <c r="A774" t="s">
        <v>882</v>
      </c>
      <c r="B774" s="139" t="s">
        <v>625</v>
      </c>
      <c r="C774" s="150">
        <v>208.1</v>
      </c>
      <c r="D774" s="135">
        <v>8</v>
      </c>
      <c r="E774" s="136">
        <v>1664.8</v>
      </c>
      <c r="F774" s="62">
        <f>E774-E775</f>
        <v>1664.8</v>
      </c>
    </row>
    <row r="775" spans="1:6" x14ac:dyDescent="0.2">
      <c r="B775" s="17"/>
      <c r="C775" s="154"/>
      <c r="D775" s="147"/>
      <c r="E775" s="122"/>
      <c r="F775" s="62">
        <f>E775-E775</f>
        <v>0</v>
      </c>
    </row>
    <row r="776" spans="1:6" x14ac:dyDescent="0.2">
      <c r="A776" t="s">
        <v>882</v>
      </c>
      <c r="B776" s="139" t="s">
        <v>846</v>
      </c>
      <c r="C776" s="150">
        <v>12.02</v>
      </c>
      <c r="D776" s="135">
        <v>40</v>
      </c>
      <c r="E776" s="136">
        <v>480.79999999999995</v>
      </c>
      <c r="F776" s="62">
        <f>E776-E777</f>
        <v>-7933.2</v>
      </c>
    </row>
    <row r="777" spans="1:6" x14ac:dyDescent="0.2">
      <c r="B777" s="15" t="s">
        <v>969</v>
      </c>
      <c r="C777" s="16">
        <v>1202</v>
      </c>
      <c r="D777" s="15">
        <v>7</v>
      </c>
      <c r="E777" s="16">
        <v>8414</v>
      </c>
      <c r="F777" s="62">
        <f>E777-E777</f>
        <v>0</v>
      </c>
    </row>
    <row r="778" spans="1:6" x14ac:dyDescent="0.2">
      <c r="A778" t="s">
        <v>882</v>
      </c>
      <c r="B778" s="137" t="s">
        <v>173</v>
      </c>
      <c r="C778" s="149">
        <v>33.04</v>
      </c>
      <c r="D778" s="138">
        <v>655.72727272727275</v>
      </c>
      <c r="E778" s="136">
        <v>21665.229090909092</v>
      </c>
      <c r="F778" s="62">
        <f>E778-E779</f>
        <v>-274398.77090909093</v>
      </c>
    </row>
    <row r="779" spans="1:6" x14ac:dyDescent="0.2">
      <c r="B779" s="15" t="s">
        <v>1090</v>
      </c>
      <c r="C779" s="16">
        <v>4626</v>
      </c>
      <c r="D779" s="15">
        <v>64</v>
      </c>
      <c r="E779" s="16">
        <v>296064</v>
      </c>
      <c r="F779" s="62">
        <f>E779-E779</f>
        <v>0</v>
      </c>
    </row>
    <row r="780" spans="1:6" x14ac:dyDescent="0.15">
      <c r="A780" t="s">
        <v>882</v>
      </c>
      <c r="B780" s="137" t="s">
        <v>847</v>
      </c>
      <c r="C780" s="149">
        <v>55850</v>
      </c>
      <c r="D780" s="135">
        <v>1</v>
      </c>
      <c r="E780" s="136">
        <v>55850</v>
      </c>
      <c r="F780" s="62">
        <f>E780-E781</f>
        <v>0</v>
      </c>
    </row>
    <row r="781" spans="1:6" x14ac:dyDescent="0.2">
      <c r="B781" s="15" t="s">
        <v>1478</v>
      </c>
      <c r="C781" s="16">
        <v>55850</v>
      </c>
      <c r="D781" s="15">
        <v>1</v>
      </c>
      <c r="E781" s="16">
        <v>55850</v>
      </c>
      <c r="F781" s="62">
        <f>E781-E781</f>
        <v>0</v>
      </c>
    </row>
    <row r="782" spans="1:6" x14ac:dyDescent="0.15">
      <c r="A782" t="s">
        <v>882</v>
      </c>
      <c r="B782" s="137" t="s">
        <v>848</v>
      </c>
      <c r="C782" s="149">
        <v>88220</v>
      </c>
      <c r="D782" s="135">
        <v>1</v>
      </c>
      <c r="E782" s="136">
        <v>88220</v>
      </c>
      <c r="F782" s="62">
        <f>E782-E783</f>
        <v>0</v>
      </c>
    </row>
    <row r="783" spans="1:6" x14ac:dyDescent="0.2">
      <c r="B783" s="15" t="s">
        <v>1479</v>
      </c>
      <c r="C783" s="16">
        <v>88220</v>
      </c>
      <c r="D783" s="15">
        <v>1</v>
      </c>
      <c r="E783" s="16">
        <v>88220</v>
      </c>
      <c r="F783" s="62">
        <f>E783-E783</f>
        <v>0</v>
      </c>
    </row>
    <row r="784" spans="1:6" x14ac:dyDescent="0.2">
      <c r="A784" t="s">
        <v>882</v>
      </c>
      <c r="B784" s="139" t="s">
        <v>175</v>
      </c>
      <c r="C784" s="159">
        <v>5.18</v>
      </c>
      <c r="D784" s="138">
        <v>1731.578947368421</v>
      </c>
      <c r="E784" s="136">
        <v>8969.5789473684199</v>
      </c>
      <c r="F784" s="62">
        <f>E784-E785</f>
        <v>-42830.42105263158</v>
      </c>
    </row>
    <row r="785" spans="1:6" x14ac:dyDescent="0.2">
      <c r="B785" s="15" t="s">
        <v>1402</v>
      </c>
      <c r="C785" s="16">
        <v>5180</v>
      </c>
      <c r="D785" s="15">
        <v>10</v>
      </c>
      <c r="E785" s="16">
        <v>51800</v>
      </c>
      <c r="F785" s="62">
        <f>E785-E785</f>
        <v>0</v>
      </c>
    </row>
    <row r="786" spans="1:6" x14ac:dyDescent="0.2">
      <c r="A786" t="s">
        <v>882</v>
      </c>
      <c r="B786" s="137" t="s">
        <v>177</v>
      </c>
      <c r="C786" s="149">
        <v>42.05</v>
      </c>
      <c r="D786" s="138">
        <v>177</v>
      </c>
      <c r="E786" s="136">
        <v>7442.8499999999995</v>
      </c>
      <c r="F786" s="62">
        <f>E786-E787</f>
        <v>-43017.15</v>
      </c>
    </row>
    <row r="787" spans="1:6" x14ac:dyDescent="0.2">
      <c r="B787" s="15" t="s">
        <v>1461</v>
      </c>
      <c r="C787" s="16">
        <v>4205</v>
      </c>
      <c r="D787" s="15">
        <v>12</v>
      </c>
      <c r="E787" s="16">
        <v>50460</v>
      </c>
    </row>
    <row r="788" spans="1:6" x14ac:dyDescent="0.2">
      <c r="A788" t="s">
        <v>882</v>
      </c>
      <c r="B788" s="139" t="s">
        <v>343</v>
      </c>
      <c r="C788" s="150">
        <v>3898.5</v>
      </c>
      <c r="D788" s="140">
        <v>20</v>
      </c>
      <c r="E788" s="136">
        <v>77970</v>
      </c>
      <c r="F788" s="62">
        <f>E788-E789</f>
        <v>0</v>
      </c>
    </row>
    <row r="789" spans="1:6" x14ac:dyDescent="0.2">
      <c r="B789" s="15" t="s">
        <v>1451</v>
      </c>
      <c r="C789" s="16">
        <v>38985</v>
      </c>
      <c r="D789" s="15">
        <v>2</v>
      </c>
      <c r="E789" s="16">
        <v>77970</v>
      </c>
      <c r="F789" s="62">
        <f>E789-E789</f>
        <v>0</v>
      </c>
    </row>
    <row r="790" spans="1:6" x14ac:dyDescent="0.2">
      <c r="A790" t="s">
        <v>882</v>
      </c>
      <c r="B790" s="137" t="s">
        <v>178</v>
      </c>
      <c r="C790" s="149">
        <v>66.739999999999995</v>
      </c>
      <c r="D790" s="138">
        <v>123</v>
      </c>
      <c r="E790" s="136">
        <v>8209.0199999999986</v>
      </c>
      <c r="F790" s="62">
        <f>E790-E791</f>
        <v>-28229.980000000003</v>
      </c>
    </row>
    <row r="791" spans="1:6" x14ac:dyDescent="0.2">
      <c r="B791" s="15" t="s">
        <v>1480</v>
      </c>
      <c r="C791" s="16">
        <v>2803</v>
      </c>
      <c r="D791" s="15">
        <v>11</v>
      </c>
      <c r="E791" s="16">
        <v>36439</v>
      </c>
      <c r="F791" s="62">
        <f>E791-E791</f>
        <v>0</v>
      </c>
    </row>
    <row r="792" spans="1:6" x14ac:dyDescent="0.2">
      <c r="A792" t="s">
        <v>882</v>
      </c>
      <c r="B792" s="139" t="s">
        <v>24</v>
      </c>
      <c r="C792" s="155">
        <v>25.38</v>
      </c>
      <c r="D792" s="140">
        <v>1364</v>
      </c>
      <c r="E792" s="136">
        <v>34618.32</v>
      </c>
      <c r="F792" s="62">
        <f>E792-E793</f>
        <v>-257251.68</v>
      </c>
    </row>
    <row r="793" spans="1:6" x14ac:dyDescent="0.2">
      <c r="B793" s="15" t="s">
        <v>948</v>
      </c>
      <c r="C793" s="16">
        <v>12690</v>
      </c>
      <c r="D793" s="15">
        <v>23</v>
      </c>
      <c r="E793" s="16">
        <v>291870</v>
      </c>
      <c r="F793" s="62">
        <f>E793-E793</f>
        <v>0</v>
      </c>
    </row>
    <row r="794" spans="1:6" x14ac:dyDescent="0.15">
      <c r="A794" t="s">
        <v>882</v>
      </c>
      <c r="B794" s="137" t="s">
        <v>824</v>
      </c>
      <c r="C794" s="149">
        <v>710</v>
      </c>
      <c r="D794" s="140">
        <v>0</v>
      </c>
      <c r="E794" s="136">
        <v>0</v>
      </c>
      <c r="F794" s="62">
        <f>E794-E795</f>
        <v>-10650</v>
      </c>
    </row>
    <row r="795" spans="1:6" x14ac:dyDescent="0.2">
      <c r="B795" s="15" t="s">
        <v>949</v>
      </c>
      <c r="C795" s="16">
        <v>710</v>
      </c>
      <c r="D795" s="15">
        <v>15</v>
      </c>
      <c r="E795" s="16">
        <v>10650</v>
      </c>
      <c r="F795" s="62">
        <f>E795-E795</f>
        <v>0</v>
      </c>
    </row>
    <row r="796" spans="1:6" x14ac:dyDescent="0.15">
      <c r="A796" t="s">
        <v>882</v>
      </c>
      <c r="B796" s="137" t="s">
        <v>571</v>
      </c>
      <c r="C796" s="149">
        <v>12.7</v>
      </c>
      <c r="D796" s="135">
        <v>63.63636363636364</v>
      </c>
      <c r="E796" s="136">
        <v>808.18181818181813</v>
      </c>
      <c r="F796" s="62">
        <f>E796-E797</f>
        <v>-138891.81818181818</v>
      </c>
    </row>
    <row r="797" spans="1:6" x14ac:dyDescent="0.2">
      <c r="B797" s="15" t="s">
        <v>950</v>
      </c>
      <c r="C797" s="16">
        <v>6350</v>
      </c>
      <c r="D797" s="15">
        <v>22</v>
      </c>
      <c r="E797" s="16">
        <v>139700</v>
      </c>
      <c r="F797" s="62">
        <f>E797-E797</f>
        <v>0</v>
      </c>
    </row>
    <row r="798" spans="1:6" x14ac:dyDescent="0.2">
      <c r="A798" t="s">
        <v>882</v>
      </c>
      <c r="B798" s="139" t="s">
        <v>667</v>
      </c>
      <c r="C798" s="150">
        <v>493.55</v>
      </c>
      <c r="D798" s="140">
        <v>20</v>
      </c>
      <c r="E798" s="136">
        <v>9871</v>
      </c>
      <c r="F798" s="62">
        <f>E798-E799</f>
        <v>-572518</v>
      </c>
    </row>
    <row r="799" spans="1:6" x14ac:dyDescent="0.2">
      <c r="B799" s="15" t="s">
        <v>1364</v>
      </c>
      <c r="C799" s="16">
        <v>9871</v>
      </c>
      <c r="D799" s="15">
        <v>59</v>
      </c>
      <c r="E799" s="16">
        <v>582389</v>
      </c>
      <c r="F799" s="62">
        <f>E799-E799</f>
        <v>0</v>
      </c>
    </row>
    <row r="800" spans="1:6" x14ac:dyDescent="0.2">
      <c r="A800" t="s">
        <v>882</v>
      </c>
      <c r="B800" s="137" t="s">
        <v>849</v>
      </c>
      <c r="C800" s="149">
        <v>12.95</v>
      </c>
      <c r="D800" s="138">
        <v>2069.3846153846152</v>
      </c>
      <c r="E800" s="136">
        <v>26798.530769230765</v>
      </c>
      <c r="F800" s="62">
        <f>E800-E801</f>
        <v>-23706.469230769235</v>
      </c>
    </row>
    <row r="801" spans="1:6" x14ac:dyDescent="0.2">
      <c r="B801" s="15" t="s">
        <v>1091</v>
      </c>
      <c r="C801" s="16">
        <v>1295</v>
      </c>
      <c r="D801" s="15">
        <v>12</v>
      </c>
      <c r="E801" s="16">
        <v>50505</v>
      </c>
      <c r="F801" s="62">
        <f>E801-E801</f>
        <v>0</v>
      </c>
    </row>
    <row r="802" spans="1:6" x14ac:dyDescent="0.15">
      <c r="A802" t="s">
        <v>882</v>
      </c>
      <c r="B802" s="137" t="s">
        <v>682</v>
      </c>
      <c r="C802" s="157">
        <v>9.99</v>
      </c>
      <c r="D802" s="140">
        <v>250</v>
      </c>
      <c r="E802" s="136">
        <v>2497.5</v>
      </c>
      <c r="F802" s="62">
        <f>E802-E803</f>
        <v>-499.5</v>
      </c>
    </row>
    <row r="803" spans="1:6" x14ac:dyDescent="0.2">
      <c r="B803" s="15" t="s">
        <v>1000</v>
      </c>
      <c r="C803" s="16">
        <v>999</v>
      </c>
      <c r="D803" s="15">
        <v>3</v>
      </c>
      <c r="E803" s="16">
        <v>2997</v>
      </c>
      <c r="F803" s="62">
        <f>E803-E803</f>
        <v>0</v>
      </c>
    </row>
    <row r="804" spans="1:6" x14ac:dyDescent="0.15">
      <c r="A804" t="s">
        <v>882</v>
      </c>
      <c r="B804" s="137" t="s">
        <v>179</v>
      </c>
      <c r="C804" s="149">
        <v>5.0999999999999996</v>
      </c>
      <c r="D804" s="135">
        <v>1854.5</v>
      </c>
      <c r="E804" s="136">
        <v>9457.9499999999989</v>
      </c>
      <c r="F804" s="62">
        <f>E804-E805</f>
        <v>-742.05000000000109</v>
      </c>
    </row>
    <row r="805" spans="1:6" x14ac:dyDescent="0.2">
      <c r="B805" s="15" t="s">
        <v>1001</v>
      </c>
      <c r="C805" s="16">
        <v>5100</v>
      </c>
      <c r="D805" s="15">
        <v>2</v>
      </c>
      <c r="E805" s="16">
        <v>10200</v>
      </c>
      <c r="F805" s="62">
        <f>E805-E805</f>
        <v>0</v>
      </c>
    </row>
    <row r="806" spans="1:6" x14ac:dyDescent="0.15">
      <c r="A806" t="s">
        <v>882</v>
      </c>
      <c r="B806" s="137" t="s">
        <v>180</v>
      </c>
      <c r="C806" s="149">
        <v>5.19</v>
      </c>
      <c r="D806" s="135">
        <v>912</v>
      </c>
      <c r="E806" s="136">
        <v>4733.2800000000007</v>
      </c>
      <c r="F806" s="62">
        <f>E806-E807</f>
        <v>-451.71999999999935</v>
      </c>
    </row>
    <row r="807" spans="1:6" x14ac:dyDescent="0.2">
      <c r="B807" s="15" t="s">
        <v>1002</v>
      </c>
      <c r="C807" s="16">
        <v>5185</v>
      </c>
      <c r="D807" s="15">
        <v>1</v>
      </c>
      <c r="E807" s="16">
        <v>5185</v>
      </c>
      <c r="F807" s="62">
        <f>E807-E807</f>
        <v>0</v>
      </c>
    </row>
    <row r="808" spans="1:6" x14ac:dyDescent="0.15">
      <c r="A808" t="s">
        <v>882</v>
      </c>
      <c r="B808" s="137" t="s">
        <v>181</v>
      </c>
      <c r="C808" s="149">
        <v>5.19</v>
      </c>
      <c r="D808" s="135">
        <v>1092</v>
      </c>
      <c r="E808" s="136">
        <v>5667.4800000000005</v>
      </c>
      <c r="F808" s="62">
        <f>E808-E809</f>
        <v>-40997.519999999997</v>
      </c>
    </row>
    <row r="809" spans="1:6" x14ac:dyDescent="0.2">
      <c r="B809" s="15" t="s">
        <v>1003</v>
      </c>
      <c r="C809" s="16">
        <v>5185</v>
      </c>
      <c r="D809" s="15">
        <v>9</v>
      </c>
      <c r="E809" s="16">
        <v>46665</v>
      </c>
      <c r="F809" s="62">
        <f>E809-E809</f>
        <v>0</v>
      </c>
    </row>
    <row r="810" spans="1:6" x14ac:dyDescent="0.15">
      <c r="A810" t="s">
        <v>882</v>
      </c>
      <c r="B810" s="137" t="s">
        <v>182</v>
      </c>
      <c r="C810" s="149">
        <v>5.44</v>
      </c>
      <c r="D810" s="135">
        <v>800.33333333333326</v>
      </c>
      <c r="E810" s="136">
        <v>4353.8133333333335</v>
      </c>
      <c r="F810" s="62">
        <f>E810-E811</f>
        <v>-11966.186666666666</v>
      </c>
    </row>
    <row r="811" spans="1:6" x14ac:dyDescent="0.2">
      <c r="B811" s="15" t="s">
        <v>1004</v>
      </c>
      <c r="C811" s="16">
        <v>5440</v>
      </c>
      <c r="D811" s="15">
        <v>3</v>
      </c>
      <c r="E811" s="16">
        <v>16320</v>
      </c>
      <c r="F811" s="62">
        <f>E811-E811</f>
        <v>0</v>
      </c>
    </row>
    <row r="812" spans="1:6" x14ac:dyDescent="0.2">
      <c r="A812" t="s">
        <v>882</v>
      </c>
      <c r="B812" s="139" t="s">
        <v>658</v>
      </c>
      <c r="C812" s="150">
        <v>2014.8</v>
      </c>
      <c r="D812" s="140">
        <v>4</v>
      </c>
      <c r="E812" s="136">
        <v>8059.2</v>
      </c>
      <c r="F812" s="62">
        <f>E812-E813</f>
        <v>-32236.799999999999</v>
      </c>
    </row>
    <row r="813" spans="1:6" x14ac:dyDescent="0.2">
      <c r="B813" s="15" t="s">
        <v>1005</v>
      </c>
      <c r="C813" s="16">
        <v>20148</v>
      </c>
      <c r="D813" s="15">
        <v>2</v>
      </c>
      <c r="E813" s="16">
        <v>40296</v>
      </c>
      <c r="F813" s="62">
        <f>E813-E813</f>
        <v>0</v>
      </c>
    </row>
    <row r="814" spans="1:6" x14ac:dyDescent="0.2">
      <c r="A814" t="s">
        <v>882</v>
      </c>
      <c r="B814" s="139" t="s">
        <v>659</v>
      </c>
      <c r="C814" s="150">
        <v>1309.5999999999999</v>
      </c>
      <c r="D814" s="140">
        <v>14</v>
      </c>
      <c r="E814" s="136">
        <v>18334.399999999998</v>
      </c>
      <c r="F814" s="62">
        <f>E814-E815</f>
        <v>5238.3999999999978</v>
      </c>
    </row>
    <row r="815" spans="1:6" x14ac:dyDescent="0.2">
      <c r="B815" s="15" t="s">
        <v>1006</v>
      </c>
      <c r="C815" s="16">
        <v>13096</v>
      </c>
      <c r="D815" s="15">
        <v>1</v>
      </c>
      <c r="E815" s="16">
        <v>13096</v>
      </c>
      <c r="F815" s="62">
        <f>E815-E815</f>
        <v>0</v>
      </c>
    </row>
    <row r="816" spans="1:6" x14ac:dyDescent="0.2">
      <c r="A816" t="s">
        <v>882</v>
      </c>
      <c r="B816" s="139" t="s">
        <v>808</v>
      </c>
      <c r="C816" s="150">
        <v>671</v>
      </c>
      <c r="D816" s="140">
        <v>36</v>
      </c>
      <c r="E816" s="136">
        <v>24156</v>
      </c>
      <c r="F816" s="62">
        <f>E816-E817</f>
        <v>-56364</v>
      </c>
    </row>
    <row r="817" spans="1:6" x14ac:dyDescent="0.2">
      <c r="B817" s="15" t="s">
        <v>1452</v>
      </c>
      <c r="C817" s="16">
        <v>6710</v>
      </c>
      <c r="D817" s="15">
        <v>12</v>
      </c>
      <c r="E817" s="16">
        <v>80520</v>
      </c>
      <c r="F817" s="62">
        <f>E817-E817</f>
        <v>0</v>
      </c>
    </row>
    <row r="818" spans="1:6" x14ac:dyDescent="0.2">
      <c r="A818" t="s">
        <v>882</v>
      </c>
      <c r="B818" s="139" t="s">
        <v>344</v>
      </c>
      <c r="C818" s="150">
        <v>50.78</v>
      </c>
      <c r="D818" s="140">
        <v>87</v>
      </c>
      <c r="E818" s="136">
        <v>4417.8599999999997</v>
      </c>
      <c r="F818" s="62">
        <f>E818-E819</f>
        <v>1878.8599999999997</v>
      </c>
    </row>
    <row r="819" spans="1:6" x14ac:dyDescent="0.2">
      <c r="B819" s="15" t="s">
        <v>1338</v>
      </c>
      <c r="C819" s="16">
        <v>2539</v>
      </c>
      <c r="D819" s="15">
        <v>1</v>
      </c>
      <c r="E819" s="16">
        <v>2539</v>
      </c>
      <c r="F819" s="62">
        <f>E819-E819</f>
        <v>0</v>
      </c>
    </row>
    <row r="820" spans="1:6" x14ac:dyDescent="0.2">
      <c r="A820" t="s">
        <v>882</v>
      </c>
      <c r="B820" s="137" t="s">
        <v>183</v>
      </c>
      <c r="C820" s="149">
        <v>10.87</v>
      </c>
      <c r="D820" s="138">
        <v>1604.6744186046512</v>
      </c>
      <c r="E820" s="136">
        <v>17442.810930232557</v>
      </c>
      <c r="F820" s="62" t="e">
        <f>E820-E821</f>
        <v>#REF!</v>
      </c>
    </row>
    <row r="821" spans="1:6" x14ac:dyDescent="0.2">
      <c r="B821" s="15" t="s">
        <v>1340</v>
      </c>
      <c r="C821" s="152"/>
      <c r="D821" s="146"/>
      <c r="E821" s="122" t="e">
        <f>#REF!+#REF!</f>
        <v>#REF!</v>
      </c>
      <c r="F821" s="62" t="e">
        <f>E821-E821</f>
        <v>#REF!</v>
      </c>
    </row>
    <row r="822" spans="1:6" x14ac:dyDescent="0.15">
      <c r="A822" t="s">
        <v>882</v>
      </c>
      <c r="B822" s="137" t="s">
        <v>683</v>
      </c>
      <c r="C822" s="157">
        <v>10.75</v>
      </c>
      <c r="D822" s="140">
        <v>1166</v>
      </c>
      <c r="E822" s="136">
        <v>12534.5</v>
      </c>
      <c r="F822" s="62">
        <f>E822-E823</f>
        <v>-74540.5</v>
      </c>
    </row>
    <row r="823" spans="1:6" x14ac:dyDescent="0.2">
      <c r="B823" s="15" t="s">
        <v>1339</v>
      </c>
      <c r="C823" s="16">
        <v>1075</v>
      </c>
      <c r="D823" s="15">
        <v>81</v>
      </c>
      <c r="E823" s="16">
        <v>87075</v>
      </c>
      <c r="F823" s="62">
        <f>E823-E823</f>
        <v>0</v>
      </c>
    </row>
    <row r="824" spans="1:6" x14ac:dyDescent="0.2">
      <c r="A824" t="s">
        <v>882</v>
      </c>
      <c r="B824" s="139" t="s">
        <v>850</v>
      </c>
      <c r="C824" s="150">
        <v>16.5</v>
      </c>
      <c r="D824" s="135">
        <v>184</v>
      </c>
      <c r="E824" s="136">
        <v>3036</v>
      </c>
      <c r="F824" s="62">
        <f>E824-E825</f>
        <v>-1914</v>
      </c>
    </row>
    <row r="825" spans="1:6" x14ac:dyDescent="0.2">
      <c r="B825" s="15" t="s">
        <v>1115</v>
      </c>
      <c r="C825" s="16">
        <v>1650</v>
      </c>
      <c r="D825" s="15">
        <v>3</v>
      </c>
      <c r="E825" s="16">
        <v>4950</v>
      </c>
      <c r="F825" s="62">
        <f>E825-E825</f>
        <v>0</v>
      </c>
    </row>
    <row r="826" spans="1:6" x14ac:dyDescent="0.2">
      <c r="A826" t="s">
        <v>882</v>
      </c>
      <c r="B826" s="139" t="s">
        <v>296</v>
      </c>
      <c r="C826" s="159">
        <v>140.19999999999999</v>
      </c>
      <c r="D826" s="135">
        <v>7</v>
      </c>
      <c r="E826" s="136">
        <v>981.39999999999986</v>
      </c>
      <c r="F826" s="62">
        <f>E826-E827</f>
        <v>-29862.6</v>
      </c>
    </row>
    <row r="827" spans="1:6" x14ac:dyDescent="0.2">
      <c r="B827" s="15" t="s">
        <v>1147</v>
      </c>
      <c r="C827" s="16">
        <v>1402</v>
      </c>
      <c r="D827" s="15">
        <v>22</v>
      </c>
      <c r="E827" s="16">
        <v>30844</v>
      </c>
      <c r="F827" s="62">
        <f>E827-E827</f>
        <v>0</v>
      </c>
    </row>
    <row r="828" spans="1:6" x14ac:dyDescent="0.2">
      <c r="A828" t="s">
        <v>882</v>
      </c>
      <c r="B828" s="141" t="s">
        <v>572</v>
      </c>
      <c r="C828" s="150">
        <v>8.27</v>
      </c>
      <c r="D828" s="135">
        <v>108</v>
      </c>
      <c r="E828" s="136">
        <v>893.16</v>
      </c>
      <c r="F828" s="62">
        <f>E828-E829</f>
        <v>-760.84</v>
      </c>
    </row>
    <row r="829" spans="1:6" x14ac:dyDescent="0.2">
      <c r="B829" s="15" t="s">
        <v>1007</v>
      </c>
      <c r="C829" s="16">
        <v>827</v>
      </c>
      <c r="D829" s="15">
        <v>2</v>
      </c>
      <c r="E829" s="16">
        <v>1654</v>
      </c>
      <c r="F829" s="62">
        <f>E829-E829</f>
        <v>0</v>
      </c>
    </row>
    <row r="830" spans="1:6" x14ac:dyDescent="0.15">
      <c r="A830" t="s">
        <v>882</v>
      </c>
      <c r="B830" s="137" t="s">
        <v>851</v>
      </c>
      <c r="C830" s="149">
        <v>9.8000000000000007</v>
      </c>
      <c r="D830" s="135">
        <v>101</v>
      </c>
      <c r="E830" s="136">
        <v>989.80000000000007</v>
      </c>
      <c r="F830" s="62">
        <f>E830-E831</f>
        <v>-970.19999999999993</v>
      </c>
    </row>
    <row r="831" spans="1:6" x14ac:dyDescent="0.2">
      <c r="B831" s="15" t="s">
        <v>1416</v>
      </c>
      <c r="C831" s="16">
        <v>980</v>
      </c>
      <c r="D831" s="15">
        <v>2</v>
      </c>
      <c r="E831" s="16">
        <v>1960</v>
      </c>
      <c r="F831" s="62">
        <f>E831-E831</f>
        <v>0</v>
      </c>
    </row>
    <row r="832" spans="1:6" x14ac:dyDescent="0.2">
      <c r="A832" t="s">
        <v>882</v>
      </c>
      <c r="B832" s="139" t="s">
        <v>184</v>
      </c>
      <c r="C832" s="150">
        <v>4.79</v>
      </c>
      <c r="D832" s="138">
        <v>947.75862068965523</v>
      </c>
      <c r="E832" s="136">
        <v>4539.7637931034487</v>
      </c>
      <c r="F832" s="62">
        <f>E832-E833</f>
        <v>-245716.23620689654</v>
      </c>
    </row>
    <row r="833" spans="1:6" x14ac:dyDescent="0.2">
      <c r="B833" s="15" t="s">
        <v>1237</v>
      </c>
      <c r="C833" s="16">
        <v>3016</v>
      </c>
      <c r="D833" s="15">
        <v>29</v>
      </c>
      <c r="E833" s="16">
        <v>250256</v>
      </c>
      <c r="F833" s="62">
        <f>E833-E833</f>
        <v>0</v>
      </c>
    </row>
    <row r="834" spans="1:6" x14ac:dyDescent="0.2">
      <c r="A834" t="s">
        <v>882</v>
      </c>
      <c r="B834" s="139" t="s">
        <v>25</v>
      </c>
      <c r="C834" s="155">
        <v>5.26</v>
      </c>
      <c r="D834" s="140">
        <v>1286</v>
      </c>
      <c r="E834" s="136">
        <v>6764.36</v>
      </c>
      <c r="F834" s="62">
        <f>E834-E835</f>
        <v>-103611.64</v>
      </c>
    </row>
    <row r="835" spans="1:6" x14ac:dyDescent="0.2">
      <c r="B835" s="15" t="s">
        <v>1238</v>
      </c>
      <c r="E835" s="9">
        <v>110376</v>
      </c>
      <c r="F835" s="62">
        <f>E835-E835</f>
        <v>0</v>
      </c>
    </row>
    <row r="836" spans="1:6" x14ac:dyDescent="0.2">
      <c r="A836" t="s">
        <v>882</v>
      </c>
      <c r="B836" s="141" t="s">
        <v>435</v>
      </c>
      <c r="C836" s="150">
        <v>109.47</v>
      </c>
      <c r="D836" s="135">
        <v>75</v>
      </c>
      <c r="E836" s="136">
        <v>8210.25</v>
      </c>
      <c r="F836" s="62">
        <f>E836-E837</f>
        <v>-41049.75</v>
      </c>
    </row>
    <row r="837" spans="1:6" x14ac:dyDescent="0.2">
      <c r="B837" s="15" t="s">
        <v>1437</v>
      </c>
      <c r="C837" s="16">
        <v>3284</v>
      </c>
      <c r="D837" s="15">
        <v>15</v>
      </c>
      <c r="E837" s="16">
        <v>49260</v>
      </c>
      <c r="F837" s="62">
        <f>E837-E837</f>
        <v>0</v>
      </c>
    </row>
    <row r="838" spans="1:6" x14ac:dyDescent="0.2">
      <c r="A838" t="s">
        <v>882</v>
      </c>
      <c r="B838" s="139" t="s">
        <v>642</v>
      </c>
      <c r="C838" s="150">
        <v>72.400000000000006</v>
      </c>
      <c r="D838" s="138">
        <v>78</v>
      </c>
      <c r="E838" s="136">
        <v>5647.2000000000007</v>
      </c>
      <c r="F838" s="62">
        <f>E838-E839</f>
        <v>-270920.8</v>
      </c>
    </row>
    <row r="839" spans="1:6" x14ac:dyDescent="0.2">
      <c r="B839" s="15" t="s">
        <v>1260</v>
      </c>
      <c r="C839" s="16">
        <v>724</v>
      </c>
      <c r="D839" s="15">
        <v>382</v>
      </c>
      <c r="E839" s="16">
        <v>276568</v>
      </c>
      <c r="F839" s="62">
        <f>E839-E839</f>
        <v>0</v>
      </c>
    </row>
    <row r="840" spans="1:6" x14ac:dyDescent="0.2">
      <c r="A840" t="s">
        <v>882</v>
      </c>
      <c r="B840" s="139" t="s">
        <v>521</v>
      </c>
      <c r="C840" s="150">
        <v>5.24</v>
      </c>
      <c r="D840" s="138">
        <v>1022.5</v>
      </c>
      <c r="E840" s="136">
        <v>5357.9000000000005</v>
      </c>
      <c r="F840" s="62">
        <f>E840-E841</f>
        <v>-83722.100000000006</v>
      </c>
    </row>
    <row r="841" spans="1:6" x14ac:dyDescent="0.2">
      <c r="B841" s="15" t="s">
        <v>1259</v>
      </c>
      <c r="C841" s="16">
        <v>5240</v>
      </c>
      <c r="D841" s="15">
        <v>17</v>
      </c>
      <c r="E841" s="16">
        <v>89080</v>
      </c>
      <c r="F841" s="62">
        <f>E841-E841</f>
        <v>0</v>
      </c>
    </row>
    <row r="842" spans="1:6" x14ac:dyDescent="0.2">
      <c r="A842" t="s">
        <v>882</v>
      </c>
      <c r="B842" s="139" t="s">
        <v>544</v>
      </c>
      <c r="C842" s="150">
        <v>53.54</v>
      </c>
      <c r="D842" s="135">
        <v>56</v>
      </c>
      <c r="E842" s="136">
        <v>2998.24</v>
      </c>
      <c r="F842" s="62">
        <f>E842-E843</f>
        <v>-11993.76</v>
      </c>
    </row>
    <row r="843" spans="1:6" x14ac:dyDescent="0.2">
      <c r="B843" s="15" t="s">
        <v>1195</v>
      </c>
      <c r="C843" s="16">
        <v>3748</v>
      </c>
      <c r="D843" s="15">
        <v>4</v>
      </c>
      <c r="E843" s="16">
        <v>14992</v>
      </c>
      <c r="F843" s="62">
        <f>E843-E843</f>
        <v>0</v>
      </c>
    </row>
    <row r="844" spans="1:6" x14ac:dyDescent="0.2">
      <c r="A844" t="s">
        <v>882</v>
      </c>
      <c r="B844" s="141" t="s">
        <v>831</v>
      </c>
      <c r="C844" s="150">
        <v>8.4</v>
      </c>
      <c r="D844" s="135">
        <v>235</v>
      </c>
      <c r="E844" s="136">
        <v>1974</v>
      </c>
      <c r="F844" s="62">
        <f>E844-E845</f>
        <v>-9182</v>
      </c>
    </row>
    <row r="845" spans="1:6" x14ac:dyDescent="0.2">
      <c r="B845" s="15" t="s">
        <v>1169</v>
      </c>
      <c r="C845" s="154"/>
      <c r="D845" s="147"/>
      <c r="E845" s="122">
        <v>11156</v>
      </c>
      <c r="F845" s="62">
        <f>E845-E845</f>
        <v>0</v>
      </c>
    </row>
    <row r="846" spans="1:6" x14ac:dyDescent="0.2">
      <c r="A846" t="s">
        <v>882</v>
      </c>
      <c r="B846" s="141" t="s">
        <v>832</v>
      </c>
      <c r="C846" s="150">
        <v>8.4</v>
      </c>
      <c r="D846" s="135">
        <v>296</v>
      </c>
      <c r="E846" s="136">
        <v>2486.4</v>
      </c>
      <c r="F846" s="62">
        <f>E846-E847</f>
        <v>-17617.599999999999</v>
      </c>
    </row>
    <row r="847" spans="1:6" x14ac:dyDescent="0.2">
      <c r="B847" s="15" t="s">
        <v>1170</v>
      </c>
      <c r="C847" s="16">
        <v>833</v>
      </c>
      <c r="D847" s="15">
        <v>8</v>
      </c>
      <c r="E847" s="16">
        <v>20104</v>
      </c>
      <c r="F847" s="62">
        <f>E847-E847</f>
        <v>0</v>
      </c>
    </row>
    <row r="848" spans="1:6" x14ac:dyDescent="0.2">
      <c r="A848" t="s">
        <v>882</v>
      </c>
      <c r="B848" s="139" t="s">
        <v>267</v>
      </c>
      <c r="C848" s="150">
        <v>348</v>
      </c>
      <c r="D848" s="135">
        <v>7</v>
      </c>
      <c r="E848" s="136">
        <v>2436</v>
      </c>
      <c r="F848" s="62">
        <f>E848-E849</f>
        <v>-16704</v>
      </c>
    </row>
    <row r="849" spans="1:6" x14ac:dyDescent="0.2">
      <c r="B849" s="15" t="s">
        <v>1485</v>
      </c>
      <c r="C849" s="16">
        <v>1740</v>
      </c>
      <c r="D849" s="15">
        <v>11</v>
      </c>
      <c r="E849" s="16">
        <v>19140</v>
      </c>
      <c r="F849" s="62">
        <f>E849-E849</f>
        <v>0</v>
      </c>
    </row>
    <row r="850" spans="1:6" x14ac:dyDescent="0.2">
      <c r="A850" t="s">
        <v>882</v>
      </c>
      <c r="B850" s="139" t="s">
        <v>550</v>
      </c>
      <c r="C850" s="150">
        <v>11.13</v>
      </c>
      <c r="D850" s="138">
        <v>140</v>
      </c>
      <c r="E850" s="136">
        <v>1558.2</v>
      </c>
      <c r="F850" s="62">
        <f>E850-E851</f>
        <v>-6232.8</v>
      </c>
    </row>
    <row r="851" spans="1:6" x14ac:dyDescent="0.2">
      <c r="B851" s="15" t="s">
        <v>1467</v>
      </c>
      <c r="C851" s="16">
        <v>1113</v>
      </c>
      <c r="D851" s="15">
        <v>7</v>
      </c>
      <c r="E851" s="16">
        <v>7791</v>
      </c>
      <c r="F851" s="62">
        <f>E851-E851</f>
        <v>0</v>
      </c>
    </row>
    <row r="852" spans="1:6" x14ac:dyDescent="0.2">
      <c r="A852" t="s">
        <v>882</v>
      </c>
      <c r="B852" s="139" t="s">
        <v>757</v>
      </c>
      <c r="C852" s="150">
        <v>126.33</v>
      </c>
      <c r="D852" s="135">
        <v>220</v>
      </c>
      <c r="E852" s="136">
        <v>27792.6</v>
      </c>
      <c r="F852" s="62">
        <f>E852-E853</f>
        <v>-186968.4</v>
      </c>
    </row>
    <row r="853" spans="1:6" x14ac:dyDescent="0.2">
      <c r="B853" s="15" t="s">
        <v>1092</v>
      </c>
      <c r="C853" s="16">
        <v>12633</v>
      </c>
      <c r="D853" s="15">
        <v>17</v>
      </c>
      <c r="E853" s="16">
        <v>214761</v>
      </c>
      <c r="F853" s="62">
        <f>E853-E853</f>
        <v>0</v>
      </c>
    </row>
    <row r="854" spans="1:6" x14ac:dyDescent="0.2">
      <c r="A854" t="s">
        <v>882</v>
      </c>
      <c r="B854" s="139" t="s">
        <v>758</v>
      </c>
      <c r="C854" s="150">
        <v>47.72</v>
      </c>
      <c r="D854" s="135">
        <v>60</v>
      </c>
      <c r="E854" s="136">
        <v>2863.2</v>
      </c>
      <c r="F854" s="62">
        <f>E854-E855</f>
        <v>-87804.800000000003</v>
      </c>
    </row>
    <row r="855" spans="1:6" x14ac:dyDescent="0.2">
      <c r="B855" s="15" t="s">
        <v>1093</v>
      </c>
      <c r="C855" s="16">
        <v>4772</v>
      </c>
      <c r="D855" s="15">
        <v>19</v>
      </c>
      <c r="E855" s="16">
        <v>90668</v>
      </c>
      <c r="F855" s="62">
        <f>E855-E855</f>
        <v>0</v>
      </c>
    </row>
    <row r="856" spans="1:6" x14ac:dyDescent="0.2">
      <c r="A856" t="s">
        <v>882</v>
      </c>
      <c r="B856" s="139" t="s">
        <v>186</v>
      </c>
      <c r="C856" s="150">
        <v>5.08</v>
      </c>
      <c r="D856" s="138">
        <v>4128</v>
      </c>
      <c r="E856" s="136">
        <v>20970.240000000002</v>
      </c>
      <c r="F856" s="62">
        <f>E856-E857</f>
        <v>-197383.76</v>
      </c>
    </row>
    <row r="857" spans="1:6" x14ac:dyDescent="0.2">
      <c r="B857" s="15" t="s">
        <v>983</v>
      </c>
      <c r="C857" s="16">
        <v>5078</v>
      </c>
      <c r="D857" s="15">
        <v>8</v>
      </c>
      <c r="E857" s="16">
        <v>218354</v>
      </c>
      <c r="F857" s="62">
        <f>E857-E857</f>
        <v>0</v>
      </c>
    </row>
    <row r="858" spans="1:6" x14ac:dyDescent="0.15">
      <c r="A858" t="s">
        <v>882</v>
      </c>
      <c r="B858" s="137" t="s">
        <v>346</v>
      </c>
      <c r="C858" s="149">
        <v>52.56</v>
      </c>
      <c r="D858" s="140">
        <v>53</v>
      </c>
      <c r="E858" s="136">
        <v>2785.6800000000003</v>
      </c>
      <c r="F858" s="62">
        <f>E858-E859</f>
        <v>157.68000000000029</v>
      </c>
    </row>
    <row r="859" spans="1:6" x14ac:dyDescent="0.2">
      <c r="B859" s="15" t="s">
        <v>1439</v>
      </c>
      <c r="C859" s="16">
        <v>2628</v>
      </c>
      <c r="D859" s="15">
        <v>1</v>
      </c>
      <c r="E859" s="16">
        <v>2628</v>
      </c>
      <c r="F859" s="62">
        <f>E859-E859</f>
        <v>0</v>
      </c>
    </row>
    <row r="860" spans="1:6" x14ac:dyDescent="0.2">
      <c r="A860" t="s">
        <v>882</v>
      </c>
      <c r="B860" s="137" t="s">
        <v>187</v>
      </c>
      <c r="C860" s="149">
        <v>5</v>
      </c>
      <c r="D860" s="138">
        <v>2508.6363636363635</v>
      </c>
      <c r="E860" s="136">
        <v>12543.181818181818</v>
      </c>
      <c r="F860" s="62">
        <f>E860-E861</f>
        <v>-37956.818181818184</v>
      </c>
    </row>
    <row r="861" spans="1:6" x14ac:dyDescent="0.2">
      <c r="B861" s="15" t="s">
        <v>1440</v>
      </c>
      <c r="C861" s="16">
        <v>500</v>
      </c>
      <c r="D861" s="15">
        <v>1</v>
      </c>
      <c r="E861" s="16">
        <v>50500</v>
      </c>
      <c r="F861" s="62">
        <f>E861-E861</f>
        <v>0</v>
      </c>
    </row>
    <row r="862" spans="1:6" x14ac:dyDescent="0.15">
      <c r="A862" t="s">
        <v>882</v>
      </c>
      <c r="B862" s="137" t="s">
        <v>759</v>
      </c>
      <c r="C862" s="149">
        <v>308.93</v>
      </c>
      <c r="D862" s="135">
        <v>129</v>
      </c>
      <c r="E862" s="136">
        <v>39851.97</v>
      </c>
      <c r="F862" s="62">
        <f>E862-E863</f>
        <v>-361757.03</v>
      </c>
    </row>
    <row r="863" spans="1:6" x14ac:dyDescent="0.2">
      <c r="B863" s="15" t="s">
        <v>951</v>
      </c>
      <c r="C863" s="16">
        <v>30893</v>
      </c>
      <c r="D863" s="15">
        <v>13</v>
      </c>
      <c r="E863" s="16">
        <v>401609</v>
      </c>
      <c r="F863" s="62">
        <f>E863-E863</f>
        <v>0</v>
      </c>
    </row>
    <row r="864" spans="1:6" x14ac:dyDescent="0.2">
      <c r="A864" t="s">
        <v>882</v>
      </c>
      <c r="B864" s="141" t="s">
        <v>457</v>
      </c>
      <c r="C864" s="150">
        <v>189.27</v>
      </c>
      <c r="D864" s="135">
        <v>220</v>
      </c>
      <c r="E864" s="136">
        <v>41639.4</v>
      </c>
      <c r="F864" s="62">
        <f>E864-E865</f>
        <v>-166557.6</v>
      </c>
    </row>
    <row r="865" spans="1:6" x14ac:dyDescent="0.2">
      <c r="B865" s="15" t="s">
        <v>952</v>
      </c>
      <c r="C865" s="16">
        <v>18927</v>
      </c>
      <c r="D865" s="15">
        <v>11</v>
      </c>
      <c r="E865" s="16">
        <v>208197</v>
      </c>
      <c r="F865" s="62">
        <f>E865-E865</f>
        <v>0</v>
      </c>
    </row>
    <row r="866" spans="1:6" x14ac:dyDescent="0.2">
      <c r="A866" t="s">
        <v>882</v>
      </c>
      <c r="B866" s="141" t="s">
        <v>616</v>
      </c>
      <c r="C866" s="150">
        <v>31.72</v>
      </c>
      <c r="D866" s="135">
        <v>161</v>
      </c>
      <c r="E866" s="136">
        <v>5106.92</v>
      </c>
      <c r="F866" s="62">
        <f>E866-E867</f>
        <v>5106.92</v>
      </c>
    </row>
    <row r="867" spans="1:6" x14ac:dyDescent="0.2">
      <c r="B867" s="15"/>
      <c r="C867" s="154"/>
      <c r="D867" s="147"/>
      <c r="E867" s="122"/>
      <c r="F867" s="62">
        <f>E867-E867</f>
        <v>0</v>
      </c>
    </row>
    <row r="868" spans="1:6" x14ac:dyDescent="0.15">
      <c r="A868" t="s">
        <v>882</v>
      </c>
      <c r="B868" s="137" t="s">
        <v>809</v>
      </c>
      <c r="C868" s="149">
        <v>2129</v>
      </c>
      <c r="D868" s="140">
        <v>2</v>
      </c>
      <c r="E868" s="136">
        <v>4258</v>
      </c>
      <c r="F868" s="62">
        <f>E868-E869</f>
        <v>-48967</v>
      </c>
    </row>
    <row r="869" spans="1:6" x14ac:dyDescent="0.2">
      <c r="B869" s="15" t="s">
        <v>1290</v>
      </c>
      <c r="C869" s="16">
        <v>2129</v>
      </c>
      <c r="D869" s="15">
        <v>25</v>
      </c>
      <c r="E869" s="16">
        <v>53225</v>
      </c>
      <c r="F869" s="62">
        <f>E869-E869</f>
        <v>0</v>
      </c>
    </row>
    <row r="870" spans="1:6" x14ac:dyDescent="0.15">
      <c r="A870" t="s">
        <v>882</v>
      </c>
      <c r="B870" s="137" t="s">
        <v>810</v>
      </c>
      <c r="C870" s="149">
        <v>2229</v>
      </c>
      <c r="D870" s="140">
        <v>7</v>
      </c>
      <c r="E870" s="136">
        <v>15603</v>
      </c>
      <c r="F870" s="62">
        <f>E870-E871</f>
        <v>15603</v>
      </c>
    </row>
    <row r="871" spans="1:6" x14ac:dyDescent="0.15">
      <c r="B871" s="20"/>
      <c r="C871" s="152"/>
      <c r="D871" s="99"/>
      <c r="E871" s="122"/>
      <c r="F871" s="62">
        <f>E871-E871</f>
        <v>0</v>
      </c>
    </row>
    <row r="872" spans="1:6" x14ac:dyDescent="0.15">
      <c r="A872" t="s">
        <v>882</v>
      </c>
      <c r="B872" s="137" t="s">
        <v>811</v>
      </c>
      <c r="C872" s="149">
        <v>2170</v>
      </c>
      <c r="D872" s="140">
        <v>1</v>
      </c>
      <c r="E872" s="136">
        <v>2170</v>
      </c>
      <c r="F872" s="62">
        <f>E872-E873</f>
        <v>-23870</v>
      </c>
    </row>
    <row r="873" spans="1:6" x14ac:dyDescent="0.2">
      <c r="B873" s="15" t="s">
        <v>1291</v>
      </c>
      <c r="C873" s="16">
        <v>2170</v>
      </c>
      <c r="D873" s="15">
        <v>12</v>
      </c>
      <c r="E873" s="16">
        <v>26040</v>
      </c>
      <c r="F873" s="62">
        <f>E873-E873</f>
        <v>0</v>
      </c>
    </row>
    <row r="874" spans="1:6" x14ac:dyDescent="0.15">
      <c r="A874" t="s">
        <v>882</v>
      </c>
      <c r="B874" s="137" t="s">
        <v>396</v>
      </c>
      <c r="C874" s="149">
        <v>394</v>
      </c>
      <c r="D874" s="140">
        <v>25</v>
      </c>
      <c r="E874" s="136">
        <v>9850</v>
      </c>
      <c r="F874" s="62">
        <f>E874-E875</f>
        <v>-50826</v>
      </c>
    </row>
    <row r="875" spans="1:6" x14ac:dyDescent="0.2">
      <c r="B875" s="15" t="s">
        <v>905</v>
      </c>
      <c r="C875" s="16">
        <v>394</v>
      </c>
      <c r="D875" s="15">
        <v>154</v>
      </c>
      <c r="E875" s="16">
        <v>60676</v>
      </c>
      <c r="F875" s="62">
        <f>E875-E875</f>
        <v>0</v>
      </c>
    </row>
    <row r="876" spans="1:6" x14ac:dyDescent="0.2">
      <c r="A876" t="s">
        <v>882</v>
      </c>
      <c r="B876" s="141" t="s">
        <v>833</v>
      </c>
      <c r="C876" s="150">
        <v>45.75</v>
      </c>
      <c r="D876" s="135">
        <v>392</v>
      </c>
      <c r="E876" s="136">
        <v>17934</v>
      </c>
      <c r="F876" s="62">
        <f>E876-E877</f>
        <v>-41541</v>
      </c>
    </row>
    <row r="877" spans="1:6" x14ac:dyDescent="0.2">
      <c r="B877" s="15" t="s">
        <v>1448</v>
      </c>
      <c r="C877" s="16">
        <v>4575</v>
      </c>
      <c r="D877" s="15">
        <v>13</v>
      </c>
      <c r="E877" s="16">
        <v>59475</v>
      </c>
      <c r="F877" s="62">
        <f>E877-E877</f>
        <v>0</v>
      </c>
    </row>
    <row r="878" spans="1:6" x14ac:dyDescent="0.2">
      <c r="A878" t="s">
        <v>882</v>
      </c>
      <c r="B878" s="139" t="s">
        <v>268</v>
      </c>
      <c r="C878" s="150">
        <v>412</v>
      </c>
      <c r="D878" s="135">
        <v>21</v>
      </c>
      <c r="E878" s="136">
        <v>8652</v>
      </c>
      <c r="F878" s="62">
        <f>E878-E879</f>
        <v>-94348</v>
      </c>
    </row>
    <row r="879" spans="1:6" x14ac:dyDescent="0.2">
      <c r="B879" s="15" t="s">
        <v>1331</v>
      </c>
      <c r="C879" s="16">
        <v>4120</v>
      </c>
      <c r="D879" s="15">
        <v>25</v>
      </c>
      <c r="E879" s="16">
        <v>103000</v>
      </c>
      <c r="F879" s="62">
        <f>E879-E879</f>
        <v>0</v>
      </c>
    </row>
    <row r="880" spans="1:6" x14ac:dyDescent="0.2">
      <c r="A880" t="s">
        <v>882</v>
      </c>
      <c r="B880" s="137" t="s">
        <v>582</v>
      </c>
      <c r="C880" s="149">
        <v>5.08</v>
      </c>
      <c r="D880" s="138">
        <v>1718</v>
      </c>
      <c r="E880" s="136">
        <v>8727.44</v>
      </c>
      <c r="F880" s="62">
        <f>E880-E881</f>
        <v>-72020.56</v>
      </c>
    </row>
    <row r="881" spans="1:6" x14ac:dyDescent="0.2">
      <c r="B881" s="15" t="s">
        <v>1008</v>
      </c>
      <c r="C881" s="149"/>
      <c r="D881" s="138"/>
      <c r="E881" s="136">
        <v>80748</v>
      </c>
      <c r="F881" s="62">
        <f>E881-E881</f>
        <v>0</v>
      </c>
    </row>
    <row r="882" spans="1:6" x14ac:dyDescent="0.15">
      <c r="A882" t="s">
        <v>882</v>
      </c>
      <c r="B882" s="137" t="s">
        <v>583</v>
      </c>
      <c r="C882" s="149">
        <v>8.08</v>
      </c>
      <c r="D882" s="135">
        <v>460</v>
      </c>
      <c r="E882" s="136">
        <v>3716.8</v>
      </c>
      <c r="F882" s="62">
        <f>E882-E883</f>
        <v>-52843.199999999997</v>
      </c>
    </row>
    <row r="883" spans="1:6" x14ac:dyDescent="0.2">
      <c r="B883" s="15" t="s">
        <v>1009</v>
      </c>
      <c r="C883" s="16">
        <v>8080</v>
      </c>
      <c r="D883" s="15">
        <v>7</v>
      </c>
      <c r="E883" s="16">
        <v>56560</v>
      </c>
      <c r="F883" s="62">
        <f>E883-E883</f>
        <v>0</v>
      </c>
    </row>
    <row r="884" spans="1:6" x14ac:dyDescent="0.2">
      <c r="A884" t="s">
        <v>882</v>
      </c>
      <c r="B884" s="137" t="s">
        <v>581</v>
      </c>
      <c r="C884" s="149">
        <v>5.08</v>
      </c>
      <c r="D884" s="138">
        <v>1970.090909090909</v>
      </c>
      <c r="E884" s="136">
        <v>10008.061818181817</v>
      </c>
      <c r="F884" s="62">
        <f>E884-E885</f>
        <v>-76317.938181818186</v>
      </c>
    </row>
    <row r="885" spans="1:6" x14ac:dyDescent="0.2">
      <c r="B885" s="15" t="s">
        <v>1010</v>
      </c>
      <c r="C885" s="16"/>
      <c r="D885" s="15"/>
      <c r="E885" s="16">
        <v>86326</v>
      </c>
      <c r="F885" s="62">
        <f>E885-E885</f>
        <v>0</v>
      </c>
    </row>
    <row r="886" spans="1:6" x14ac:dyDescent="0.2">
      <c r="A886" t="s">
        <v>882</v>
      </c>
      <c r="B886" s="139" t="s">
        <v>640</v>
      </c>
      <c r="C886" s="159">
        <v>57.8</v>
      </c>
      <c r="D886" s="135">
        <v>10</v>
      </c>
      <c r="E886" s="136">
        <v>578</v>
      </c>
      <c r="F886" s="62">
        <f>E886-E887</f>
        <v>-2312</v>
      </c>
    </row>
    <row r="887" spans="1:6" x14ac:dyDescent="0.2">
      <c r="B887" s="15" t="s">
        <v>1148</v>
      </c>
      <c r="C887" s="16">
        <v>578</v>
      </c>
      <c r="D887" s="15">
        <v>5</v>
      </c>
      <c r="E887" s="16">
        <v>2890</v>
      </c>
      <c r="F887" s="62">
        <f>E887-E887</f>
        <v>0</v>
      </c>
    </row>
    <row r="888" spans="1:6" x14ac:dyDescent="0.2">
      <c r="A888" t="s">
        <v>882</v>
      </c>
      <c r="B888" s="137" t="s">
        <v>551</v>
      </c>
      <c r="C888" s="149">
        <v>8.6</v>
      </c>
      <c r="D888" s="138">
        <v>1177</v>
      </c>
      <c r="E888" s="136">
        <v>10122.199999999999</v>
      </c>
      <c r="F888" s="62">
        <f>E888-E889</f>
        <v>-32877.800000000003</v>
      </c>
    </row>
    <row r="889" spans="1:6" x14ac:dyDescent="0.2">
      <c r="B889" s="15" t="s">
        <v>1246</v>
      </c>
      <c r="C889" s="16">
        <v>860</v>
      </c>
      <c r="D889" s="15">
        <v>10</v>
      </c>
      <c r="E889" s="16">
        <v>43000</v>
      </c>
      <c r="F889" s="62">
        <f>E889-E889</f>
        <v>0</v>
      </c>
    </row>
    <row r="890" spans="1:6" x14ac:dyDescent="0.15">
      <c r="A890" t="s">
        <v>882</v>
      </c>
      <c r="B890" s="137" t="s">
        <v>27</v>
      </c>
      <c r="C890" s="157">
        <v>39.5</v>
      </c>
      <c r="D890" s="140">
        <v>139</v>
      </c>
      <c r="E890" s="136">
        <v>5490.5</v>
      </c>
      <c r="F890" s="62">
        <f>E890-E891</f>
        <v>5490.5</v>
      </c>
    </row>
    <row r="891" spans="1:6" x14ac:dyDescent="0.2">
      <c r="B891" s="15"/>
      <c r="C891" s="16"/>
      <c r="D891" s="15"/>
      <c r="E891" s="16"/>
      <c r="F891" s="62">
        <f>E891-E891</f>
        <v>0</v>
      </c>
    </row>
    <row r="892" spans="1:6" x14ac:dyDescent="0.15">
      <c r="A892" t="s">
        <v>882</v>
      </c>
      <c r="B892" s="137" t="s">
        <v>347</v>
      </c>
      <c r="C892" s="149">
        <v>83.2</v>
      </c>
      <c r="D892" s="140">
        <v>22</v>
      </c>
      <c r="E892" s="136">
        <v>1830.4</v>
      </c>
      <c r="F892" s="62">
        <f>E892-E893</f>
        <v>-665.59999999999991</v>
      </c>
    </row>
    <row r="893" spans="1:6" x14ac:dyDescent="0.2">
      <c r="B893" s="15" t="s">
        <v>1247</v>
      </c>
      <c r="C893" s="16">
        <v>832</v>
      </c>
      <c r="D893" s="15">
        <v>3</v>
      </c>
      <c r="E893" s="16">
        <v>2496</v>
      </c>
      <c r="F893" s="62">
        <f>E893-E893</f>
        <v>0</v>
      </c>
    </row>
    <row r="894" spans="1:6" x14ac:dyDescent="0.2">
      <c r="A894" t="s">
        <v>882</v>
      </c>
      <c r="B894" s="139" t="s">
        <v>189</v>
      </c>
      <c r="C894" s="150">
        <v>128.63999999999999</v>
      </c>
      <c r="D894" s="138">
        <v>100</v>
      </c>
      <c r="E894" s="136">
        <v>12863.999999999998</v>
      </c>
      <c r="F894" s="62">
        <f>E894-E895</f>
        <v>12863.999999999998</v>
      </c>
    </row>
    <row r="895" spans="1:6" x14ac:dyDescent="0.2">
      <c r="B895" s="17"/>
      <c r="C895" s="154"/>
      <c r="D895" s="99"/>
      <c r="E895" s="122"/>
      <c r="F895" s="62">
        <f>E895-E895</f>
        <v>0</v>
      </c>
    </row>
    <row r="896" spans="1:6" x14ac:dyDescent="0.2">
      <c r="A896" t="s">
        <v>882</v>
      </c>
      <c r="B896" s="139" t="s">
        <v>584</v>
      </c>
      <c r="C896" s="150">
        <v>169.29</v>
      </c>
      <c r="D896" s="138">
        <v>283</v>
      </c>
      <c r="E896" s="136">
        <v>47909.07</v>
      </c>
      <c r="F896" s="62">
        <f>E896-E897</f>
        <v>-245970.93</v>
      </c>
    </row>
    <row r="897" spans="1:6" x14ac:dyDescent="0.2">
      <c r="B897" s="15" t="s">
        <v>953</v>
      </c>
      <c r="C897" s="16">
        <v>9480</v>
      </c>
      <c r="D897" s="15">
        <v>31</v>
      </c>
      <c r="E897" s="16">
        <v>293880</v>
      </c>
      <c r="F897" s="62">
        <f>E897-E897</f>
        <v>0</v>
      </c>
    </row>
    <row r="898" spans="1:6" x14ac:dyDescent="0.2">
      <c r="A898" t="s">
        <v>882</v>
      </c>
      <c r="B898" s="139" t="s">
        <v>348</v>
      </c>
      <c r="C898" s="150">
        <v>115.3</v>
      </c>
      <c r="D898" s="140">
        <v>14</v>
      </c>
      <c r="E898" s="136">
        <v>1614.2</v>
      </c>
      <c r="F898" s="62">
        <f>E898-E899</f>
        <v>-12221.8</v>
      </c>
    </row>
    <row r="899" spans="1:6" x14ac:dyDescent="0.2">
      <c r="B899" s="15" t="s">
        <v>1353</v>
      </c>
      <c r="C899" s="16">
        <v>1153</v>
      </c>
      <c r="D899" s="15">
        <v>12</v>
      </c>
      <c r="E899" s="16">
        <v>13836</v>
      </c>
      <c r="F899" s="62">
        <f>E899-E899</f>
        <v>0</v>
      </c>
    </row>
    <row r="900" spans="1:6" x14ac:dyDescent="0.2">
      <c r="A900" t="s">
        <v>882</v>
      </c>
      <c r="B900" s="139" t="s">
        <v>761</v>
      </c>
      <c r="C900" s="150">
        <v>6.26</v>
      </c>
      <c r="D900" s="135">
        <v>400</v>
      </c>
      <c r="E900" s="136">
        <v>2504</v>
      </c>
      <c r="F900" s="62">
        <f>E900-E901</f>
        <v>-16276</v>
      </c>
    </row>
    <row r="901" spans="1:6" x14ac:dyDescent="0.2">
      <c r="B901" s="15" t="s">
        <v>923</v>
      </c>
      <c r="C901" s="16">
        <v>626</v>
      </c>
      <c r="D901" s="15">
        <v>30</v>
      </c>
      <c r="E901" s="16">
        <v>18780</v>
      </c>
      <c r="F901" s="62">
        <f>E901-E901</f>
        <v>0</v>
      </c>
    </row>
    <row r="902" spans="1:6" x14ac:dyDescent="0.15">
      <c r="A902" t="s">
        <v>882</v>
      </c>
      <c r="B902" s="137" t="s">
        <v>349</v>
      </c>
      <c r="C902" s="149">
        <v>62</v>
      </c>
      <c r="D902" s="140">
        <v>14</v>
      </c>
      <c r="E902" s="136">
        <v>868</v>
      </c>
      <c r="F902" s="62">
        <f>E902-E903</f>
        <v>248</v>
      </c>
    </row>
    <row r="903" spans="1:6" x14ac:dyDescent="0.2">
      <c r="B903" s="15" t="s">
        <v>924</v>
      </c>
      <c r="C903" s="16">
        <v>620</v>
      </c>
      <c r="D903" s="15">
        <v>1</v>
      </c>
      <c r="E903" s="16">
        <v>620</v>
      </c>
      <c r="F903" s="62">
        <f>E903-E903</f>
        <v>0</v>
      </c>
    </row>
    <row r="904" spans="1:6" x14ac:dyDescent="0.15">
      <c r="A904" t="s">
        <v>882</v>
      </c>
      <c r="B904" s="137" t="s">
        <v>684</v>
      </c>
      <c r="C904" s="157">
        <v>6.5</v>
      </c>
      <c r="D904" s="140">
        <v>400</v>
      </c>
      <c r="E904" s="136">
        <v>2600</v>
      </c>
      <c r="F904" s="62">
        <f>E904-E905</f>
        <v>2600</v>
      </c>
    </row>
    <row r="905" spans="1:6" x14ac:dyDescent="0.2">
      <c r="B905" s="15"/>
      <c r="C905" s="16"/>
      <c r="D905" s="15"/>
      <c r="E905" s="16"/>
      <c r="F905" s="62">
        <f>E905-E905</f>
        <v>0</v>
      </c>
    </row>
    <row r="906" spans="1:6" x14ac:dyDescent="0.2">
      <c r="A906" t="s">
        <v>882</v>
      </c>
      <c r="B906" s="137" t="s">
        <v>585</v>
      </c>
      <c r="C906" s="149">
        <v>4.93</v>
      </c>
      <c r="D906" s="138">
        <v>607.69230769230762</v>
      </c>
      <c r="E906" s="136">
        <v>2995.9230769230762</v>
      </c>
      <c r="F906" s="62">
        <f>E906-E907</f>
        <v>-18203.076923076922</v>
      </c>
    </row>
    <row r="907" spans="1:6" x14ac:dyDescent="0.2">
      <c r="B907" s="15" t="s">
        <v>1412</v>
      </c>
      <c r="C907" s="16">
        <v>493</v>
      </c>
      <c r="D907" s="15">
        <v>43</v>
      </c>
      <c r="E907" s="16">
        <v>21199</v>
      </c>
      <c r="F907" s="62">
        <f>E907-E907</f>
        <v>0</v>
      </c>
    </row>
    <row r="908" spans="1:6" x14ac:dyDescent="0.2">
      <c r="A908" t="s">
        <v>882</v>
      </c>
      <c r="B908" s="139" t="s">
        <v>586</v>
      </c>
      <c r="C908" s="150">
        <v>10.61</v>
      </c>
      <c r="D908" s="138">
        <v>300</v>
      </c>
      <c r="E908" s="136">
        <v>3183</v>
      </c>
      <c r="F908" s="62">
        <f>E908-E909</f>
        <v>-6366</v>
      </c>
    </row>
    <row r="909" spans="1:6" x14ac:dyDescent="0.2">
      <c r="B909" s="15" t="s">
        <v>1196</v>
      </c>
      <c r="C909" s="16">
        <v>1061</v>
      </c>
      <c r="D909" s="15">
        <v>9</v>
      </c>
      <c r="E909" s="16">
        <v>9549</v>
      </c>
      <c r="F909" s="62">
        <f>E909-E909</f>
        <v>0</v>
      </c>
    </row>
    <row r="910" spans="1:6" x14ac:dyDescent="0.2">
      <c r="A910" t="s">
        <v>882</v>
      </c>
      <c r="B910" s="139" t="s">
        <v>852</v>
      </c>
      <c r="C910" s="150">
        <v>5.44</v>
      </c>
      <c r="D910" s="138">
        <v>674</v>
      </c>
      <c r="E910" s="136">
        <v>3666.5600000000004</v>
      </c>
      <c r="F910" s="62">
        <f>E910-E911</f>
        <v>-40301.440000000002</v>
      </c>
    </row>
    <row r="911" spans="1:6" x14ac:dyDescent="0.2">
      <c r="B911" s="15" t="s">
        <v>1354</v>
      </c>
      <c r="C911" s="16">
        <v>2720</v>
      </c>
      <c r="D911" s="15">
        <v>2</v>
      </c>
      <c r="E911" s="16">
        <v>43968</v>
      </c>
      <c r="F911" s="62">
        <f>E911-E911</f>
        <v>0</v>
      </c>
    </row>
    <row r="912" spans="1:6" x14ac:dyDescent="0.15">
      <c r="A912" t="s">
        <v>882</v>
      </c>
      <c r="B912" s="137" t="s">
        <v>685</v>
      </c>
      <c r="C912" s="157">
        <v>9.02</v>
      </c>
      <c r="D912" s="140">
        <v>523</v>
      </c>
      <c r="E912" s="136">
        <v>4717.46</v>
      </c>
      <c r="F912" s="62">
        <f>E912-E913</f>
        <v>-31378.54</v>
      </c>
    </row>
    <row r="913" spans="1:6" x14ac:dyDescent="0.2">
      <c r="B913" s="15" t="s">
        <v>1355</v>
      </c>
      <c r="C913" s="16">
        <v>4512</v>
      </c>
      <c r="D913" s="15">
        <v>8</v>
      </c>
      <c r="E913" s="16">
        <v>36096</v>
      </c>
      <c r="F913" s="62">
        <f>E913-E913</f>
        <v>0</v>
      </c>
    </row>
    <row r="914" spans="1:6" x14ac:dyDescent="0.2">
      <c r="A914" t="s">
        <v>882</v>
      </c>
      <c r="B914" s="139" t="s">
        <v>587</v>
      </c>
      <c r="C914" s="150">
        <v>145.18</v>
      </c>
      <c r="D914" s="138">
        <v>176.92307692307691</v>
      </c>
      <c r="E914" s="136">
        <v>25685.692307692305</v>
      </c>
      <c r="F914" s="62">
        <f>E914-E915</f>
        <v>-1368042.3076923077</v>
      </c>
    </row>
    <row r="915" spans="1:6" x14ac:dyDescent="0.2">
      <c r="B915" s="15" t="s">
        <v>1417</v>
      </c>
      <c r="C915" s="16">
        <v>14518</v>
      </c>
      <c r="D915" s="15">
        <v>96</v>
      </c>
      <c r="E915" s="16">
        <v>1393728</v>
      </c>
      <c r="F915" s="62">
        <f>E915-E915</f>
        <v>0</v>
      </c>
    </row>
    <row r="916" spans="1:6" x14ac:dyDescent="0.2">
      <c r="A916" t="s">
        <v>882</v>
      </c>
      <c r="B916" s="139" t="s">
        <v>191</v>
      </c>
      <c r="C916" s="150">
        <v>8.73</v>
      </c>
      <c r="D916" s="135">
        <v>200</v>
      </c>
      <c r="E916" s="136">
        <v>1746</v>
      </c>
      <c r="F916" s="62">
        <f>E916-E917</f>
        <v>-31428</v>
      </c>
    </row>
    <row r="917" spans="1:6" x14ac:dyDescent="0.2">
      <c r="B917" s="15" t="s">
        <v>1341</v>
      </c>
      <c r="C917" s="16">
        <v>873</v>
      </c>
      <c r="D917" s="15">
        <v>38</v>
      </c>
      <c r="E917" s="16">
        <v>33174</v>
      </c>
      <c r="F917" s="62">
        <f>E917-E917</f>
        <v>0</v>
      </c>
    </row>
    <row r="918" spans="1:6" x14ac:dyDescent="0.15">
      <c r="A918" t="s">
        <v>882</v>
      </c>
      <c r="B918" s="137" t="s">
        <v>768</v>
      </c>
      <c r="C918" s="149">
        <v>552</v>
      </c>
      <c r="D918" s="140">
        <v>10</v>
      </c>
      <c r="E918" s="136">
        <v>5520</v>
      </c>
      <c r="F918" s="62">
        <f>E918-E919</f>
        <v>5520</v>
      </c>
    </row>
    <row r="919" spans="1:6" x14ac:dyDescent="0.15">
      <c r="B919" s="20"/>
      <c r="C919" s="152"/>
      <c r="D919" s="99"/>
      <c r="E919" s="122"/>
      <c r="F919" s="62">
        <f>E919-E919</f>
        <v>0</v>
      </c>
    </row>
    <row r="920" spans="1:6" x14ac:dyDescent="0.2">
      <c r="A920" t="s">
        <v>882</v>
      </c>
      <c r="B920" s="139" t="s">
        <v>28</v>
      </c>
      <c r="C920" s="155">
        <v>0.72</v>
      </c>
      <c r="D920" s="140">
        <v>907</v>
      </c>
      <c r="E920" s="136">
        <v>653.04</v>
      </c>
      <c r="F920" s="62">
        <f>E920-E921</f>
        <v>653.04</v>
      </c>
    </row>
    <row r="921" spans="1:6" x14ac:dyDescent="0.2">
      <c r="B921" s="17"/>
      <c r="C921" s="173"/>
      <c r="D921" s="99"/>
      <c r="E921" s="122"/>
      <c r="F921" s="62">
        <f>E921-E921</f>
        <v>0</v>
      </c>
    </row>
    <row r="922" spans="1:6" x14ac:dyDescent="0.2">
      <c r="A922" t="s">
        <v>882</v>
      </c>
      <c r="B922" s="139" t="s">
        <v>352</v>
      </c>
      <c r="C922" s="150">
        <v>133.6</v>
      </c>
      <c r="D922" s="140">
        <v>27</v>
      </c>
      <c r="E922" s="136">
        <v>3607.2</v>
      </c>
      <c r="F922" s="62">
        <f>E922-E923</f>
        <v>-97928.8</v>
      </c>
    </row>
    <row r="923" spans="1:6" x14ac:dyDescent="0.2">
      <c r="B923" s="15" t="s">
        <v>1358</v>
      </c>
      <c r="C923" s="16">
        <v>1336</v>
      </c>
      <c r="D923" s="15">
        <v>76</v>
      </c>
      <c r="E923" s="16">
        <v>101536</v>
      </c>
      <c r="F923" s="62">
        <f>E923-E923</f>
        <v>0</v>
      </c>
    </row>
    <row r="924" spans="1:6" x14ac:dyDescent="0.2">
      <c r="A924" t="s">
        <v>882</v>
      </c>
      <c r="B924" s="139" t="s">
        <v>351</v>
      </c>
      <c r="C924" s="150">
        <v>58.7</v>
      </c>
      <c r="D924" s="140">
        <v>40</v>
      </c>
      <c r="E924" s="136">
        <v>2348</v>
      </c>
      <c r="F924" s="62">
        <f>E924-E925</f>
        <v>-5870</v>
      </c>
    </row>
    <row r="925" spans="1:6" x14ac:dyDescent="0.2">
      <c r="B925" s="15" t="s">
        <v>1359</v>
      </c>
      <c r="C925" s="16">
        <v>587</v>
      </c>
      <c r="D925" s="15">
        <v>14</v>
      </c>
      <c r="E925" s="16">
        <v>8218</v>
      </c>
      <c r="F925" s="62">
        <f>E925-E925</f>
        <v>0</v>
      </c>
    </row>
    <row r="926" spans="1:6" x14ac:dyDescent="0.2">
      <c r="A926" t="s">
        <v>882</v>
      </c>
      <c r="B926" s="139" t="s">
        <v>353</v>
      </c>
      <c r="C926" s="150">
        <v>88.1</v>
      </c>
      <c r="D926" s="140">
        <v>79</v>
      </c>
      <c r="E926" s="136">
        <v>6959.9</v>
      </c>
      <c r="F926" s="62">
        <f>E926-E927</f>
        <v>-1850.1000000000004</v>
      </c>
    </row>
    <row r="927" spans="1:6" x14ac:dyDescent="0.2">
      <c r="B927" s="15" t="s">
        <v>1360</v>
      </c>
      <c r="C927" s="16">
        <v>4405</v>
      </c>
      <c r="D927" s="15">
        <v>2</v>
      </c>
      <c r="E927" s="16">
        <v>8810</v>
      </c>
      <c r="F927" s="62">
        <f>E927-E927</f>
        <v>0</v>
      </c>
    </row>
    <row r="928" spans="1:6" x14ac:dyDescent="0.2">
      <c r="A928" t="s">
        <v>882</v>
      </c>
      <c r="B928" s="141" t="s">
        <v>722</v>
      </c>
      <c r="C928" s="150">
        <v>32.25</v>
      </c>
      <c r="D928" s="135">
        <v>36</v>
      </c>
      <c r="E928" s="136">
        <v>1161</v>
      </c>
      <c r="F928" s="62">
        <f>E928-E929</f>
        <v>-5289</v>
      </c>
    </row>
    <row r="929" spans="1:6" x14ac:dyDescent="0.2">
      <c r="B929" s="15" t="s">
        <v>1487</v>
      </c>
      <c r="C929" s="16">
        <v>3225</v>
      </c>
      <c r="D929" s="15">
        <v>2</v>
      </c>
      <c r="E929" s="16">
        <v>6450</v>
      </c>
      <c r="F929" s="62">
        <f>E929-E929</f>
        <v>0</v>
      </c>
    </row>
    <row r="930" spans="1:6" x14ac:dyDescent="0.2">
      <c r="A930" t="s">
        <v>882</v>
      </c>
      <c r="B930" s="139" t="s">
        <v>827</v>
      </c>
      <c r="C930" s="150">
        <v>8.1199999999999992</v>
      </c>
      <c r="D930" s="138">
        <v>2640</v>
      </c>
      <c r="E930" s="136">
        <v>21436.799999999999</v>
      </c>
      <c r="F930" s="62">
        <f>E930-E931</f>
        <v>-73624.2</v>
      </c>
    </row>
    <row r="931" spans="1:6" x14ac:dyDescent="0.2">
      <c r="B931" s="15" t="s">
        <v>1213</v>
      </c>
      <c r="C931" s="16">
        <v>813</v>
      </c>
      <c r="D931" s="15">
        <v>17</v>
      </c>
      <c r="E931" s="16">
        <v>95061</v>
      </c>
      <c r="F931" s="62">
        <f>E931-E931</f>
        <v>0</v>
      </c>
    </row>
    <row r="932" spans="1:6" x14ac:dyDescent="0.2">
      <c r="A932" t="s">
        <v>882</v>
      </c>
      <c r="B932" s="139" t="s">
        <v>812</v>
      </c>
      <c r="C932" s="150">
        <v>21900</v>
      </c>
      <c r="D932" s="140">
        <v>0</v>
      </c>
      <c r="E932" s="136">
        <v>0</v>
      </c>
      <c r="F932" s="62">
        <f>E932-E933</f>
        <v>-306600</v>
      </c>
    </row>
    <row r="933" spans="1:6" x14ac:dyDescent="0.2">
      <c r="B933" s="15" t="s">
        <v>1430</v>
      </c>
      <c r="C933" s="16">
        <v>21900</v>
      </c>
      <c r="D933" s="15">
        <v>14</v>
      </c>
      <c r="E933" s="16">
        <v>306600</v>
      </c>
      <c r="F933" s="62">
        <f>E933-E933</f>
        <v>0</v>
      </c>
    </row>
    <row r="934" spans="1:6" x14ac:dyDescent="0.2">
      <c r="A934" t="s">
        <v>882</v>
      </c>
      <c r="B934" s="139" t="s">
        <v>285</v>
      </c>
      <c r="C934" s="150">
        <v>38.200000000000003</v>
      </c>
      <c r="D934" s="135">
        <v>83</v>
      </c>
      <c r="E934" s="136">
        <v>3170.6000000000004</v>
      </c>
      <c r="F934" s="62">
        <f>E934-E935</f>
        <v>-52219.4</v>
      </c>
    </row>
    <row r="935" spans="1:6" x14ac:dyDescent="0.2">
      <c r="B935" s="15" t="s">
        <v>1206</v>
      </c>
      <c r="C935" s="16">
        <v>1910</v>
      </c>
      <c r="D935" s="15">
        <v>1</v>
      </c>
      <c r="E935" s="16">
        <v>55390</v>
      </c>
      <c r="F935" s="62">
        <f>E935-E935</f>
        <v>0</v>
      </c>
    </row>
    <row r="936" spans="1:6" x14ac:dyDescent="0.2">
      <c r="A936" t="s">
        <v>882</v>
      </c>
      <c r="B936" s="141" t="s">
        <v>861</v>
      </c>
      <c r="C936" s="150">
        <v>10.77</v>
      </c>
      <c r="D936" s="135">
        <v>32</v>
      </c>
      <c r="E936" s="136">
        <v>344.64</v>
      </c>
      <c r="F936" s="62">
        <f>E936-E937</f>
        <v>344.64</v>
      </c>
    </row>
    <row r="937" spans="1:6" x14ac:dyDescent="0.2">
      <c r="B937" s="15"/>
      <c r="C937" s="154"/>
      <c r="D937" s="147"/>
      <c r="E937" s="122"/>
      <c r="F937" s="62">
        <f>E937-E937</f>
        <v>0</v>
      </c>
    </row>
    <row r="938" spans="1:6" x14ac:dyDescent="0.2">
      <c r="A938" t="s">
        <v>882</v>
      </c>
      <c r="B938" s="143" t="s">
        <v>411</v>
      </c>
      <c r="C938" s="150">
        <v>8.73</v>
      </c>
      <c r="D938" s="135">
        <v>11</v>
      </c>
      <c r="E938" s="136">
        <v>96.03</v>
      </c>
      <c r="F938" s="62">
        <f>E938-E939</f>
        <v>-1649.97</v>
      </c>
    </row>
    <row r="939" spans="1:6" x14ac:dyDescent="0.2">
      <c r="B939" s="15" t="s">
        <v>1178</v>
      </c>
      <c r="C939" s="16">
        <v>873</v>
      </c>
      <c r="D939" s="15">
        <v>2</v>
      </c>
      <c r="E939" s="16">
        <v>1746</v>
      </c>
      <c r="F939" s="62">
        <f>E939-E939</f>
        <v>0</v>
      </c>
    </row>
    <row r="940" spans="1:6" x14ac:dyDescent="0.15">
      <c r="A940" t="s">
        <v>882</v>
      </c>
      <c r="B940" s="137" t="s">
        <v>300</v>
      </c>
      <c r="C940" s="149">
        <v>81.3</v>
      </c>
      <c r="D940" s="135">
        <v>44</v>
      </c>
      <c r="E940" s="136">
        <v>3577.2</v>
      </c>
      <c r="F940" s="62">
        <f>E940-E941</f>
        <v>-487.80000000000018</v>
      </c>
    </row>
    <row r="941" spans="1:6" x14ac:dyDescent="0.2">
      <c r="B941" s="15" t="s">
        <v>1149</v>
      </c>
      <c r="C941" s="16">
        <v>813</v>
      </c>
      <c r="D941" s="15">
        <v>5</v>
      </c>
      <c r="E941" s="16">
        <v>4065</v>
      </c>
      <c r="F941" s="62">
        <f>E941-E941</f>
        <v>0</v>
      </c>
    </row>
    <row r="942" spans="1:6" x14ac:dyDescent="0.2">
      <c r="A942" t="s">
        <v>882</v>
      </c>
      <c r="B942" s="143" t="s">
        <v>724</v>
      </c>
      <c r="C942" s="150">
        <v>142.88</v>
      </c>
      <c r="D942" s="135">
        <v>50</v>
      </c>
      <c r="E942" s="136">
        <v>7144</v>
      </c>
      <c r="F942" s="62">
        <f>E942-E943</f>
        <v>-5472</v>
      </c>
    </row>
    <row r="943" spans="1:6" x14ac:dyDescent="0.2">
      <c r="B943" s="15" t="s">
        <v>1011</v>
      </c>
      <c r="C943" s="16">
        <v>6308</v>
      </c>
      <c r="D943" s="15">
        <v>2</v>
      </c>
      <c r="E943" s="16">
        <v>12616</v>
      </c>
      <c r="F943" s="62">
        <f>E943-E943</f>
        <v>0</v>
      </c>
    </row>
    <row r="944" spans="1:6" x14ac:dyDescent="0.15">
      <c r="A944" t="s">
        <v>882</v>
      </c>
      <c r="B944" s="137" t="s">
        <v>354</v>
      </c>
      <c r="C944" s="149">
        <v>1261.5999999999999</v>
      </c>
      <c r="D944" s="140">
        <v>2</v>
      </c>
      <c r="E944" s="136">
        <v>2523.1999999999998</v>
      </c>
      <c r="F944" s="62">
        <f>E944-E945</f>
        <v>2523.1999999999998</v>
      </c>
    </row>
    <row r="945" spans="1:6" x14ac:dyDescent="0.15">
      <c r="B945" s="20"/>
      <c r="C945" s="152"/>
      <c r="D945" s="99"/>
      <c r="E945" s="122"/>
      <c r="F945" s="62">
        <f>E945-E945</f>
        <v>0</v>
      </c>
    </row>
    <row r="946" spans="1:6" x14ac:dyDescent="0.2">
      <c r="A946" t="s">
        <v>882</v>
      </c>
      <c r="B946" s="139" t="s">
        <v>194</v>
      </c>
      <c r="C946" s="150">
        <v>5</v>
      </c>
      <c r="D946" s="138">
        <v>1742</v>
      </c>
      <c r="E946" s="136">
        <v>8710</v>
      </c>
      <c r="F946" s="62">
        <f>E946-E947</f>
        <v>-56290</v>
      </c>
    </row>
    <row r="947" spans="1:6" x14ac:dyDescent="0.2">
      <c r="B947" s="15" t="s">
        <v>925</v>
      </c>
      <c r="C947" s="16">
        <v>5000</v>
      </c>
      <c r="D947" s="15">
        <v>6</v>
      </c>
      <c r="E947" s="16">
        <v>65000</v>
      </c>
      <c r="F947" s="62">
        <f>E947-E947</f>
        <v>0</v>
      </c>
    </row>
    <row r="948" spans="1:6" x14ac:dyDescent="0.2">
      <c r="A948" t="s">
        <v>882</v>
      </c>
      <c r="B948" s="139" t="s">
        <v>428</v>
      </c>
      <c r="C948" s="150">
        <v>5.2</v>
      </c>
      <c r="D948" s="138">
        <v>1139</v>
      </c>
      <c r="E948" s="136">
        <v>5922.8</v>
      </c>
      <c r="F948" s="62">
        <f>E948-E949</f>
        <v>-56477.2</v>
      </c>
    </row>
    <row r="949" spans="1:6" x14ac:dyDescent="0.2">
      <c r="B949" s="15" t="s">
        <v>926</v>
      </c>
      <c r="C949" s="16">
        <v>5200</v>
      </c>
      <c r="D949" s="15">
        <v>5</v>
      </c>
      <c r="E949" s="16">
        <v>62400</v>
      </c>
      <c r="F949" s="62">
        <f>E949-E949</f>
        <v>0</v>
      </c>
    </row>
    <row r="950" spans="1:6" x14ac:dyDescent="0.2">
      <c r="A950" t="s">
        <v>882</v>
      </c>
      <c r="B950" s="137" t="s">
        <v>392</v>
      </c>
      <c r="C950" s="150">
        <v>15.2</v>
      </c>
      <c r="D950" s="140">
        <v>49</v>
      </c>
      <c r="E950" s="136">
        <v>4468.8</v>
      </c>
      <c r="F950" s="62">
        <f>E950-E951</f>
        <v>4468.8</v>
      </c>
    </row>
    <row r="951" spans="1:6" x14ac:dyDescent="0.2">
      <c r="B951" s="20"/>
      <c r="C951" s="154"/>
      <c r="D951" s="99"/>
      <c r="E951" s="122"/>
      <c r="F951" s="62">
        <f>E951-E951</f>
        <v>0</v>
      </c>
    </row>
    <row r="952" spans="1:6" x14ac:dyDescent="0.2">
      <c r="A952" t="s">
        <v>882</v>
      </c>
      <c r="B952" s="143" t="s">
        <v>526</v>
      </c>
      <c r="C952" s="150">
        <v>10.32</v>
      </c>
      <c r="D952" s="135">
        <v>224</v>
      </c>
      <c r="E952" s="136">
        <v>2311.6800000000003</v>
      </c>
      <c r="F952" s="62">
        <f>E952-E953</f>
        <v>-9040.32</v>
      </c>
    </row>
    <row r="953" spans="1:6" x14ac:dyDescent="0.2">
      <c r="B953" s="15" t="s">
        <v>1116</v>
      </c>
      <c r="C953" s="16">
        <v>1032</v>
      </c>
      <c r="D953" s="15">
        <v>11</v>
      </c>
      <c r="E953" s="16">
        <v>11352</v>
      </c>
      <c r="F953" s="62">
        <f>E953-E953</f>
        <v>0</v>
      </c>
    </row>
    <row r="954" spans="1:6" x14ac:dyDescent="0.2">
      <c r="A954" t="s">
        <v>882</v>
      </c>
      <c r="B954" s="143" t="s">
        <v>527</v>
      </c>
      <c r="C954" s="150">
        <v>16.72</v>
      </c>
      <c r="D954" s="135">
        <v>163</v>
      </c>
      <c r="E954" s="136">
        <v>2725.3599999999997</v>
      </c>
      <c r="F954" s="62">
        <f>E954-E955</f>
        <v>-50778.64</v>
      </c>
    </row>
    <row r="955" spans="1:6" x14ac:dyDescent="0.2">
      <c r="B955" s="15" t="s">
        <v>1117</v>
      </c>
      <c r="C955" s="16">
        <v>1672</v>
      </c>
      <c r="D955" s="15">
        <v>32</v>
      </c>
      <c r="E955" s="16">
        <v>53504</v>
      </c>
      <c r="F955" s="62">
        <f>E955-E955</f>
        <v>0</v>
      </c>
    </row>
    <row r="956" spans="1:6" x14ac:dyDescent="0.2">
      <c r="A956" t="s">
        <v>882</v>
      </c>
      <c r="B956" s="143" t="s">
        <v>448</v>
      </c>
      <c r="C956" s="150">
        <v>7.4</v>
      </c>
      <c r="D956" s="135">
        <v>184</v>
      </c>
      <c r="E956" s="136">
        <v>1361.6000000000001</v>
      </c>
      <c r="F956" s="62">
        <f>E956-E957</f>
        <v>-2338.3999999999996</v>
      </c>
    </row>
    <row r="957" spans="1:6" x14ac:dyDescent="0.2">
      <c r="B957" s="15" t="s">
        <v>1283</v>
      </c>
      <c r="C957" s="16">
        <v>740</v>
      </c>
      <c r="D957" s="15">
        <v>5</v>
      </c>
      <c r="E957" s="16">
        <v>3700</v>
      </c>
      <c r="F957" s="62">
        <f>E957-E957</f>
        <v>0</v>
      </c>
    </row>
    <row r="958" spans="1:6" x14ac:dyDescent="0.2">
      <c r="A958" t="s">
        <v>882</v>
      </c>
      <c r="B958" s="139" t="s">
        <v>829</v>
      </c>
      <c r="C958" s="150">
        <v>8.6999999999999993</v>
      </c>
      <c r="D958" s="138">
        <v>502.5</v>
      </c>
      <c r="E958" s="136">
        <v>4371.75</v>
      </c>
      <c r="F958" s="62">
        <f>E958-E959</f>
        <v>-28688.25</v>
      </c>
    </row>
    <row r="959" spans="1:6" x14ac:dyDescent="0.2">
      <c r="B959" s="15" t="s">
        <v>1284</v>
      </c>
      <c r="C959" s="16">
        <v>870</v>
      </c>
      <c r="D959" s="15">
        <v>38</v>
      </c>
      <c r="E959" s="16">
        <v>33060</v>
      </c>
      <c r="F959" s="62">
        <f>E959-E959</f>
        <v>0</v>
      </c>
    </row>
    <row r="960" spans="1:6" x14ac:dyDescent="0.2">
      <c r="A960" t="s">
        <v>882</v>
      </c>
      <c r="B960" s="139" t="s">
        <v>269</v>
      </c>
      <c r="C960" s="150">
        <v>1002</v>
      </c>
      <c r="D960" s="135">
        <v>1</v>
      </c>
      <c r="E960" s="136">
        <v>1002</v>
      </c>
      <c r="F960" s="62">
        <f>E960-E961</f>
        <v>-3006</v>
      </c>
    </row>
    <row r="961" spans="1:6" x14ac:dyDescent="0.2">
      <c r="B961" s="15" t="s">
        <v>1336</v>
      </c>
      <c r="C961" s="16">
        <v>1002</v>
      </c>
      <c r="D961" s="15">
        <v>4</v>
      </c>
      <c r="E961" s="16">
        <v>4008</v>
      </c>
      <c r="F961" s="62">
        <f>E961-E961</f>
        <v>0</v>
      </c>
    </row>
    <row r="962" spans="1:6" x14ac:dyDescent="0.15">
      <c r="A962" t="s">
        <v>882</v>
      </c>
      <c r="B962" s="137" t="s">
        <v>686</v>
      </c>
      <c r="C962" s="157">
        <v>12.45</v>
      </c>
      <c r="D962" s="140">
        <v>101</v>
      </c>
      <c r="E962" s="136">
        <v>1257.4499999999998</v>
      </c>
      <c r="F962" s="62">
        <f>E962-E963</f>
        <v>12.449999999999818</v>
      </c>
    </row>
    <row r="963" spans="1:6" x14ac:dyDescent="0.2">
      <c r="B963" s="15" t="s">
        <v>1179</v>
      </c>
      <c r="C963" s="16">
        <v>1245</v>
      </c>
      <c r="D963" s="15">
        <v>1</v>
      </c>
      <c r="E963" s="16">
        <v>1245</v>
      </c>
      <c r="F963" s="62">
        <f>E963-E963</f>
        <v>0</v>
      </c>
    </row>
    <row r="964" spans="1:6" x14ac:dyDescent="0.2">
      <c r="A964" t="s">
        <v>882</v>
      </c>
      <c r="B964" s="139" t="s">
        <v>828</v>
      </c>
      <c r="C964" s="159">
        <v>5.19</v>
      </c>
      <c r="D964" s="135">
        <v>480</v>
      </c>
      <c r="E964" s="136">
        <v>2491.2000000000003</v>
      </c>
      <c r="F964" s="62">
        <f>E964-E965</f>
        <v>-53560.800000000003</v>
      </c>
    </row>
    <row r="965" spans="1:6" x14ac:dyDescent="0.2">
      <c r="B965" s="15" t="s">
        <v>1180</v>
      </c>
      <c r="C965" s="16">
        <v>6228</v>
      </c>
      <c r="D965" s="15">
        <v>9</v>
      </c>
      <c r="E965" s="16">
        <v>56052</v>
      </c>
      <c r="F965" s="62">
        <f>E965-E965</f>
        <v>0</v>
      </c>
    </row>
    <row r="966" spans="1:6" x14ac:dyDescent="0.2">
      <c r="A966" t="s">
        <v>882</v>
      </c>
      <c r="B966" s="139" t="s">
        <v>355</v>
      </c>
      <c r="C966" s="159">
        <v>48.14</v>
      </c>
      <c r="D966" s="140">
        <v>78</v>
      </c>
      <c r="E966" s="136">
        <v>3754.92</v>
      </c>
      <c r="F966" s="62">
        <f>E966-E967</f>
        <v>-41978.080000000002</v>
      </c>
    </row>
    <row r="967" spans="1:6" x14ac:dyDescent="0.2">
      <c r="B967" s="15" t="s">
        <v>1181</v>
      </c>
      <c r="C967" s="16">
        <v>2407</v>
      </c>
      <c r="D967" s="15">
        <v>19</v>
      </c>
      <c r="E967" s="16">
        <v>45733</v>
      </c>
      <c r="F967" s="62">
        <f>E967-E967</f>
        <v>0</v>
      </c>
    </row>
    <row r="968" spans="1:6" x14ac:dyDescent="0.2">
      <c r="A968" t="s">
        <v>882</v>
      </c>
      <c r="B968" s="139" t="s">
        <v>199</v>
      </c>
      <c r="C968" s="150">
        <v>20</v>
      </c>
      <c r="D968" s="135">
        <v>233</v>
      </c>
      <c r="E968" s="136">
        <v>4660</v>
      </c>
      <c r="F968" s="62">
        <f>E968-E969</f>
        <v>4660</v>
      </c>
    </row>
    <row r="969" spans="1:6" x14ac:dyDescent="0.2">
      <c r="B969" s="17"/>
      <c r="C969" s="154"/>
      <c r="D969" s="147"/>
      <c r="E969" s="122"/>
      <c r="F969" s="62">
        <f>E969-E969</f>
        <v>0</v>
      </c>
    </row>
    <row r="970" spans="1:6" x14ac:dyDescent="0.2">
      <c r="A970" t="s">
        <v>882</v>
      </c>
      <c r="B970" s="139" t="s">
        <v>200</v>
      </c>
      <c r="C970" s="159">
        <v>8.08</v>
      </c>
      <c r="D970" s="138">
        <v>2750.3333333333335</v>
      </c>
      <c r="E970" s="136">
        <v>22222.693333333336</v>
      </c>
      <c r="F970" s="62">
        <f>E970-E971</f>
        <v>-361577.30666666664</v>
      </c>
    </row>
    <row r="971" spans="1:6" x14ac:dyDescent="0.2">
      <c r="B971" s="15" t="s">
        <v>927</v>
      </c>
      <c r="C971" s="16">
        <v>8080</v>
      </c>
      <c r="D971" s="15">
        <v>19</v>
      </c>
      <c r="E971" s="16">
        <v>383800</v>
      </c>
      <c r="F971" s="62">
        <f>E971-E971</f>
        <v>0</v>
      </c>
    </row>
    <row r="972" spans="1:6" x14ac:dyDescent="0.2">
      <c r="A972" t="s">
        <v>882</v>
      </c>
      <c r="B972" s="139" t="s">
        <v>626</v>
      </c>
      <c r="C972" s="150">
        <v>310</v>
      </c>
      <c r="D972" s="135">
        <v>11</v>
      </c>
      <c r="E972" s="136">
        <v>3410</v>
      </c>
      <c r="F972" s="62">
        <f>E972-E973</f>
        <v>310</v>
      </c>
    </row>
    <row r="973" spans="1:6" x14ac:dyDescent="0.2">
      <c r="B973" s="15" t="s">
        <v>1150</v>
      </c>
      <c r="C973" s="16">
        <v>3100</v>
      </c>
      <c r="D973" s="15">
        <v>1</v>
      </c>
      <c r="E973" s="16">
        <v>3100</v>
      </c>
      <c r="F973" s="62">
        <f>E973-E973</f>
        <v>0</v>
      </c>
    </row>
    <row r="974" spans="1:6" x14ac:dyDescent="0.15">
      <c r="A974" t="s">
        <v>882</v>
      </c>
      <c r="B974" s="137" t="s">
        <v>687</v>
      </c>
      <c r="C974" s="157">
        <v>86.38</v>
      </c>
      <c r="D974" s="140">
        <v>218</v>
      </c>
      <c r="E974" s="136">
        <v>18830.84</v>
      </c>
      <c r="F974" s="62">
        <f>E974-E975</f>
        <v>-41635.160000000003</v>
      </c>
    </row>
    <row r="975" spans="1:6" x14ac:dyDescent="0.2">
      <c r="B975" s="15" t="s">
        <v>1046</v>
      </c>
      <c r="C975" s="16">
        <v>8638</v>
      </c>
      <c r="D975" s="15">
        <v>7</v>
      </c>
      <c r="E975" s="16">
        <v>60466</v>
      </c>
      <c r="F975" s="62">
        <f>E975-E975</f>
        <v>0</v>
      </c>
    </row>
    <row r="976" spans="1:6" x14ac:dyDescent="0.2">
      <c r="A976" t="s">
        <v>882</v>
      </c>
      <c r="B976" s="139" t="s">
        <v>588</v>
      </c>
      <c r="C976" s="159">
        <v>8.2799999999999994</v>
      </c>
      <c r="D976" s="138">
        <v>676.33333333333337</v>
      </c>
      <c r="E976" s="136">
        <v>5600.04</v>
      </c>
      <c r="F976" s="62">
        <f>E976-E977</f>
        <v>-33315.96</v>
      </c>
    </row>
    <row r="977" spans="1:6" x14ac:dyDescent="0.2">
      <c r="B977" s="15" t="s">
        <v>1047</v>
      </c>
      <c r="C977" s="16">
        <v>828</v>
      </c>
      <c r="D977" s="15">
        <v>47</v>
      </c>
      <c r="E977" s="16">
        <v>38916</v>
      </c>
      <c r="F977" s="62">
        <f>E977-E977</f>
        <v>0</v>
      </c>
    </row>
    <row r="978" spans="1:6" x14ac:dyDescent="0.2">
      <c r="A978" t="s">
        <v>882</v>
      </c>
      <c r="B978" s="139" t="s">
        <v>589</v>
      </c>
      <c r="C978" s="159">
        <v>15.67</v>
      </c>
      <c r="D978" s="138">
        <v>2864</v>
      </c>
      <c r="E978" s="136">
        <v>44878.879999999997</v>
      </c>
      <c r="F978" s="62">
        <f>E978-E979</f>
        <v>-94576.12</v>
      </c>
    </row>
    <row r="979" spans="1:6" x14ac:dyDescent="0.2">
      <c r="B979" s="15" t="s">
        <v>1048</v>
      </c>
      <c r="C979" s="174"/>
      <c r="D979" s="146"/>
      <c r="E979" s="122">
        <v>139455</v>
      </c>
      <c r="F979" s="62">
        <f>E979-E979</f>
        <v>0</v>
      </c>
    </row>
    <row r="980" spans="1:6" x14ac:dyDescent="0.2">
      <c r="A980" t="s">
        <v>882</v>
      </c>
      <c r="B980" s="139" t="s">
        <v>590</v>
      </c>
      <c r="C980" s="159">
        <v>29.65</v>
      </c>
      <c r="D980" s="138">
        <v>2317.5</v>
      </c>
      <c r="E980" s="136">
        <v>68713.875</v>
      </c>
      <c r="F980" s="62">
        <f>E980-E981</f>
        <v>-287086.125</v>
      </c>
    </row>
    <row r="981" spans="1:6" x14ac:dyDescent="0.2">
      <c r="B981" s="15" t="s">
        <v>1049</v>
      </c>
      <c r="C981" s="16"/>
      <c r="D981" s="15"/>
      <c r="E981" s="16">
        <v>355800</v>
      </c>
      <c r="F981" s="62">
        <f>E981-E981</f>
        <v>0</v>
      </c>
    </row>
    <row r="982" spans="1:6" x14ac:dyDescent="0.2">
      <c r="A982" t="s">
        <v>882</v>
      </c>
      <c r="B982" s="139" t="s">
        <v>591</v>
      </c>
      <c r="C982" s="159">
        <v>11.31</v>
      </c>
      <c r="D982" s="135">
        <v>555.55555555555554</v>
      </c>
      <c r="E982" s="136">
        <v>6283.333333333333</v>
      </c>
      <c r="F982" s="62">
        <f>E982-E983</f>
        <v>-33315.666666666664</v>
      </c>
    </row>
    <row r="983" spans="1:6" x14ac:dyDescent="0.2">
      <c r="B983" s="15" t="s">
        <v>1299</v>
      </c>
      <c r="C983" s="16">
        <v>5657</v>
      </c>
      <c r="D983" s="15">
        <v>7</v>
      </c>
      <c r="E983" s="16">
        <v>39599</v>
      </c>
      <c r="F983" s="62">
        <f>E983-E983</f>
        <v>0</v>
      </c>
    </row>
    <row r="984" spans="1:6" x14ac:dyDescent="0.2">
      <c r="A984" t="s">
        <v>882</v>
      </c>
      <c r="B984" s="137" t="s">
        <v>592</v>
      </c>
      <c r="C984" s="149">
        <v>15.4</v>
      </c>
      <c r="D984" s="138">
        <v>322.30769230769232</v>
      </c>
      <c r="E984" s="136">
        <v>4963.5384615384619</v>
      </c>
      <c r="F984" s="62">
        <f>E984-E985</f>
        <v>-40312.461538461539</v>
      </c>
    </row>
    <row r="985" spans="1:6" x14ac:dyDescent="0.2">
      <c r="B985" s="15" t="s">
        <v>1248</v>
      </c>
      <c r="C985" s="16">
        <v>2156</v>
      </c>
      <c r="D985" s="15">
        <v>21</v>
      </c>
      <c r="E985" s="16">
        <v>45276</v>
      </c>
      <c r="F985" s="62">
        <f>E985-E985</f>
        <v>0</v>
      </c>
    </row>
    <row r="986" spans="1:6" x14ac:dyDescent="0.2">
      <c r="A986" t="s">
        <v>882</v>
      </c>
      <c r="B986" s="137" t="s">
        <v>575</v>
      </c>
      <c r="C986" s="149">
        <v>4.28</v>
      </c>
      <c r="D986" s="138">
        <v>1166.6666666666667</v>
      </c>
      <c r="E986" s="136">
        <v>4993.3333333333339</v>
      </c>
      <c r="F986" s="62">
        <f>E986-E987</f>
        <v>-7846.6666666666661</v>
      </c>
    </row>
    <row r="987" spans="1:6" x14ac:dyDescent="0.2">
      <c r="B987" s="15" t="s">
        <v>1223</v>
      </c>
      <c r="C987" s="16">
        <v>4280</v>
      </c>
      <c r="D987" s="15">
        <v>3</v>
      </c>
      <c r="E987" s="16">
        <v>12840</v>
      </c>
      <c r="F987" s="62">
        <f>E987-E987</f>
        <v>0</v>
      </c>
    </row>
    <row r="988" spans="1:6" x14ac:dyDescent="0.2">
      <c r="A988" t="s">
        <v>882</v>
      </c>
      <c r="B988" s="139" t="s">
        <v>813</v>
      </c>
      <c r="C988" s="159">
        <v>50.78</v>
      </c>
      <c r="D988" s="140">
        <v>46</v>
      </c>
      <c r="E988" s="136">
        <v>2335.88</v>
      </c>
      <c r="F988" s="62">
        <f>E988-E989</f>
        <v>-2742.12</v>
      </c>
    </row>
    <row r="989" spans="1:6" x14ac:dyDescent="0.2">
      <c r="B989" s="15" t="s">
        <v>1222</v>
      </c>
      <c r="C989" s="16">
        <v>2539</v>
      </c>
      <c r="D989" s="15">
        <v>2</v>
      </c>
      <c r="E989" s="16">
        <v>5078</v>
      </c>
      <c r="F989" s="62">
        <f>E989-E989</f>
        <v>0</v>
      </c>
    </row>
    <row r="990" spans="1:6" x14ac:dyDescent="0.2">
      <c r="A990" t="s">
        <v>882</v>
      </c>
      <c r="B990" s="137" t="s">
        <v>643</v>
      </c>
      <c r="C990" s="150">
        <v>235</v>
      </c>
      <c r="D990" s="135">
        <v>1</v>
      </c>
      <c r="E990" s="136">
        <v>235</v>
      </c>
      <c r="F990" s="62">
        <f>E990-E991</f>
        <v>0</v>
      </c>
    </row>
    <row r="991" spans="1:6" x14ac:dyDescent="0.2">
      <c r="B991" s="15" t="s">
        <v>1221</v>
      </c>
      <c r="C991" s="16">
        <v>235</v>
      </c>
      <c r="D991" s="15">
        <v>1</v>
      </c>
      <c r="E991" s="16">
        <v>235</v>
      </c>
      <c r="F991" s="62">
        <f>E991-E991</f>
        <v>0</v>
      </c>
    </row>
    <row r="992" spans="1:6" x14ac:dyDescent="0.15">
      <c r="A992" t="s">
        <v>882</v>
      </c>
      <c r="B992" s="137" t="s">
        <v>29</v>
      </c>
      <c r="C992" s="157">
        <v>25.1</v>
      </c>
      <c r="D992" s="140">
        <v>99</v>
      </c>
      <c r="E992" s="136">
        <v>2484.9</v>
      </c>
      <c r="F992" s="62">
        <f>E992-E993</f>
        <v>2484.9</v>
      </c>
    </row>
    <row r="993" spans="1:6" x14ac:dyDescent="0.2">
      <c r="B993" s="15"/>
      <c r="C993" s="16"/>
      <c r="D993" s="15"/>
      <c r="E993" s="16"/>
      <c r="F993" s="62">
        <f>E993-E993</f>
        <v>0</v>
      </c>
    </row>
    <row r="994" spans="1:6" x14ac:dyDescent="0.2">
      <c r="A994" t="s">
        <v>882</v>
      </c>
      <c r="B994" s="139" t="s">
        <v>203</v>
      </c>
      <c r="C994" s="150">
        <v>6.33</v>
      </c>
      <c r="D994" s="135">
        <v>111</v>
      </c>
      <c r="E994" s="136">
        <v>702.63</v>
      </c>
      <c r="F994" s="62">
        <f>E994-E995</f>
        <v>-6260.37</v>
      </c>
    </row>
    <row r="995" spans="1:6" x14ac:dyDescent="0.2">
      <c r="B995" s="15" t="s">
        <v>1012</v>
      </c>
      <c r="C995" s="16">
        <v>633</v>
      </c>
      <c r="D995" s="15">
        <v>11</v>
      </c>
      <c r="E995" s="16">
        <v>6963</v>
      </c>
      <c r="F995" s="62">
        <f>E995-E995</f>
        <v>0</v>
      </c>
    </row>
    <row r="996" spans="1:6" x14ac:dyDescent="0.2">
      <c r="A996" t="s">
        <v>882</v>
      </c>
      <c r="B996" s="139" t="s">
        <v>204</v>
      </c>
      <c r="C996" s="150">
        <v>11.1</v>
      </c>
      <c r="D996" s="138">
        <v>76</v>
      </c>
      <c r="E996" s="136">
        <v>843.6</v>
      </c>
      <c r="F996" s="62">
        <f>E996-E997</f>
        <v>843.6</v>
      </c>
    </row>
    <row r="997" spans="1:6" x14ac:dyDescent="0.2">
      <c r="B997" s="17"/>
      <c r="C997" s="154"/>
      <c r="D997" s="146"/>
      <c r="E997" s="122"/>
      <c r="F997" s="62">
        <f>E997-E997</f>
        <v>0</v>
      </c>
    </row>
    <row r="998" spans="1:6" x14ac:dyDescent="0.2">
      <c r="A998" t="s">
        <v>882</v>
      </c>
      <c r="B998" s="139" t="s">
        <v>814</v>
      </c>
      <c r="C998" s="159">
        <v>41108</v>
      </c>
      <c r="D998" s="140">
        <v>4</v>
      </c>
      <c r="E998" s="136">
        <v>164432</v>
      </c>
      <c r="F998" s="62">
        <f>E998-E999</f>
        <v>-5960660</v>
      </c>
    </row>
    <row r="999" spans="1:6" x14ac:dyDescent="0.2">
      <c r="B999" s="15" t="s">
        <v>1481</v>
      </c>
      <c r="C999" s="16">
        <v>41108</v>
      </c>
      <c r="D999" s="15">
        <v>149</v>
      </c>
      <c r="E999" s="16">
        <v>6125092</v>
      </c>
      <c r="F999" s="62">
        <f>E999-E999</f>
        <v>0</v>
      </c>
    </row>
    <row r="1000" spans="1:6" x14ac:dyDescent="0.15">
      <c r="A1000" t="s">
        <v>882</v>
      </c>
      <c r="B1000" s="137" t="s">
        <v>30</v>
      </c>
      <c r="C1000" s="157">
        <v>8.1</v>
      </c>
      <c r="D1000" s="140">
        <v>170</v>
      </c>
      <c r="E1000" s="136">
        <v>1377</v>
      </c>
      <c r="F1000" s="62">
        <f>E1000-E1001</f>
        <v>-5913</v>
      </c>
    </row>
    <row r="1001" spans="1:6" x14ac:dyDescent="0.2">
      <c r="B1001" s="15" t="s">
        <v>1133</v>
      </c>
      <c r="C1001" s="16">
        <v>810</v>
      </c>
      <c r="D1001" s="15">
        <v>9</v>
      </c>
      <c r="E1001" s="16">
        <v>7290</v>
      </c>
      <c r="F1001" s="62">
        <f>E1001-E1001</f>
        <v>0</v>
      </c>
    </row>
    <row r="1002" spans="1:6" x14ac:dyDescent="0.2">
      <c r="A1002" t="s">
        <v>882</v>
      </c>
      <c r="B1002" s="139" t="s">
        <v>205</v>
      </c>
      <c r="C1002" s="150">
        <v>8.75</v>
      </c>
      <c r="D1002" s="138">
        <v>610.18181818181824</v>
      </c>
      <c r="E1002" s="136">
        <v>5339.0909090909099</v>
      </c>
      <c r="F1002" s="62">
        <f>E1002-E1003</f>
        <v>-47160.909090909088</v>
      </c>
    </row>
    <row r="1003" spans="1:6" x14ac:dyDescent="0.2">
      <c r="B1003" s="15" t="s">
        <v>1214</v>
      </c>
      <c r="C1003" s="16">
        <v>875</v>
      </c>
      <c r="D1003" s="15">
        <v>60</v>
      </c>
      <c r="E1003" s="16">
        <v>52500</v>
      </c>
      <c r="F1003" s="62">
        <f>E1003-E1003</f>
        <v>0</v>
      </c>
    </row>
    <row r="1004" spans="1:6" x14ac:dyDescent="0.2">
      <c r="A1004" t="s">
        <v>882</v>
      </c>
      <c r="B1004" s="143" t="s">
        <v>723</v>
      </c>
      <c r="C1004" s="150">
        <v>6.87</v>
      </c>
      <c r="D1004" s="135">
        <v>76</v>
      </c>
      <c r="E1004" s="136">
        <v>522.12</v>
      </c>
      <c r="F1004" s="62">
        <f>E1004-E1005</f>
        <v>-9782.8799999999992</v>
      </c>
    </row>
    <row r="1005" spans="1:6" x14ac:dyDescent="0.2">
      <c r="B1005" s="15" t="s">
        <v>1094</v>
      </c>
      <c r="C1005" s="16">
        <v>687</v>
      </c>
      <c r="D1005" s="15">
        <v>15</v>
      </c>
      <c r="E1005" s="16">
        <v>10305</v>
      </c>
      <c r="F1005" s="62">
        <f>E1005-E1005</f>
        <v>0</v>
      </c>
    </row>
    <row r="1006" spans="1:6" x14ac:dyDescent="0.2">
      <c r="A1006" t="s">
        <v>882</v>
      </c>
      <c r="B1006" s="139" t="s">
        <v>593</v>
      </c>
      <c r="C1006" s="150">
        <v>126.71</v>
      </c>
      <c r="D1006" s="140">
        <v>516</v>
      </c>
      <c r="E1006" s="136">
        <v>65382.359999999993</v>
      </c>
      <c r="F1006" s="62">
        <f>E1006-E1007</f>
        <v>-593509.64</v>
      </c>
    </row>
    <row r="1007" spans="1:6" x14ac:dyDescent="0.2">
      <c r="B1007" s="15" t="s">
        <v>1300</v>
      </c>
      <c r="C1007" s="16">
        <v>12671</v>
      </c>
      <c r="D1007" s="15">
        <v>52</v>
      </c>
      <c r="E1007" s="16">
        <v>658892</v>
      </c>
      <c r="F1007" s="62">
        <f>E1007-E1007</f>
        <v>0</v>
      </c>
    </row>
    <row r="1008" spans="1:6" x14ac:dyDescent="0.15">
      <c r="A1008" t="s">
        <v>882</v>
      </c>
      <c r="B1008" s="137" t="s">
        <v>639</v>
      </c>
      <c r="C1008" s="149">
        <v>77.2</v>
      </c>
      <c r="D1008" s="135">
        <v>10</v>
      </c>
      <c r="E1008" s="136">
        <v>772</v>
      </c>
      <c r="F1008" s="62">
        <f>E1008-E1009</f>
        <v>-8492</v>
      </c>
    </row>
    <row r="1009" spans="1:6" x14ac:dyDescent="0.2">
      <c r="B1009" s="15" t="s">
        <v>1318</v>
      </c>
      <c r="C1009" s="16">
        <v>772</v>
      </c>
      <c r="D1009" s="15">
        <v>12</v>
      </c>
      <c r="E1009" s="16">
        <v>9264</v>
      </c>
      <c r="F1009" s="62">
        <f>E1009-E1009</f>
        <v>0</v>
      </c>
    </row>
    <row r="1010" spans="1:6" x14ac:dyDescent="0.15">
      <c r="A1010" t="s">
        <v>882</v>
      </c>
      <c r="B1010" s="141" t="s">
        <v>433</v>
      </c>
      <c r="C1010" s="149">
        <v>147</v>
      </c>
      <c r="D1010" s="140">
        <v>9</v>
      </c>
      <c r="E1010" s="136">
        <v>1323</v>
      </c>
      <c r="F1010" s="62">
        <f>E1010-E1011</f>
        <v>-10437</v>
      </c>
    </row>
    <row r="1011" spans="1:6" x14ac:dyDescent="0.2">
      <c r="B1011" s="15" t="s">
        <v>1390</v>
      </c>
      <c r="C1011" s="16">
        <v>735</v>
      </c>
      <c r="D1011" s="15">
        <v>16</v>
      </c>
      <c r="E1011" s="16">
        <v>11760</v>
      </c>
      <c r="F1011" s="62">
        <f>E1011-E1011</f>
        <v>0</v>
      </c>
    </row>
    <row r="1012" spans="1:6" x14ac:dyDescent="0.2">
      <c r="A1012" t="s">
        <v>882</v>
      </c>
      <c r="B1012" s="141" t="s">
        <v>678</v>
      </c>
      <c r="C1012" s="150">
        <v>112.3</v>
      </c>
      <c r="D1012" s="140">
        <v>7</v>
      </c>
      <c r="E1012" s="136">
        <v>786.1</v>
      </c>
      <c r="F1012" s="62">
        <f>E1012-E1013</f>
        <v>-482103.9</v>
      </c>
    </row>
    <row r="1013" spans="1:6" x14ac:dyDescent="0.2">
      <c r="B1013" s="15" t="s">
        <v>1389</v>
      </c>
      <c r="C1013" s="16">
        <v>1123</v>
      </c>
      <c r="D1013" s="15">
        <v>430</v>
      </c>
      <c r="E1013" s="16">
        <v>482890</v>
      </c>
      <c r="F1013" s="62">
        <f>E1013-E1013</f>
        <v>0</v>
      </c>
    </row>
    <row r="1014" spans="1:6" x14ac:dyDescent="0.2">
      <c r="A1014" t="s">
        <v>882</v>
      </c>
      <c r="B1014" s="139" t="s">
        <v>633</v>
      </c>
      <c r="C1014" s="150">
        <v>730.5</v>
      </c>
      <c r="D1014" s="135">
        <v>9</v>
      </c>
      <c r="E1014" s="136">
        <v>6574.5</v>
      </c>
      <c r="F1014" s="62">
        <f>E1014-E1015</f>
        <v>-446335.5</v>
      </c>
    </row>
    <row r="1015" spans="1:6" x14ac:dyDescent="0.2">
      <c r="B1015" s="15" t="s">
        <v>1392</v>
      </c>
      <c r="C1015" s="16">
        <v>7305</v>
      </c>
      <c r="D1015" s="15">
        <v>62</v>
      </c>
      <c r="E1015" s="16">
        <v>452910</v>
      </c>
      <c r="F1015" s="62">
        <f>E1015-E1015</f>
        <v>0</v>
      </c>
    </row>
    <row r="1016" spans="1:6" x14ac:dyDescent="0.2">
      <c r="A1016" t="s">
        <v>882</v>
      </c>
      <c r="B1016" s="139" t="s">
        <v>632</v>
      </c>
      <c r="C1016" s="150">
        <v>730.5</v>
      </c>
      <c r="D1016" s="135">
        <v>93</v>
      </c>
      <c r="E1016" s="136">
        <v>67936.5</v>
      </c>
      <c r="F1016" s="62">
        <f>E1016-E1017</f>
        <v>-173128.5</v>
      </c>
    </row>
    <row r="1017" spans="1:6" x14ac:dyDescent="0.2">
      <c r="B1017" s="15" t="s">
        <v>1391</v>
      </c>
      <c r="C1017" s="16">
        <v>7305</v>
      </c>
      <c r="D1017" s="15">
        <v>33</v>
      </c>
      <c r="E1017" s="16">
        <v>241065</v>
      </c>
      <c r="F1017" s="62">
        <f>E1017-E1017</f>
        <v>0</v>
      </c>
    </row>
    <row r="1018" spans="1:6" x14ac:dyDescent="0.2">
      <c r="A1018" t="s">
        <v>882</v>
      </c>
      <c r="B1018" s="139" t="s">
        <v>634</v>
      </c>
      <c r="C1018" s="150">
        <v>357</v>
      </c>
      <c r="D1018" s="135">
        <v>3.5</v>
      </c>
      <c r="E1018" s="136">
        <v>1249.5</v>
      </c>
      <c r="F1018" s="62">
        <f>E1018-E1019</f>
        <v>-1606.5</v>
      </c>
    </row>
    <row r="1019" spans="1:6" x14ac:dyDescent="0.2">
      <c r="B1019" s="15" t="s">
        <v>1393</v>
      </c>
      <c r="C1019" s="16">
        <v>357</v>
      </c>
      <c r="D1019" s="15">
        <v>8</v>
      </c>
      <c r="E1019" s="16">
        <v>2856</v>
      </c>
      <c r="F1019" s="62">
        <f>E1019-E1019</f>
        <v>0</v>
      </c>
    </row>
    <row r="1020" spans="1:6" x14ac:dyDescent="0.15">
      <c r="A1020" t="s">
        <v>882</v>
      </c>
      <c r="B1020" s="137" t="s">
        <v>382</v>
      </c>
      <c r="C1020" s="149">
        <v>30580</v>
      </c>
      <c r="D1020" s="140">
        <v>1</v>
      </c>
      <c r="E1020" s="136">
        <v>30580</v>
      </c>
      <c r="F1020" s="62">
        <f>E1020-E1021</f>
        <v>30580</v>
      </c>
    </row>
    <row r="1021" spans="1:6" x14ac:dyDescent="0.2">
      <c r="B1021" s="15"/>
      <c r="C1021" s="16"/>
      <c r="D1021" s="15"/>
      <c r="E1021" s="16"/>
      <c r="F1021" s="62">
        <f>E1021-E1021</f>
        <v>0</v>
      </c>
    </row>
    <row r="1022" spans="1:6" x14ac:dyDescent="0.2">
      <c r="A1022" t="s">
        <v>882</v>
      </c>
      <c r="B1022" s="143" t="s">
        <v>594</v>
      </c>
      <c r="C1022" s="150">
        <v>33.5</v>
      </c>
      <c r="D1022" s="135">
        <v>93</v>
      </c>
      <c r="E1022" s="136">
        <v>3115.5</v>
      </c>
      <c r="F1022" s="62">
        <f>E1022-E1023</f>
        <v>-13634.5</v>
      </c>
    </row>
    <row r="1023" spans="1:6" x14ac:dyDescent="0.2">
      <c r="B1023" s="15" t="s">
        <v>1171</v>
      </c>
      <c r="C1023" s="16">
        <v>3350</v>
      </c>
      <c r="D1023" s="15">
        <v>5</v>
      </c>
      <c r="E1023" s="16">
        <v>16750</v>
      </c>
      <c r="F1023" s="62">
        <f>E1023-E1023</f>
        <v>0</v>
      </c>
    </row>
    <row r="1024" spans="1:6" x14ac:dyDescent="0.2">
      <c r="A1024" t="s">
        <v>882</v>
      </c>
      <c r="B1024" s="139" t="s">
        <v>271</v>
      </c>
      <c r="C1024" s="150">
        <v>37.94</v>
      </c>
      <c r="D1024" s="135">
        <v>151</v>
      </c>
      <c r="E1024" s="136">
        <v>5728.94</v>
      </c>
      <c r="F1024" s="62">
        <f>E1024-E1025</f>
        <v>-84575.06</v>
      </c>
    </row>
    <row r="1025" spans="1:6" x14ac:dyDescent="0.2">
      <c r="B1025" s="15" t="s">
        <v>1295</v>
      </c>
      <c r="C1025" s="16">
        <v>2656</v>
      </c>
      <c r="D1025" s="15">
        <v>34</v>
      </c>
      <c r="E1025" s="16">
        <v>90304</v>
      </c>
      <c r="F1025" s="62">
        <f>E1025-E1025</f>
        <v>0</v>
      </c>
    </row>
    <row r="1026" spans="1:6" x14ac:dyDescent="0.2">
      <c r="A1026" t="s">
        <v>882</v>
      </c>
      <c r="B1026" s="139" t="s">
        <v>207</v>
      </c>
      <c r="C1026" s="159">
        <v>12.02</v>
      </c>
      <c r="D1026" s="135">
        <v>246</v>
      </c>
      <c r="E1026" s="136">
        <v>2956.92</v>
      </c>
      <c r="F1026" s="62">
        <f>E1026-E1027</f>
        <v>2956.92</v>
      </c>
    </row>
    <row r="1027" spans="1:6" x14ac:dyDescent="0.2">
      <c r="F1027" s="62">
        <f>E1027-E1027</f>
        <v>0</v>
      </c>
    </row>
    <row r="1028" spans="1:6" x14ac:dyDescent="0.15">
      <c r="A1028" t="s">
        <v>882</v>
      </c>
      <c r="B1028" s="141" t="s">
        <v>751</v>
      </c>
      <c r="C1028" s="149">
        <v>157.5</v>
      </c>
      <c r="D1028" s="140">
        <v>10</v>
      </c>
      <c r="E1028" s="136">
        <v>1575</v>
      </c>
      <c r="F1028" s="62">
        <f>E1028-E1029</f>
        <v>1575</v>
      </c>
    </row>
    <row r="1029" spans="1:6" x14ac:dyDescent="0.15">
      <c r="B1029" s="15"/>
      <c r="C1029" s="152"/>
      <c r="D1029" s="99"/>
      <c r="E1029" s="122"/>
      <c r="F1029" s="62">
        <f>E1029-E1029</f>
        <v>0</v>
      </c>
    </row>
    <row r="1030" spans="1:6" ht="14.25" customHeight="1" x14ac:dyDescent="0.2">
      <c r="A1030" t="s">
        <v>882</v>
      </c>
      <c r="B1030" s="139" t="s">
        <v>210</v>
      </c>
      <c r="C1030" s="150">
        <v>77.63</v>
      </c>
      <c r="D1030" s="140">
        <v>100</v>
      </c>
      <c r="E1030" s="136">
        <v>7763</v>
      </c>
      <c r="F1030" s="62">
        <f>E1030-E1031</f>
        <v>-729760</v>
      </c>
    </row>
    <row r="1031" spans="1:6" x14ac:dyDescent="0.2">
      <c r="B1031" s="15" t="s">
        <v>1118</v>
      </c>
      <c r="C1031" s="16">
        <v>38817</v>
      </c>
      <c r="D1031" s="15">
        <v>19</v>
      </c>
      <c r="E1031" s="16">
        <v>737523</v>
      </c>
      <c r="F1031" s="62">
        <f>E1031-E1031</f>
        <v>0</v>
      </c>
    </row>
    <row r="1032" spans="1:6" x14ac:dyDescent="0.2">
      <c r="A1032" t="s">
        <v>882</v>
      </c>
      <c r="B1032" s="139" t="s">
        <v>211</v>
      </c>
      <c r="C1032" s="150">
        <v>93.96</v>
      </c>
      <c r="D1032" s="140">
        <v>167</v>
      </c>
      <c r="E1032" s="136">
        <v>15691.32</v>
      </c>
      <c r="F1032" s="62">
        <f>E1032-E1033</f>
        <v>-444712.68</v>
      </c>
    </row>
    <row r="1033" spans="1:6" x14ac:dyDescent="0.2">
      <c r="B1033" s="15" t="s">
        <v>1119</v>
      </c>
      <c r="C1033" s="16">
        <v>9396</v>
      </c>
      <c r="D1033" s="15">
        <v>49</v>
      </c>
      <c r="E1033" s="16">
        <v>460404</v>
      </c>
      <c r="F1033" s="62">
        <f>E1033-E1033</f>
        <v>0</v>
      </c>
    </row>
    <row r="1034" spans="1:6" x14ac:dyDescent="0.15">
      <c r="A1034" t="s">
        <v>882</v>
      </c>
      <c r="B1034" s="137" t="s">
        <v>663</v>
      </c>
      <c r="C1034" s="149">
        <v>523.9</v>
      </c>
      <c r="D1034" s="140">
        <v>27</v>
      </c>
      <c r="E1034" s="136">
        <v>14145.3</v>
      </c>
      <c r="F1034" s="62">
        <f>E1034-E1035</f>
        <v>14145.3</v>
      </c>
    </row>
    <row r="1035" spans="1:6" x14ac:dyDescent="0.2">
      <c r="F1035" s="62">
        <f>E1035-E1035</f>
        <v>0</v>
      </c>
    </row>
    <row r="1036" spans="1:6" x14ac:dyDescent="0.2">
      <c r="A1036" t="s">
        <v>882</v>
      </c>
      <c r="B1036" s="139" t="s">
        <v>212</v>
      </c>
      <c r="C1036" s="150">
        <v>7.03</v>
      </c>
      <c r="D1036" s="135">
        <v>536.84210526315792</v>
      </c>
      <c r="E1036" s="136">
        <v>3774.0000000000005</v>
      </c>
      <c r="F1036" s="62">
        <f>E1036-E1037</f>
        <v>-10286</v>
      </c>
    </row>
    <row r="1037" spans="1:6" x14ac:dyDescent="0.2">
      <c r="B1037" s="15" t="s">
        <v>1207</v>
      </c>
      <c r="C1037" s="16">
        <v>703</v>
      </c>
      <c r="D1037" s="15">
        <v>20</v>
      </c>
      <c r="E1037" s="16">
        <v>14060</v>
      </c>
      <c r="F1037" s="62">
        <f>E1037-E1037</f>
        <v>0</v>
      </c>
    </row>
    <row r="1038" spans="1:6" x14ac:dyDescent="0.15">
      <c r="A1038" t="s">
        <v>882</v>
      </c>
      <c r="B1038" s="137" t="s">
        <v>461</v>
      </c>
      <c r="C1038" s="157">
        <v>14.79</v>
      </c>
      <c r="D1038" s="140">
        <v>149</v>
      </c>
      <c r="E1038" s="136">
        <v>2203.71</v>
      </c>
      <c r="F1038" s="62">
        <f>E1038-E1039</f>
        <v>-5191.29</v>
      </c>
    </row>
    <row r="1039" spans="1:6" x14ac:dyDescent="0.2">
      <c r="B1039" s="15" t="s">
        <v>928</v>
      </c>
      <c r="C1039" s="16">
        <v>1479</v>
      </c>
      <c r="D1039" s="15">
        <v>5</v>
      </c>
      <c r="E1039" s="16">
        <v>7395</v>
      </c>
      <c r="F1039" s="62">
        <f>E1039-E1039</f>
        <v>0</v>
      </c>
    </row>
    <row r="1040" spans="1:6" x14ac:dyDescent="0.2">
      <c r="A1040" t="s">
        <v>882</v>
      </c>
      <c r="B1040" s="139" t="s">
        <v>595</v>
      </c>
      <c r="C1040" s="150">
        <v>7.49</v>
      </c>
      <c r="D1040" s="140">
        <v>1931.2857142857142</v>
      </c>
      <c r="E1040" s="136">
        <v>14465.33</v>
      </c>
      <c r="F1040" s="62">
        <f>E1040-E1041</f>
        <v>-92550.67</v>
      </c>
    </row>
    <row r="1041" spans="1:6" x14ac:dyDescent="0.2">
      <c r="B1041" s="15" t="s">
        <v>929</v>
      </c>
      <c r="E1041" s="9">
        <v>107016</v>
      </c>
      <c r="F1041" s="62">
        <f>E1041-E1041</f>
        <v>0</v>
      </c>
    </row>
    <row r="1042" spans="1:6" x14ac:dyDescent="0.2">
      <c r="A1042" t="s">
        <v>882</v>
      </c>
      <c r="B1042" s="139" t="s">
        <v>357</v>
      </c>
      <c r="C1042" s="150">
        <v>290.5</v>
      </c>
      <c r="D1042" s="140">
        <v>156</v>
      </c>
      <c r="E1042" s="136">
        <v>45318</v>
      </c>
      <c r="F1042" s="62">
        <f>E1042-E1043</f>
        <v>-99932</v>
      </c>
    </row>
    <row r="1043" spans="1:6" x14ac:dyDescent="0.2">
      <c r="B1043" s="15" t="s">
        <v>1453</v>
      </c>
      <c r="C1043" s="16">
        <v>2905</v>
      </c>
      <c r="D1043" s="15">
        <v>50</v>
      </c>
      <c r="E1043" s="16">
        <v>145250</v>
      </c>
      <c r="F1043" s="62">
        <f>E1043-E1043</f>
        <v>0</v>
      </c>
    </row>
    <row r="1044" spans="1:6" x14ac:dyDescent="0.2">
      <c r="A1044" t="s">
        <v>882</v>
      </c>
      <c r="B1044" s="139" t="s">
        <v>641</v>
      </c>
      <c r="C1044" s="150">
        <v>1098</v>
      </c>
      <c r="D1044" s="135">
        <v>3.5</v>
      </c>
      <c r="E1044" s="136">
        <v>3843</v>
      </c>
      <c r="F1044" s="62">
        <f>E1044-E1045</f>
        <v>-4941</v>
      </c>
    </row>
    <row r="1045" spans="1:6" x14ac:dyDescent="0.2">
      <c r="B1045" s="15" t="s">
        <v>1319</v>
      </c>
      <c r="C1045" s="16">
        <v>1098</v>
      </c>
      <c r="D1045" s="15">
        <v>8</v>
      </c>
      <c r="E1045" s="16">
        <v>8784</v>
      </c>
      <c r="F1045" s="62">
        <f>E1045-E1045</f>
        <v>0</v>
      </c>
    </row>
    <row r="1046" spans="1:6" x14ac:dyDescent="0.2">
      <c r="A1046" t="s">
        <v>882</v>
      </c>
      <c r="B1046" s="143" t="s">
        <v>865</v>
      </c>
      <c r="C1046" s="150">
        <v>21.72</v>
      </c>
      <c r="D1046" s="135">
        <v>153</v>
      </c>
      <c r="E1046" s="136">
        <v>3323.16</v>
      </c>
      <c r="F1046" s="62">
        <f>E1046-E1047</f>
        <v>-936.84000000000015</v>
      </c>
    </row>
    <row r="1047" spans="1:6" x14ac:dyDescent="0.2">
      <c r="B1047" s="15" t="s">
        <v>1294</v>
      </c>
      <c r="C1047" s="16">
        <v>2130</v>
      </c>
      <c r="D1047" s="15">
        <v>2</v>
      </c>
      <c r="E1047" s="16">
        <v>4260</v>
      </c>
      <c r="F1047" s="62">
        <f>E1047-E1047</f>
        <v>0</v>
      </c>
    </row>
    <row r="1048" spans="1:6" x14ac:dyDescent="0.2">
      <c r="A1048" t="s">
        <v>882</v>
      </c>
      <c r="B1048" s="139" t="s">
        <v>785</v>
      </c>
      <c r="C1048" s="150">
        <v>8.5</v>
      </c>
      <c r="D1048" s="140">
        <v>3014.2857142857142</v>
      </c>
      <c r="E1048" s="136">
        <v>25621.428571428572</v>
      </c>
      <c r="F1048" s="62">
        <f>E1048-E1049</f>
        <v>-55348.571428571428</v>
      </c>
    </row>
    <row r="1049" spans="1:6" x14ac:dyDescent="0.2">
      <c r="B1049" s="15" t="s">
        <v>1418</v>
      </c>
      <c r="C1049" s="16">
        <v>850</v>
      </c>
      <c r="D1049" s="15">
        <v>9</v>
      </c>
      <c r="E1049" s="16">
        <v>80970</v>
      </c>
      <c r="F1049" s="62">
        <f>E1049-E1049</f>
        <v>0</v>
      </c>
    </row>
    <row r="1050" spans="1:6" x14ac:dyDescent="0.2">
      <c r="A1050" t="s">
        <v>882</v>
      </c>
      <c r="B1050" s="139" t="s">
        <v>358</v>
      </c>
      <c r="C1050" s="150">
        <v>784</v>
      </c>
      <c r="D1050" s="140">
        <v>100</v>
      </c>
      <c r="E1050" s="136">
        <v>78400</v>
      </c>
      <c r="F1050" s="62">
        <f>E1050-E1051</f>
        <v>-39200</v>
      </c>
    </row>
    <row r="1051" spans="1:6" x14ac:dyDescent="0.2">
      <c r="B1051" s="15" t="s">
        <v>1462</v>
      </c>
      <c r="C1051" s="16">
        <v>7840</v>
      </c>
      <c r="D1051" s="15">
        <v>15</v>
      </c>
      <c r="E1051" s="16">
        <v>117600</v>
      </c>
      <c r="F1051" s="62">
        <f>E1051-E1051</f>
        <v>0</v>
      </c>
    </row>
    <row r="1052" spans="1:6" x14ac:dyDescent="0.2">
      <c r="A1052" t="s">
        <v>882</v>
      </c>
      <c r="B1052" s="139" t="s">
        <v>749</v>
      </c>
      <c r="C1052" s="151">
        <v>83</v>
      </c>
      <c r="D1052" s="140">
        <v>54</v>
      </c>
      <c r="E1052" s="136">
        <v>4482</v>
      </c>
      <c r="F1052" s="62">
        <f>E1052-E1053</f>
        <v>3652</v>
      </c>
    </row>
    <row r="1053" spans="1:6" x14ac:dyDescent="0.2">
      <c r="B1053" s="15" t="s">
        <v>1285</v>
      </c>
      <c r="C1053" s="16">
        <v>830</v>
      </c>
      <c r="D1053" s="15">
        <v>1</v>
      </c>
      <c r="E1053" s="16">
        <v>830</v>
      </c>
      <c r="F1053" s="62">
        <f>E1053-E1053</f>
        <v>0</v>
      </c>
    </row>
    <row r="1054" spans="1:6" x14ac:dyDescent="0.2">
      <c r="A1054" t="s">
        <v>882</v>
      </c>
      <c r="B1054" s="139" t="s">
        <v>359</v>
      </c>
      <c r="C1054" s="150">
        <v>223.6</v>
      </c>
      <c r="D1054" s="140">
        <v>64</v>
      </c>
      <c r="E1054" s="136">
        <v>14310.4</v>
      </c>
      <c r="F1054" s="62">
        <f>E1054-E1055</f>
        <v>-209289.60000000001</v>
      </c>
    </row>
    <row r="1055" spans="1:6" x14ac:dyDescent="0.2">
      <c r="B1055" s="15" t="s">
        <v>1374</v>
      </c>
      <c r="C1055" s="16">
        <v>4472</v>
      </c>
      <c r="D1055" s="15">
        <v>50</v>
      </c>
      <c r="E1055" s="16">
        <v>223600</v>
      </c>
      <c r="F1055" s="62">
        <f>E1055-E1055</f>
        <v>0</v>
      </c>
    </row>
    <row r="1056" spans="1:6" x14ac:dyDescent="0.2">
      <c r="A1056" t="s">
        <v>882</v>
      </c>
      <c r="B1056" s="139" t="s">
        <v>360</v>
      </c>
      <c r="C1056" s="150">
        <v>248.55</v>
      </c>
      <c r="D1056" s="140">
        <v>88</v>
      </c>
      <c r="E1056" s="136">
        <v>21872.400000000001</v>
      </c>
      <c r="F1056" s="62">
        <f>E1056-E1057</f>
        <v>-1220877.6000000001</v>
      </c>
    </row>
    <row r="1057" spans="1:6" x14ac:dyDescent="0.2">
      <c r="B1057" s="15" t="s">
        <v>1375</v>
      </c>
      <c r="C1057" s="16">
        <v>4971</v>
      </c>
      <c r="D1057" s="15">
        <v>250</v>
      </c>
      <c r="E1057" s="16">
        <v>1242750</v>
      </c>
      <c r="F1057" s="62">
        <f>E1057-E1057</f>
        <v>0</v>
      </c>
    </row>
    <row r="1058" spans="1:6" x14ac:dyDescent="0.2">
      <c r="A1058" t="s">
        <v>882</v>
      </c>
      <c r="B1058" s="139" t="s">
        <v>287</v>
      </c>
      <c r="C1058" s="150">
        <v>84.66</v>
      </c>
      <c r="D1058" s="135">
        <v>31</v>
      </c>
      <c r="E1058" s="136">
        <v>2624.46</v>
      </c>
      <c r="F1058" s="62">
        <f>E1058-E1059</f>
        <v>-5841.54</v>
      </c>
    </row>
    <row r="1059" spans="1:6" x14ac:dyDescent="0.2">
      <c r="B1059" s="15" t="s">
        <v>1230</v>
      </c>
      <c r="C1059" s="16">
        <v>4233</v>
      </c>
      <c r="D1059" s="15">
        <v>2</v>
      </c>
      <c r="E1059" s="16">
        <v>8466</v>
      </c>
      <c r="F1059" s="62">
        <f>E1059-E1059</f>
        <v>0</v>
      </c>
    </row>
    <row r="1060" spans="1:6" x14ac:dyDescent="0.2">
      <c r="A1060" t="s">
        <v>882</v>
      </c>
      <c r="B1060" s="139" t="s">
        <v>395</v>
      </c>
      <c r="C1060" s="150">
        <v>269</v>
      </c>
      <c r="D1060" s="140">
        <v>0</v>
      </c>
      <c r="E1060" s="136">
        <v>0</v>
      </c>
      <c r="F1060" s="62">
        <f>E1060-E1061</f>
        <v>-807</v>
      </c>
    </row>
    <row r="1061" spans="1:6" x14ac:dyDescent="0.2">
      <c r="B1061" s="15" t="s">
        <v>1303</v>
      </c>
      <c r="C1061" s="16">
        <v>269</v>
      </c>
      <c r="D1061" s="15">
        <v>3</v>
      </c>
      <c r="E1061" s="16">
        <v>807</v>
      </c>
      <c r="F1061" s="62">
        <f>E1061-E1061</f>
        <v>0</v>
      </c>
    </row>
    <row r="1062" spans="1:6" x14ac:dyDescent="0.2">
      <c r="A1062" t="s">
        <v>882</v>
      </c>
      <c r="B1062" s="139" t="s">
        <v>815</v>
      </c>
      <c r="C1062" s="150">
        <v>62.7</v>
      </c>
      <c r="D1062" s="140">
        <v>2</v>
      </c>
      <c r="E1062" s="136">
        <v>125.4</v>
      </c>
      <c r="F1062" s="62">
        <f>E1062-E1063</f>
        <v>-501.6</v>
      </c>
    </row>
    <row r="1063" spans="1:6" x14ac:dyDescent="0.2">
      <c r="B1063" s="15" t="s">
        <v>1441</v>
      </c>
      <c r="C1063" s="16">
        <v>627</v>
      </c>
      <c r="D1063" s="15">
        <v>1</v>
      </c>
      <c r="E1063" s="16">
        <v>627</v>
      </c>
      <c r="F1063" s="62">
        <f>E1063-E1063</f>
        <v>0</v>
      </c>
    </row>
    <row r="1064" spans="1:6" x14ac:dyDescent="0.2">
      <c r="A1064" t="s">
        <v>882</v>
      </c>
      <c r="B1064" s="139" t="s">
        <v>648</v>
      </c>
      <c r="C1064" s="150">
        <v>69.239999999999995</v>
      </c>
      <c r="D1064" s="135">
        <v>63</v>
      </c>
      <c r="E1064" s="136">
        <v>4362.12</v>
      </c>
      <c r="F1064" s="62">
        <f>E1064-E1065</f>
        <v>-104702.88</v>
      </c>
    </row>
    <row r="1065" spans="1:6" x14ac:dyDescent="0.2">
      <c r="B1065" s="15" t="s">
        <v>1301</v>
      </c>
      <c r="C1065" s="16">
        <v>7271</v>
      </c>
      <c r="D1065" s="15">
        <v>15</v>
      </c>
      <c r="E1065" s="16">
        <v>109065</v>
      </c>
      <c r="F1065" s="62">
        <f>E1065-E1065</f>
        <v>0</v>
      </c>
    </row>
    <row r="1066" spans="1:6" x14ac:dyDescent="0.2">
      <c r="A1066" t="s">
        <v>882</v>
      </c>
      <c r="B1066" s="139" t="s">
        <v>213</v>
      </c>
      <c r="C1066" s="155">
        <v>6.54</v>
      </c>
      <c r="D1066" s="135">
        <v>107</v>
      </c>
      <c r="E1066" s="136">
        <v>699.78</v>
      </c>
      <c r="F1066" s="62">
        <f>E1066-E1067</f>
        <v>-5186.22</v>
      </c>
    </row>
    <row r="1067" spans="1:6" x14ac:dyDescent="0.2">
      <c r="B1067" s="15" t="s">
        <v>970</v>
      </c>
      <c r="C1067" s="16">
        <v>654</v>
      </c>
      <c r="D1067" s="15">
        <v>9</v>
      </c>
      <c r="E1067" s="16">
        <v>5886</v>
      </c>
      <c r="F1067" s="62">
        <f>E1067-E1067</f>
        <v>0</v>
      </c>
    </row>
    <row r="1068" spans="1:6" x14ac:dyDescent="0.2">
      <c r="A1068" t="s">
        <v>882</v>
      </c>
      <c r="B1068" s="137" t="s">
        <v>460</v>
      </c>
      <c r="C1068" s="155">
        <v>9.35</v>
      </c>
      <c r="D1068" s="140">
        <v>1324</v>
      </c>
      <c r="E1068" s="136">
        <v>12379.4</v>
      </c>
      <c r="F1068" s="62">
        <f>E1068-E1069</f>
        <v>-43744.6</v>
      </c>
    </row>
    <row r="1069" spans="1:6" x14ac:dyDescent="0.2">
      <c r="B1069" s="15" t="s">
        <v>1249</v>
      </c>
      <c r="C1069" s="16">
        <v>9354</v>
      </c>
      <c r="D1069" s="15">
        <v>6</v>
      </c>
      <c r="E1069" s="16">
        <v>56124</v>
      </c>
      <c r="F1069" s="62">
        <f>E1069-E1069</f>
        <v>0</v>
      </c>
    </row>
    <row r="1070" spans="1:6" x14ac:dyDescent="0.2">
      <c r="A1070" t="s">
        <v>882</v>
      </c>
      <c r="B1070" s="139" t="s">
        <v>763</v>
      </c>
      <c r="C1070" s="151">
        <v>53.4</v>
      </c>
      <c r="D1070" s="135">
        <v>44</v>
      </c>
      <c r="E1070" s="136">
        <v>2349.6</v>
      </c>
      <c r="F1070" s="62">
        <f>E1070-E1071</f>
        <v>-20612.400000000001</v>
      </c>
    </row>
    <row r="1071" spans="1:6" x14ac:dyDescent="0.2">
      <c r="B1071" s="15" t="s">
        <v>1320</v>
      </c>
      <c r="C1071" s="16">
        <v>534</v>
      </c>
      <c r="D1071" s="15">
        <v>43</v>
      </c>
      <c r="E1071" s="16">
        <v>22962</v>
      </c>
      <c r="F1071" s="62">
        <f>E1071-E1071</f>
        <v>0</v>
      </c>
    </row>
    <row r="1072" spans="1:6" x14ac:dyDescent="0.15">
      <c r="A1072" t="s">
        <v>882</v>
      </c>
      <c r="B1072" s="137" t="s">
        <v>214</v>
      </c>
      <c r="C1072" s="149">
        <v>14.07</v>
      </c>
      <c r="D1072" s="135">
        <v>900</v>
      </c>
      <c r="E1072" s="136">
        <v>12663</v>
      </c>
      <c r="F1072" s="62">
        <f>E1072-E1073</f>
        <v>-8442</v>
      </c>
    </row>
    <row r="1073" spans="1:6" x14ac:dyDescent="0.2">
      <c r="B1073" s="15" t="s">
        <v>954</v>
      </c>
      <c r="C1073" s="16">
        <v>7035</v>
      </c>
      <c r="D1073" s="15">
        <v>3</v>
      </c>
      <c r="E1073" s="16">
        <v>21105</v>
      </c>
      <c r="F1073" s="62">
        <f>E1073-E1073</f>
        <v>0</v>
      </c>
    </row>
    <row r="1074" spans="1:6" x14ac:dyDescent="0.15">
      <c r="A1074" t="s">
        <v>882</v>
      </c>
      <c r="B1074" s="137" t="s">
        <v>215</v>
      </c>
      <c r="C1074" s="149">
        <v>17</v>
      </c>
      <c r="D1074" s="140">
        <v>507.44444444444446</v>
      </c>
      <c r="E1074" s="136">
        <v>8626.5555555555566</v>
      </c>
      <c r="F1074" s="62">
        <f>E1074-E1075</f>
        <v>-188573.44444444444</v>
      </c>
    </row>
    <row r="1075" spans="1:6" x14ac:dyDescent="0.2">
      <c r="B1075" s="15" t="s">
        <v>930</v>
      </c>
      <c r="C1075" s="16">
        <v>1700</v>
      </c>
      <c r="D1075" s="15">
        <v>116</v>
      </c>
      <c r="E1075" s="16">
        <v>197200</v>
      </c>
      <c r="F1075" s="62">
        <f>E1075-E1075</f>
        <v>0</v>
      </c>
    </row>
    <row r="1076" spans="1:6" x14ac:dyDescent="0.2">
      <c r="A1076" t="s">
        <v>882</v>
      </c>
      <c r="B1076" s="139" t="s">
        <v>216</v>
      </c>
      <c r="C1076" s="150">
        <v>3.42</v>
      </c>
      <c r="D1076" s="140">
        <v>4082.8947368421054</v>
      </c>
      <c r="E1076" s="136">
        <v>13963.5</v>
      </c>
      <c r="F1076" s="62">
        <f>E1076-E1077</f>
        <v>-249376.5</v>
      </c>
    </row>
    <row r="1077" spans="1:6" x14ac:dyDescent="0.2">
      <c r="B1077" s="15" t="s">
        <v>1253</v>
      </c>
      <c r="C1077" s="16">
        <v>3420</v>
      </c>
      <c r="D1077" s="15">
        <v>15</v>
      </c>
      <c r="E1077" s="16">
        <v>263340</v>
      </c>
      <c r="F1077" s="62">
        <f>E1077-E1077</f>
        <v>0</v>
      </c>
    </row>
    <row r="1078" spans="1:6" x14ac:dyDescent="0.2">
      <c r="A1078" t="s">
        <v>882</v>
      </c>
      <c r="B1078" s="139" t="s">
        <v>217</v>
      </c>
      <c r="C1078" s="150">
        <v>3.42</v>
      </c>
      <c r="D1078" s="140">
        <v>2688.9310344827586</v>
      </c>
      <c r="E1078" s="136">
        <v>9196.1441379310345</v>
      </c>
      <c r="F1078" s="62">
        <f>E1078-E1079</f>
        <v>-148123.85586206897</v>
      </c>
    </row>
    <row r="1079" spans="1:6" x14ac:dyDescent="0.2">
      <c r="B1079" s="15" t="s">
        <v>1254</v>
      </c>
      <c r="C1079" s="16">
        <v>1710</v>
      </c>
      <c r="D1079" s="15">
        <v>12</v>
      </c>
      <c r="E1079" s="16">
        <v>157320</v>
      </c>
      <c r="F1079" s="62">
        <f>E1079-E1079</f>
        <v>0</v>
      </c>
    </row>
    <row r="1080" spans="1:6" x14ac:dyDescent="0.2">
      <c r="A1080" t="s">
        <v>882</v>
      </c>
      <c r="B1080" s="139" t="s">
        <v>218</v>
      </c>
      <c r="C1080" s="150">
        <v>5.0999999999999996</v>
      </c>
      <c r="D1080" s="140">
        <v>239</v>
      </c>
      <c r="E1080" s="136">
        <v>1218.8999999999999</v>
      </c>
      <c r="F1080" s="62">
        <f>E1080-E1081</f>
        <v>-4391.1000000000004</v>
      </c>
    </row>
    <row r="1081" spans="1:6" x14ac:dyDescent="0.2">
      <c r="B1081" s="15" t="s">
        <v>1095</v>
      </c>
      <c r="C1081" s="16">
        <v>510</v>
      </c>
      <c r="D1081" s="15">
        <v>11</v>
      </c>
      <c r="E1081" s="16">
        <v>5610</v>
      </c>
      <c r="F1081" s="62">
        <f>E1081-E1081</f>
        <v>0</v>
      </c>
    </row>
    <row r="1082" spans="1:6" x14ac:dyDescent="0.2">
      <c r="A1082" t="s">
        <v>882</v>
      </c>
      <c r="B1082" s="139" t="s">
        <v>219</v>
      </c>
      <c r="C1082" s="150">
        <v>8.4700000000000006</v>
      </c>
      <c r="D1082" s="140">
        <v>496</v>
      </c>
      <c r="E1082" s="136">
        <v>4201.12</v>
      </c>
      <c r="F1082" s="62">
        <f>E1082-E1083</f>
        <v>-2574.88</v>
      </c>
    </row>
    <row r="1083" spans="1:6" x14ac:dyDescent="0.2">
      <c r="B1083" s="15" t="s">
        <v>1096</v>
      </c>
      <c r="C1083" s="16">
        <v>847</v>
      </c>
      <c r="D1083" s="15">
        <v>8</v>
      </c>
      <c r="E1083" s="16">
        <v>6776</v>
      </c>
      <c r="F1083" s="62">
        <f>E1083-E1083</f>
        <v>0</v>
      </c>
    </row>
    <row r="1084" spans="1:6" x14ac:dyDescent="0.2">
      <c r="A1084" t="s">
        <v>882</v>
      </c>
      <c r="B1084" s="148"/>
      <c r="C1084" s="153"/>
      <c r="D1084" s="148"/>
      <c r="E1084" s="153"/>
      <c r="F1084" s="62">
        <f>E1084-E1085</f>
        <v>-12622</v>
      </c>
    </row>
    <row r="1085" spans="1:6" x14ac:dyDescent="0.2">
      <c r="B1085" s="15" t="s">
        <v>1151</v>
      </c>
      <c r="C1085" s="16">
        <v>12622</v>
      </c>
      <c r="D1085" s="15">
        <v>1</v>
      </c>
      <c r="E1085" s="16">
        <v>12622</v>
      </c>
      <c r="F1085" s="62">
        <f>E1085-E1085</f>
        <v>0</v>
      </c>
    </row>
    <row r="1086" spans="1:6" x14ac:dyDescent="0.2">
      <c r="A1086" t="s">
        <v>882</v>
      </c>
      <c r="B1086" s="139" t="s">
        <v>760</v>
      </c>
      <c r="C1086" s="150">
        <v>8.0500000000000007</v>
      </c>
      <c r="D1086" s="140">
        <v>246.66666666666666</v>
      </c>
      <c r="E1086" s="136">
        <v>1985.6666666666667</v>
      </c>
      <c r="F1086" s="62">
        <f>E1086-E1087</f>
        <v>-13309.333333333334</v>
      </c>
    </row>
    <row r="1087" spans="1:6" x14ac:dyDescent="0.2">
      <c r="B1087" s="15" t="s">
        <v>1419</v>
      </c>
      <c r="C1087" s="16">
        <v>805</v>
      </c>
      <c r="D1087" s="15">
        <v>19</v>
      </c>
      <c r="E1087" s="16">
        <v>15295</v>
      </c>
      <c r="F1087" s="62">
        <f>E1087-E1087</f>
        <v>0</v>
      </c>
    </row>
    <row r="1088" spans="1:6" x14ac:dyDescent="0.2">
      <c r="A1088" t="s">
        <v>882</v>
      </c>
      <c r="B1088" s="139" t="s">
        <v>455</v>
      </c>
      <c r="C1088" s="150">
        <v>7.39</v>
      </c>
      <c r="D1088" s="140">
        <v>3296</v>
      </c>
      <c r="E1088" s="136">
        <v>24357.439999999999</v>
      </c>
      <c r="F1088" s="62">
        <f>E1088-E1089</f>
        <v>-23677.56</v>
      </c>
    </row>
    <row r="1089" spans="1:6" x14ac:dyDescent="0.2">
      <c r="B1089" s="15" t="s">
        <v>1197</v>
      </c>
      <c r="C1089" s="16">
        <v>739</v>
      </c>
      <c r="D1089" s="15">
        <v>5</v>
      </c>
      <c r="E1089" s="16">
        <v>48035</v>
      </c>
      <c r="F1089" s="62">
        <f>E1089-E1089</f>
        <v>0</v>
      </c>
    </row>
    <row r="1090" spans="1:6" x14ac:dyDescent="0.2">
      <c r="A1090" t="s">
        <v>882</v>
      </c>
      <c r="B1090" s="139" t="s">
        <v>361</v>
      </c>
      <c r="C1090" s="150">
        <v>199</v>
      </c>
      <c r="D1090" s="140">
        <v>0</v>
      </c>
      <c r="E1090" s="136">
        <v>0</v>
      </c>
      <c r="F1090" s="62">
        <f>E1090-E1091</f>
        <v>-33830</v>
      </c>
    </row>
    <row r="1091" spans="1:6" x14ac:dyDescent="0.2">
      <c r="B1091" s="15" t="s">
        <v>1468</v>
      </c>
      <c r="C1091" s="16">
        <v>1990</v>
      </c>
      <c r="D1091" s="15">
        <v>17</v>
      </c>
      <c r="E1091" s="16">
        <v>33830</v>
      </c>
      <c r="F1091" s="62">
        <f>E1091-E1091</f>
        <v>0</v>
      </c>
    </row>
    <row r="1092" spans="1:6" x14ac:dyDescent="0.2">
      <c r="A1092" t="s">
        <v>882</v>
      </c>
      <c r="B1092" s="139" t="s">
        <v>597</v>
      </c>
      <c r="C1092" s="150">
        <v>467.5</v>
      </c>
      <c r="D1092" s="135">
        <v>10</v>
      </c>
      <c r="E1092" s="136">
        <v>4675</v>
      </c>
      <c r="F1092" s="62">
        <f>E1092-E1093</f>
        <v>-213500</v>
      </c>
    </row>
    <row r="1093" spans="1:6" x14ac:dyDescent="0.2">
      <c r="B1093" s="15" t="s">
        <v>1431</v>
      </c>
      <c r="C1093" s="16">
        <v>935</v>
      </c>
      <c r="D1093" s="15">
        <v>213</v>
      </c>
      <c r="E1093" s="16">
        <v>218175</v>
      </c>
      <c r="F1093" s="62">
        <f>E1093-E1093</f>
        <v>0</v>
      </c>
    </row>
    <row r="1094" spans="1:6" x14ac:dyDescent="0.2">
      <c r="A1094" t="s">
        <v>882</v>
      </c>
      <c r="B1094" s="139" t="s">
        <v>830</v>
      </c>
      <c r="C1094" s="150">
        <v>15.94</v>
      </c>
      <c r="D1094" s="140">
        <v>3725.6666666666665</v>
      </c>
      <c r="E1094" s="136">
        <v>59387.126666666663</v>
      </c>
      <c r="F1094" s="62">
        <f>E1094-E1095</f>
        <v>-250748.87333333335</v>
      </c>
    </row>
    <row r="1095" spans="1:6" x14ac:dyDescent="0.2">
      <c r="B1095" s="15" t="s">
        <v>1097</v>
      </c>
      <c r="C1095" s="16">
        <v>2971</v>
      </c>
      <c r="D1095" s="15">
        <v>47</v>
      </c>
      <c r="E1095" s="16">
        <v>310136</v>
      </c>
      <c r="F1095" s="62">
        <f>E1095-E1095</f>
        <v>0</v>
      </c>
    </row>
    <row r="1096" spans="1:6" x14ac:dyDescent="0.15">
      <c r="A1096" t="s">
        <v>882</v>
      </c>
      <c r="B1096" s="137" t="s">
        <v>746</v>
      </c>
      <c r="C1096" s="149">
        <v>15.39</v>
      </c>
      <c r="D1096" s="135">
        <v>264</v>
      </c>
      <c r="E1096" s="136">
        <v>4062.96</v>
      </c>
      <c r="F1096" s="62">
        <f>E1096-E1097</f>
        <v>-21797.040000000001</v>
      </c>
    </row>
    <row r="1097" spans="1:6" x14ac:dyDescent="0.2">
      <c r="B1097" s="15" t="s">
        <v>1152</v>
      </c>
      <c r="C1097" s="16">
        <v>1724</v>
      </c>
      <c r="D1097" s="15">
        <v>15</v>
      </c>
      <c r="E1097" s="16">
        <v>25860</v>
      </c>
      <c r="F1097" s="62">
        <f>E1097-E1097</f>
        <v>0</v>
      </c>
    </row>
    <row r="1098" spans="1:6" x14ac:dyDescent="0.2">
      <c r="A1098" t="s">
        <v>882</v>
      </c>
      <c r="B1098" s="139" t="s">
        <v>615</v>
      </c>
      <c r="C1098" s="150">
        <v>9.1</v>
      </c>
      <c r="D1098" s="140">
        <v>700</v>
      </c>
      <c r="E1098" s="136">
        <v>6370</v>
      </c>
      <c r="F1098" s="62">
        <f>E1098-E1099</f>
        <v>-43680</v>
      </c>
    </row>
    <row r="1099" spans="1:6" x14ac:dyDescent="0.2">
      <c r="B1099" s="15" t="s">
        <v>931</v>
      </c>
      <c r="C1099" s="16">
        <v>4550</v>
      </c>
      <c r="D1099" s="15">
        <v>11</v>
      </c>
      <c r="E1099" s="16">
        <v>50050</v>
      </c>
      <c r="F1099" s="62">
        <f>E1099-E1099</f>
        <v>0</v>
      </c>
    </row>
    <row r="1100" spans="1:6" x14ac:dyDescent="0.2">
      <c r="A1100" t="s">
        <v>882</v>
      </c>
      <c r="B1100" s="139" t="s">
        <v>362</v>
      </c>
      <c r="C1100" s="151">
        <v>89</v>
      </c>
      <c r="D1100" s="140">
        <v>11</v>
      </c>
      <c r="E1100" s="136">
        <v>979</v>
      </c>
      <c r="F1100" s="62">
        <f>E1100-E1101</f>
        <v>-801</v>
      </c>
    </row>
    <row r="1101" spans="1:6" x14ac:dyDescent="0.2">
      <c r="B1101" s="15" t="s">
        <v>1407</v>
      </c>
      <c r="C1101" s="16">
        <v>890</v>
      </c>
      <c r="D1101" s="15">
        <v>2</v>
      </c>
      <c r="E1101" s="16">
        <v>1780</v>
      </c>
      <c r="F1101" s="62">
        <f>E1101-E1101</f>
        <v>0</v>
      </c>
    </row>
    <row r="1102" spans="1:6" x14ac:dyDescent="0.2">
      <c r="A1102" t="s">
        <v>882</v>
      </c>
      <c r="B1102" s="139" t="s">
        <v>485</v>
      </c>
      <c r="C1102" s="150">
        <v>8.64</v>
      </c>
      <c r="D1102" s="135">
        <v>410</v>
      </c>
      <c r="E1102" s="136">
        <v>3542.4</v>
      </c>
      <c r="F1102" s="62">
        <f>E1102-E1103</f>
        <v>-13737.6</v>
      </c>
    </row>
    <row r="1103" spans="1:6" x14ac:dyDescent="0.2">
      <c r="B1103" s="15" t="s">
        <v>1172</v>
      </c>
      <c r="C1103" s="16">
        <v>864</v>
      </c>
      <c r="D1103" s="15">
        <v>20</v>
      </c>
      <c r="E1103" s="16">
        <v>17280</v>
      </c>
      <c r="F1103" s="62">
        <f>E1103-E1103</f>
        <v>0</v>
      </c>
    </row>
    <row r="1104" spans="1:6" x14ac:dyDescent="0.2">
      <c r="A1104" t="s">
        <v>882</v>
      </c>
      <c r="B1104" s="139" t="s">
        <v>427</v>
      </c>
      <c r="C1104" s="150">
        <v>4.96</v>
      </c>
      <c r="D1104" s="140">
        <v>4336.8571428571431</v>
      </c>
      <c r="E1104" s="136">
        <v>21510.811428571429</v>
      </c>
      <c r="F1104" s="62">
        <f>E1104-E1105</f>
        <v>-72729.188571428575</v>
      </c>
    </row>
    <row r="1105" spans="1:6" x14ac:dyDescent="0.2">
      <c r="B1105" s="15" t="s">
        <v>1343</v>
      </c>
      <c r="C1105" s="16">
        <v>4960</v>
      </c>
      <c r="D1105" s="15">
        <v>4</v>
      </c>
      <c r="E1105" s="16">
        <v>94240</v>
      </c>
      <c r="F1105" s="62">
        <f>E1105-E1105</f>
        <v>0</v>
      </c>
    </row>
    <row r="1106" spans="1:6" x14ac:dyDescent="0.2">
      <c r="A1106" t="s">
        <v>882</v>
      </c>
      <c r="B1106" s="143" t="s">
        <v>525</v>
      </c>
      <c r="C1106" s="150">
        <v>77.599999999999994</v>
      </c>
      <c r="D1106" s="135">
        <v>31</v>
      </c>
      <c r="E1106" s="136">
        <v>2405.6</v>
      </c>
      <c r="F1106" s="62">
        <f>E1106-E1107</f>
        <v>-12494.4</v>
      </c>
    </row>
    <row r="1107" spans="1:6" x14ac:dyDescent="0.2">
      <c r="B1107" s="15" t="s">
        <v>1432</v>
      </c>
      <c r="C1107" s="16">
        <v>3725</v>
      </c>
      <c r="D1107" s="15">
        <v>4</v>
      </c>
      <c r="E1107" s="16">
        <v>14900</v>
      </c>
      <c r="F1107" s="62">
        <f>E1107-E1107</f>
        <v>0</v>
      </c>
    </row>
    <row r="1108" spans="1:6" x14ac:dyDescent="0.2">
      <c r="A1108" t="s">
        <v>882</v>
      </c>
      <c r="B1108" s="139" t="s">
        <v>486</v>
      </c>
      <c r="C1108" s="150">
        <v>8.16</v>
      </c>
      <c r="D1108" s="135">
        <v>666.66666666666663</v>
      </c>
      <c r="E1108" s="136">
        <v>5440</v>
      </c>
      <c r="F1108" s="62">
        <f>E1108-E1109</f>
        <v>-112880</v>
      </c>
    </row>
    <row r="1109" spans="1:6" x14ac:dyDescent="0.2">
      <c r="B1109" s="15" t="s">
        <v>1420</v>
      </c>
      <c r="C1109" s="16">
        <v>4080</v>
      </c>
      <c r="D1109" s="15">
        <v>29</v>
      </c>
      <c r="E1109" s="16">
        <v>118320</v>
      </c>
      <c r="F1109" s="62">
        <f>E1109-E1109</f>
        <v>0</v>
      </c>
    </row>
    <row r="1110" spans="1:6" x14ac:dyDescent="0.2">
      <c r="A1110" t="s">
        <v>882</v>
      </c>
      <c r="B1110" s="139" t="s">
        <v>288</v>
      </c>
      <c r="C1110" s="150">
        <v>797.3</v>
      </c>
      <c r="D1110" s="135">
        <v>3</v>
      </c>
      <c r="E1110" s="136">
        <v>2391.8999999999996</v>
      </c>
      <c r="F1110" s="62">
        <f>E1110-E1111</f>
        <v>-5581.1</v>
      </c>
    </row>
    <row r="1111" spans="1:6" x14ac:dyDescent="0.2">
      <c r="B1111" s="15" t="s">
        <v>1229</v>
      </c>
      <c r="C1111" s="16">
        <v>7973</v>
      </c>
      <c r="D1111" s="15">
        <v>1</v>
      </c>
      <c r="E1111" s="16">
        <v>7973</v>
      </c>
      <c r="F1111" s="62">
        <f>E1111-E1111</f>
        <v>0</v>
      </c>
    </row>
    <row r="1112" spans="1:6" x14ac:dyDescent="0.15">
      <c r="A1112" t="s">
        <v>882</v>
      </c>
      <c r="B1112" s="137" t="s">
        <v>598</v>
      </c>
      <c r="C1112" s="149">
        <v>63.33</v>
      </c>
      <c r="D1112" s="140">
        <v>1805</v>
      </c>
      <c r="E1112" s="136">
        <v>114310.65</v>
      </c>
      <c r="F1112" s="62">
        <f>E1112-E1113</f>
        <v>-828286.35</v>
      </c>
    </row>
    <row r="1113" spans="1:6" x14ac:dyDescent="0.15">
      <c r="B1113" s="15" t="s">
        <v>1120</v>
      </c>
      <c r="C1113" s="152"/>
      <c r="D1113" s="99"/>
      <c r="E1113" s="122">
        <v>942597</v>
      </c>
      <c r="F1113" s="62">
        <f>E1113-E1113</f>
        <v>0</v>
      </c>
    </row>
    <row r="1114" spans="1:6" x14ac:dyDescent="0.15">
      <c r="A1114" t="s">
        <v>882</v>
      </c>
      <c r="B1114" s="137" t="s">
        <v>599</v>
      </c>
      <c r="C1114" s="149">
        <v>20.57</v>
      </c>
      <c r="D1114" s="140">
        <v>1437</v>
      </c>
      <c r="E1114" s="136">
        <v>29559.09</v>
      </c>
      <c r="F1114" s="62">
        <f>E1114-E1115</f>
        <v>-702815.91</v>
      </c>
    </row>
    <row r="1115" spans="1:6" x14ac:dyDescent="0.2">
      <c r="B1115" s="15" t="s">
        <v>1121</v>
      </c>
      <c r="C1115" s="16">
        <v>1152</v>
      </c>
      <c r="D1115" s="15">
        <v>9</v>
      </c>
      <c r="E1115" s="16">
        <v>732375</v>
      </c>
      <c r="F1115" s="62">
        <f>E1115-E1115</f>
        <v>0</v>
      </c>
    </row>
    <row r="1116" spans="1:6" x14ac:dyDescent="0.15">
      <c r="A1116" t="s">
        <v>882</v>
      </c>
      <c r="B1116" s="137" t="s">
        <v>853</v>
      </c>
      <c r="C1116" s="149">
        <v>7.63</v>
      </c>
      <c r="D1116" s="135">
        <v>194</v>
      </c>
      <c r="E1116" s="136">
        <v>1480.22</v>
      </c>
      <c r="F1116" s="62">
        <f>E1116-E1117</f>
        <v>-2334.7799999999997</v>
      </c>
    </row>
    <row r="1117" spans="1:6" x14ac:dyDescent="0.2">
      <c r="B1117" s="15" t="s">
        <v>1159</v>
      </c>
      <c r="C1117" s="16">
        <v>763</v>
      </c>
      <c r="D1117" s="15">
        <v>5</v>
      </c>
      <c r="E1117" s="16">
        <v>3815</v>
      </c>
      <c r="F1117" s="62">
        <f>E1117-E1117</f>
        <v>0</v>
      </c>
    </row>
    <row r="1118" spans="1:6" x14ac:dyDescent="0.2">
      <c r="A1118" t="s">
        <v>882</v>
      </c>
      <c r="B1118" s="141" t="s">
        <v>413</v>
      </c>
      <c r="C1118" s="150">
        <v>8.9</v>
      </c>
      <c r="D1118" s="135">
        <v>144</v>
      </c>
      <c r="E1118" s="136">
        <v>1281.6000000000001</v>
      </c>
      <c r="F1118" s="62">
        <f>E1118-E1119</f>
        <v>-2278.3999999999996</v>
      </c>
    </row>
    <row r="1119" spans="1:6" x14ac:dyDescent="0.2">
      <c r="B1119" s="15" t="s">
        <v>1433</v>
      </c>
      <c r="C1119" s="16">
        <v>890</v>
      </c>
      <c r="D1119" s="15">
        <v>4</v>
      </c>
      <c r="E1119" s="16">
        <v>3560</v>
      </c>
      <c r="F1119" s="62">
        <f>E1119-E1119</f>
        <v>0</v>
      </c>
    </row>
    <row r="1120" spans="1:6" x14ac:dyDescent="0.2">
      <c r="A1120" t="s">
        <v>882</v>
      </c>
      <c r="B1120" s="137" t="s">
        <v>688</v>
      </c>
      <c r="C1120" s="155">
        <v>9.4</v>
      </c>
      <c r="D1120" s="140">
        <v>189</v>
      </c>
      <c r="E1120" s="136">
        <v>1776.6000000000001</v>
      </c>
      <c r="F1120" s="62">
        <f>E1120-E1121</f>
        <v>-39128.400000000001</v>
      </c>
    </row>
    <row r="1121" spans="1:6" x14ac:dyDescent="0.2">
      <c r="B1121" s="15" t="s">
        <v>1272</v>
      </c>
      <c r="C1121" s="16">
        <v>909</v>
      </c>
      <c r="D1121" s="15">
        <v>45</v>
      </c>
      <c r="E1121" s="16">
        <v>40905</v>
      </c>
      <c r="F1121" s="62">
        <f>E1121-E1121</f>
        <v>0</v>
      </c>
    </row>
    <row r="1122" spans="1:6" x14ac:dyDescent="0.15">
      <c r="A1122" t="s">
        <v>882</v>
      </c>
      <c r="B1122" s="137" t="s">
        <v>740</v>
      </c>
      <c r="C1122" s="149">
        <v>8.3000000000000007</v>
      </c>
      <c r="D1122" s="140">
        <v>3117</v>
      </c>
      <c r="E1122" s="136">
        <v>25871.100000000002</v>
      </c>
      <c r="F1122" s="62">
        <f>E1122-E1123</f>
        <v>-409878.9</v>
      </c>
    </row>
    <row r="1123" spans="1:6" x14ac:dyDescent="0.2">
      <c r="B1123" s="15" t="s">
        <v>1273</v>
      </c>
      <c r="E1123" s="9">
        <v>435750</v>
      </c>
      <c r="F1123" s="62">
        <f>E1123-E1123</f>
        <v>0</v>
      </c>
    </row>
    <row r="1124" spans="1:6" x14ac:dyDescent="0.2">
      <c r="A1124" t="s">
        <v>882</v>
      </c>
      <c r="B1124" s="137" t="s">
        <v>477</v>
      </c>
      <c r="C1124" s="149">
        <v>56.17</v>
      </c>
      <c r="D1124" s="138">
        <v>172</v>
      </c>
      <c r="E1124" s="136">
        <v>9661.24</v>
      </c>
      <c r="F1124" s="62">
        <f>E1124-E1125</f>
        <v>-490251.76</v>
      </c>
    </row>
    <row r="1125" spans="1:6" x14ac:dyDescent="0.2">
      <c r="B1125" s="15" t="s">
        <v>1261</v>
      </c>
      <c r="C1125" s="16">
        <v>5617</v>
      </c>
      <c r="D1125" s="15">
        <v>89</v>
      </c>
      <c r="E1125" s="16">
        <v>499913</v>
      </c>
      <c r="F1125" s="62">
        <f>E1125-E1125</f>
        <v>0</v>
      </c>
    </row>
    <row r="1126" spans="1:6" x14ac:dyDescent="0.2">
      <c r="A1126" t="s">
        <v>882</v>
      </c>
      <c r="B1126" s="139" t="s">
        <v>221</v>
      </c>
      <c r="C1126" s="150">
        <v>8.07</v>
      </c>
      <c r="D1126" s="140">
        <v>350</v>
      </c>
      <c r="E1126" s="136">
        <v>2824.5</v>
      </c>
      <c r="F1126" s="62">
        <f>E1126-E1127</f>
        <v>-10087.5</v>
      </c>
    </row>
    <row r="1127" spans="1:6" x14ac:dyDescent="0.2">
      <c r="B1127" s="15" t="s">
        <v>932</v>
      </c>
      <c r="C1127" s="16">
        <v>807</v>
      </c>
      <c r="D1127" s="15">
        <v>16</v>
      </c>
      <c r="E1127" s="16">
        <v>12912</v>
      </c>
      <c r="F1127" s="62">
        <f>E1127-E1127</f>
        <v>0</v>
      </c>
    </row>
    <row r="1128" spans="1:6" x14ac:dyDescent="0.15">
      <c r="A1128" t="s">
        <v>882</v>
      </c>
      <c r="B1128" s="137" t="s">
        <v>220</v>
      </c>
      <c r="C1128" s="149">
        <v>6.47</v>
      </c>
      <c r="D1128" s="140">
        <v>654.78260869565224</v>
      </c>
      <c r="E1128" s="136">
        <v>4236.4434782608696</v>
      </c>
      <c r="F1128" s="62">
        <f>E1128-E1129</f>
        <v>-17523.55652173913</v>
      </c>
    </row>
    <row r="1129" spans="1:6" x14ac:dyDescent="0.2">
      <c r="B1129" s="15" t="s">
        <v>1219</v>
      </c>
      <c r="C1129" s="16">
        <v>1360</v>
      </c>
      <c r="D1129" s="15">
        <v>16</v>
      </c>
      <c r="E1129" s="16">
        <v>21760</v>
      </c>
      <c r="F1129" s="62">
        <f>E1129-E1129</f>
        <v>0</v>
      </c>
    </row>
    <row r="1130" spans="1:6" x14ac:dyDescent="0.2">
      <c r="A1130" t="s">
        <v>882</v>
      </c>
      <c r="B1130" s="137" t="s">
        <v>754</v>
      </c>
      <c r="C1130" s="151">
        <v>2227</v>
      </c>
      <c r="D1130" s="140">
        <v>1</v>
      </c>
      <c r="E1130" s="136">
        <v>2227</v>
      </c>
      <c r="F1130" s="62">
        <f>E1130-E1131</f>
        <v>-91307</v>
      </c>
    </row>
    <row r="1131" spans="1:6" x14ac:dyDescent="0.2">
      <c r="B1131" s="15" t="s">
        <v>1262</v>
      </c>
      <c r="C1131" s="16">
        <v>2227</v>
      </c>
      <c r="D1131" s="15">
        <v>42</v>
      </c>
      <c r="E1131" s="16">
        <v>93534</v>
      </c>
      <c r="F1131" s="62">
        <f>E1131-E1131</f>
        <v>0</v>
      </c>
    </row>
    <row r="1132" spans="1:6" x14ac:dyDescent="0.2">
      <c r="A1132" t="s">
        <v>882</v>
      </c>
      <c r="B1132" s="139" t="s">
        <v>860</v>
      </c>
      <c r="C1132" s="150">
        <v>77149</v>
      </c>
      <c r="D1132" s="135">
        <v>1</v>
      </c>
      <c r="E1132" s="136">
        <v>77149</v>
      </c>
      <c r="F1132" s="62">
        <f>E1132-E1133</f>
        <v>-8717837</v>
      </c>
    </row>
    <row r="1133" spans="1:6" x14ac:dyDescent="0.2">
      <c r="B1133" s="15" t="s">
        <v>1482</v>
      </c>
      <c r="C1133" s="16">
        <v>77149</v>
      </c>
      <c r="D1133" s="15">
        <v>114</v>
      </c>
      <c r="E1133" s="16">
        <v>8794986</v>
      </c>
      <c r="F1133" s="62">
        <f>E1133-E1133</f>
        <v>0</v>
      </c>
    </row>
    <row r="1134" spans="1:6" x14ac:dyDescent="0.2">
      <c r="A1134" t="s">
        <v>882</v>
      </c>
      <c r="B1134" s="137" t="s">
        <v>531</v>
      </c>
      <c r="C1134" s="150">
        <v>192</v>
      </c>
      <c r="D1134" s="140">
        <v>120</v>
      </c>
      <c r="E1134" s="136">
        <v>23040</v>
      </c>
      <c r="F1134" s="62">
        <f>E1134-E1135</f>
        <v>-1245696</v>
      </c>
    </row>
    <row r="1135" spans="1:6" x14ac:dyDescent="0.2">
      <c r="B1135" s="15" t="s">
        <v>1365</v>
      </c>
      <c r="C1135" s="150"/>
      <c r="D1135" s="140"/>
      <c r="E1135" s="136">
        <v>1268736</v>
      </c>
      <c r="F1135" s="62">
        <f>E1135-E1135</f>
        <v>0</v>
      </c>
    </row>
    <row r="1136" spans="1:6" x14ac:dyDescent="0.2">
      <c r="A1136" t="s">
        <v>882</v>
      </c>
      <c r="B1136" s="137" t="s">
        <v>532</v>
      </c>
      <c r="C1136" s="150">
        <v>192</v>
      </c>
      <c r="D1136" s="140">
        <v>68</v>
      </c>
      <c r="E1136" s="136">
        <v>13056</v>
      </c>
      <c r="F1136" s="62">
        <f>E1136-E1137</f>
        <v>-406272</v>
      </c>
    </row>
    <row r="1137" spans="1:6" x14ac:dyDescent="0.2">
      <c r="B1137" s="15" t="s">
        <v>1366</v>
      </c>
      <c r="C1137" s="16">
        <v>5376</v>
      </c>
      <c r="D1137" s="15">
        <v>78</v>
      </c>
      <c r="E1137" s="16">
        <v>419328</v>
      </c>
      <c r="F1137" s="62">
        <f>E1137-E1137</f>
        <v>0</v>
      </c>
    </row>
    <row r="1138" spans="1:6" x14ac:dyDescent="0.2">
      <c r="A1138" t="s">
        <v>882</v>
      </c>
      <c r="B1138" s="137" t="s">
        <v>823</v>
      </c>
      <c r="C1138" s="150">
        <v>288</v>
      </c>
      <c r="D1138" s="140">
        <v>9</v>
      </c>
      <c r="E1138" s="136">
        <v>2592</v>
      </c>
      <c r="F1138" s="62">
        <f>E1138-E1139</f>
        <v>-127008</v>
      </c>
    </row>
    <row r="1139" spans="1:6" x14ac:dyDescent="0.2">
      <c r="B1139" s="15" t="s">
        <v>1367</v>
      </c>
      <c r="C1139" s="16">
        <v>5184</v>
      </c>
      <c r="D1139" s="15">
        <v>25</v>
      </c>
      <c r="E1139" s="16">
        <v>129600</v>
      </c>
      <c r="F1139" s="62">
        <f>E1139-E1139</f>
        <v>0</v>
      </c>
    </row>
    <row r="1140" spans="1:6" x14ac:dyDescent="0.2">
      <c r="A1140" t="s">
        <v>882</v>
      </c>
      <c r="B1140" s="139" t="s">
        <v>816</v>
      </c>
      <c r="C1140" s="150">
        <v>3531</v>
      </c>
      <c r="D1140" s="140">
        <v>6</v>
      </c>
      <c r="E1140" s="136">
        <v>21186</v>
      </c>
      <c r="F1140" s="62">
        <f>E1140-E1141</f>
        <v>-173019</v>
      </c>
    </row>
    <row r="1141" spans="1:6" x14ac:dyDescent="0.2">
      <c r="B1141" s="15" t="s">
        <v>1472</v>
      </c>
      <c r="C1141" s="16">
        <v>3531</v>
      </c>
      <c r="D1141" s="15">
        <v>55</v>
      </c>
      <c r="E1141" s="16">
        <v>194205</v>
      </c>
      <c r="F1141" s="62">
        <f>E1141-E1141</f>
        <v>0</v>
      </c>
    </row>
    <row r="1142" spans="1:6" x14ac:dyDescent="0.15">
      <c r="A1142" t="s">
        <v>882</v>
      </c>
      <c r="B1142" s="145" t="s">
        <v>789</v>
      </c>
      <c r="C1142" s="149">
        <v>379.5</v>
      </c>
      <c r="D1142" s="135">
        <v>8</v>
      </c>
      <c r="E1142" s="136">
        <v>3036</v>
      </c>
      <c r="F1142" s="62">
        <f>E1142-E1143</f>
        <v>-8349</v>
      </c>
    </row>
    <row r="1143" spans="1:6" x14ac:dyDescent="0.2">
      <c r="B1143" s="15" t="s">
        <v>1153</v>
      </c>
      <c r="C1143" s="16">
        <v>3795</v>
      </c>
      <c r="D1143" s="15">
        <v>3</v>
      </c>
      <c r="E1143" s="16">
        <v>11385</v>
      </c>
      <c r="F1143" s="62">
        <f>E1143-E1143</f>
        <v>0</v>
      </c>
    </row>
    <row r="1144" spans="1:6" x14ac:dyDescent="0.2">
      <c r="A1144" t="s">
        <v>882</v>
      </c>
      <c r="B1144" s="139" t="s">
        <v>738</v>
      </c>
      <c r="C1144" s="150">
        <v>143.27000000000001</v>
      </c>
      <c r="D1144" s="140">
        <v>476</v>
      </c>
      <c r="E1144" s="136">
        <v>68196.52</v>
      </c>
      <c r="F1144" s="62">
        <f>E1144-E1145</f>
        <v>-920369.48</v>
      </c>
    </row>
    <row r="1145" spans="1:6" x14ac:dyDescent="0.2">
      <c r="B1145" s="15" t="s">
        <v>1050</v>
      </c>
      <c r="C1145" s="150"/>
      <c r="D1145" s="140"/>
      <c r="E1145" s="136">
        <v>988566</v>
      </c>
      <c r="F1145" s="62">
        <f>E1145-E1145</f>
        <v>0</v>
      </c>
    </row>
    <row r="1146" spans="1:6" x14ac:dyDescent="0.2">
      <c r="A1146" t="s">
        <v>882</v>
      </c>
      <c r="B1146" s="139" t="s">
        <v>739</v>
      </c>
      <c r="C1146" s="150">
        <v>265.98</v>
      </c>
      <c r="D1146" s="140">
        <v>2171.4705882352941</v>
      </c>
      <c r="E1146" s="136">
        <v>577567.74705882359</v>
      </c>
      <c r="F1146" s="62">
        <f>E1146-E1147</f>
        <v>-2029038.2529411763</v>
      </c>
    </row>
    <row r="1147" spans="1:6" x14ac:dyDescent="0.2">
      <c r="B1147" s="15" t="s">
        <v>1051</v>
      </c>
      <c r="C1147" s="16">
        <v>26598</v>
      </c>
      <c r="D1147" s="15">
        <v>93</v>
      </c>
      <c r="E1147" s="16">
        <v>2606606</v>
      </c>
      <c r="F1147" s="62">
        <f>E1147-E1147</f>
        <v>0</v>
      </c>
    </row>
    <row r="1148" spans="1:6" x14ac:dyDescent="0.2">
      <c r="A1148" t="s">
        <v>882</v>
      </c>
      <c r="B1148" s="139" t="s">
        <v>374</v>
      </c>
      <c r="C1148" s="151">
        <v>5639</v>
      </c>
      <c r="D1148" s="140">
        <v>1</v>
      </c>
      <c r="E1148" s="136">
        <v>5639</v>
      </c>
      <c r="F1148" s="62">
        <f>E1148-E1149</f>
        <v>5639</v>
      </c>
    </row>
    <row r="1149" spans="1:6" x14ac:dyDescent="0.2">
      <c r="B1149" s="17"/>
      <c r="C1149" s="171"/>
      <c r="D1149" s="99"/>
      <c r="E1149" s="122"/>
      <c r="F1149" s="62">
        <f>E1149-E1149</f>
        <v>0</v>
      </c>
    </row>
    <row r="1150" spans="1:6" x14ac:dyDescent="0.2">
      <c r="A1150" t="s">
        <v>882</v>
      </c>
      <c r="B1150" s="139" t="s">
        <v>600</v>
      </c>
      <c r="C1150" s="150">
        <v>16.43</v>
      </c>
      <c r="D1150" s="140">
        <v>1066.1428571428573</v>
      </c>
      <c r="E1150" s="136">
        <v>17516.727142857148</v>
      </c>
      <c r="F1150" s="62">
        <f>E1150-E1151</f>
        <v>-363659.27285714285</v>
      </c>
    </row>
    <row r="1151" spans="1:6" x14ac:dyDescent="0.2">
      <c r="B1151" s="15" t="s">
        <v>1122</v>
      </c>
      <c r="C1151" s="16">
        <v>1643</v>
      </c>
      <c r="D1151" s="15">
        <v>31</v>
      </c>
      <c r="E1151" s="16">
        <v>381176</v>
      </c>
      <c r="F1151" s="62">
        <f>E1151-E1151</f>
        <v>0</v>
      </c>
    </row>
    <row r="1152" spans="1:6" x14ac:dyDescent="0.15">
      <c r="A1152" t="s">
        <v>882</v>
      </c>
      <c r="B1152" s="137" t="s">
        <v>601</v>
      </c>
      <c r="C1152" s="149">
        <v>26.72</v>
      </c>
      <c r="D1152" s="140">
        <v>468</v>
      </c>
      <c r="E1152" s="136">
        <v>12504.96</v>
      </c>
      <c r="F1152" s="62">
        <f>E1152-E1153</f>
        <v>-99725.040000000008</v>
      </c>
    </row>
    <row r="1153" spans="1:6" x14ac:dyDescent="0.2">
      <c r="B1153" s="15" t="s">
        <v>955</v>
      </c>
      <c r="C1153" s="16">
        <v>3741</v>
      </c>
      <c r="D1153" s="15">
        <v>30</v>
      </c>
      <c r="E1153" s="16">
        <v>112230</v>
      </c>
      <c r="F1153" s="62">
        <f>E1153-E1153</f>
        <v>0</v>
      </c>
    </row>
    <row r="1154" spans="1:6" x14ac:dyDescent="0.15">
      <c r="A1154" t="s">
        <v>882</v>
      </c>
      <c r="B1154" s="137" t="s">
        <v>602</v>
      </c>
      <c r="C1154" s="149">
        <v>10.78</v>
      </c>
      <c r="D1154" s="140">
        <v>350</v>
      </c>
      <c r="E1154" s="136">
        <v>3773</v>
      </c>
      <c r="F1154" s="62">
        <f>E1154-E1155</f>
        <v>-8307</v>
      </c>
    </row>
    <row r="1155" spans="1:6" x14ac:dyDescent="0.2">
      <c r="B1155" s="15" t="s">
        <v>956</v>
      </c>
      <c r="C1155" s="16">
        <v>1510</v>
      </c>
      <c r="D1155" s="15">
        <v>8</v>
      </c>
      <c r="E1155" s="16">
        <v>12080</v>
      </c>
      <c r="F1155" s="62">
        <f>E1155-E1155</f>
        <v>0</v>
      </c>
    </row>
    <row r="1156" spans="1:6" x14ac:dyDescent="0.2">
      <c r="A1156" t="s">
        <v>882</v>
      </c>
      <c r="B1156" s="139" t="s">
        <v>222</v>
      </c>
      <c r="C1156" s="150">
        <v>9.92</v>
      </c>
      <c r="D1156" s="140">
        <v>983.33333333333337</v>
      </c>
      <c r="E1156" s="136">
        <v>9754.6666666666679</v>
      </c>
      <c r="F1156" s="62">
        <f>E1156-E1157</f>
        <v>-401925.33333333331</v>
      </c>
    </row>
    <row r="1157" spans="1:6" x14ac:dyDescent="0.2">
      <c r="B1157" s="15" t="s">
        <v>1250</v>
      </c>
      <c r="C1157" s="16">
        <v>4960</v>
      </c>
      <c r="D1157" s="15">
        <v>3</v>
      </c>
      <c r="E1157" s="16">
        <v>411680</v>
      </c>
      <c r="F1157" s="62">
        <f>E1157-E1157</f>
        <v>0</v>
      </c>
    </row>
    <row r="1158" spans="1:6" x14ac:dyDescent="0.2">
      <c r="A1158" t="s">
        <v>882</v>
      </c>
      <c r="B1158" s="139" t="s">
        <v>817</v>
      </c>
      <c r="C1158" s="151">
        <v>975</v>
      </c>
      <c r="D1158" s="140">
        <v>2</v>
      </c>
      <c r="E1158" s="136">
        <v>1950</v>
      </c>
      <c r="F1158" s="62">
        <f>E1158-E1159</f>
        <v>-5850</v>
      </c>
    </row>
    <row r="1159" spans="1:6" x14ac:dyDescent="0.2">
      <c r="B1159" s="15" t="s">
        <v>1292</v>
      </c>
      <c r="C1159" s="16">
        <v>1950</v>
      </c>
      <c r="D1159" s="15">
        <v>4</v>
      </c>
      <c r="E1159" s="16">
        <v>7800</v>
      </c>
      <c r="F1159" s="62">
        <f>E1159-E1159</f>
        <v>0</v>
      </c>
    </row>
    <row r="1160" spans="1:6" x14ac:dyDescent="0.2">
      <c r="A1160" t="s">
        <v>882</v>
      </c>
      <c r="B1160" s="139" t="s">
        <v>547</v>
      </c>
      <c r="C1160" s="150">
        <v>146.6</v>
      </c>
      <c r="D1160" s="135">
        <v>40</v>
      </c>
      <c r="E1160" s="136">
        <v>5864</v>
      </c>
      <c r="F1160" s="62">
        <f>E1160-E1161</f>
        <v>5864</v>
      </c>
    </row>
    <row r="1161" spans="1:6" x14ac:dyDescent="0.2">
      <c r="B1161" s="17"/>
      <c r="C1161" s="154"/>
      <c r="D1161" s="147"/>
      <c r="E1161" s="122"/>
      <c r="F1161" s="62">
        <f>E1161-E1161</f>
        <v>0</v>
      </c>
    </row>
    <row r="1162" spans="1:6" x14ac:dyDescent="0.15">
      <c r="A1162" t="s">
        <v>882</v>
      </c>
      <c r="B1162" s="137" t="s">
        <v>223</v>
      </c>
      <c r="C1162" s="149">
        <v>5.63</v>
      </c>
      <c r="D1162" s="140">
        <v>925.11111111111109</v>
      </c>
      <c r="E1162" s="136">
        <v>5208.3755555555554</v>
      </c>
      <c r="F1162" s="62">
        <f>E1162-E1163</f>
        <v>-13370.624444444446</v>
      </c>
    </row>
    <row r="1163" spans="1:6" x14ac:dyDescent="0.2">
      <c r="B1163" s="15" t="s">
        <v>933</v>
      </c>
      <c r="C1163" s="16">
        <v>563</v>
      </c>
      <c r="D1163" s="15">
        <v>33</v>
      </c>
      <c r="E1163" s="16">
        <v>18579</v>
      </c>
      <c r="F1163" s="62">
        <f>E1163-E1163</f>
        <v>0</v>
      </c>
    </row>
    <row r="1164" spans="1:6" x14ac:dyDescent="0.2">
      <c r="A1164" t="s">
        <v>882</v>
      </c>
      <c r="B1164" s="141" t="s">
        <v>415</v>
      </c>
      <c r="C1164" s="150">
        <v>9.8000000000000007</v>
      </c>
      <c r="D1164" s="135">
        <v>367</v>
      </c>
      <c r="E1164" s="136">
        <v>3596.6000000000004</v>
      </c>
      <c r="F1164" s="62">
        <f>E1164-E1165</f>
        <v>-25803.4</v>
      </c>
    </row>
    <row r="1165" spans="1:6" x14ac:dyDescent="0.2">
      <c r="B1165" s="15" t="s">
        <v>1136</v>
      </c>
      <c r="C1165" s="16">
        <v>980</v>
      </c>
      <c r="D1165" s="15">
        <v>30</v>
      </c>
      <c r="E1165" s="16">
        <v>29400</v>
      </c>
      <c r="F1165" s="62">
        <f>E1165-E1165</f>
        <v>0</v>
      </c>
    </row>
    <row r="1166" spans="1:6" x14ac:dyDescent="0.2">
      <c r="A1166" t="s">
        <v>882</v>
      </c>
      <c r="B1166" s="139" t="s">
        <v>603</v>
      </c>
      <c r="C1166" s="150">
        <v>357.42</v>
      </c>
      <c r="D1166" s="135">
        <v>755.55555555555554</v>
      </c>
      <c r="E1166" s="136">
        <v>270050.66666666669</v>
      </c>
      <c r="F1166" s="62">
        <f>E1166-E1167</f>
        <v>-2303373.3333333335</v>
      </c>
    </row>
    <row r="1167" spans="1:6" x14ac:dyDescent="0.2">
      <c r="B1167" s="15" t="s">
        <v>1394</v>
      </c>
      <c r="C1167" s="16">
        <v>35742</v>
      </c>
      <c r="D1167" s="15">
        <v>72</v>
      </c>
      <c r="E1167" s="16">
        <v>2573424</v>
      </c>
      <c r="F1167" s="62">
        <f>E1167-E1167</f>
        <v>0</v>
      </c>
    </row>
    <row r="1168" spans="1:6" x14ac:dyDescent="0.2">
      <c r="A1168" t="s">
        <v>882</v>
      </c>
      <c r="B1168" s="139" t="s">
        <v>818</v>
      </c>
      <c r="C1168" s="150">
        <v>20572</v>
      </c>
      <c r="D1168" s="140">
        <v>1</v>
      </c>
      <c r="E1168" s="136">
        <v>20572</v>
      </c>
      <c r="F1168" s="62">
        <f>E1168-E1169</f>
        <v>-411440</v>
      </c>
    </row>
    <row r="1169" spans="1:6" x14ac:dyDescent="0.2">
      <c r="B1169" s="15" t="s">
        <v>1052</v>
      </c>
      <c r="C1169" s="16">
        <v>20572</v>
      </c>
      <c r="D1169" s="15">
        <v>21</v>
      </c>
      <c r="E1169" s="16">
        <v>432012</v>
      </c>
      <c r="F1169" s="62">
        <f>E1169-E1169</f>
        <v>0</v>
      </c>
    </row>
    <row r="1170" spans="1:6" x14ac:dyDescent="0.2">
      <c r="A1170" t="s">
        <v>882</v>
      </c>
      <c r="B1170" s="139" t="s">
        <v>819</v>
      </c>
      <c r="C1170" s="150">
        <v>27073</v>
      </c>
      <c r="D1170" s="140">
        <v>1</v>
      </c>
      <c r="E1170" s="136">
        <v>27073</v>
      </c>
      <c r="F1170" s="62">
        <f>E1170-E1171</f>
        <v>-162438</v>
      </c>
    </row>
    <row r="1171" spans="1:6" x14ac:dyDescent="0.2">
      <c r="B1171" s="15" t="s">
        <v>1053</v>
      </c>
      <c r="C1171" s="16">
        <v>27073</v>
      </c>
      <c r="D1171" s="15">
        <v>7</v>
      </c>
      <c r="E1171" s="16">
        <v>189511</v>
      </c>
      <c r="F1171" s="62">
        <f>E1171-E1171</f>
        <v>0</v>
      </c>
    </row>
    <row r="1172" spans="1:6" x14ac:dyDescent="0.2">
      <c r="A1172" t="s">
        <v>882</v>
      </c>
      <c r="B1172" s="139" t="s">
        <v>820</v>
      </c>
      <c r="C1172" s="150">
        <v>32902</v>
      </c>
      <c r="D1172" s="140">
        <v>3</v>
      </c>
      <c r="E1172" s="136">
        <v>98706</v>
      </c>
      <c r="F1172" s="62">
        <f>E1172-E1173</f>
        <v>-4704986</v>
      </c>
    </row>
    <row r="1173" spans="1:6" x14ac:dyDescent="0.2">
      <c r="B1173" s="15" t="s">
        <v>1054</v>
      </c>
      <c r="E1173" s="9">
        <v>4803692</v>
      </c>
      <c r="F1173" s="62">
        <f>E1173-E1173</f>
        <v>0</v>
      </c>
    </row>
    <row r="1174" spans="1:6" x14ac:dyDescent="0.2">
      <c r="A1174" t="s">
        <v>882</v>
      </c>
      <c r="B1174" s="137" t="s">
        <v>871</v>
      </c>
      <c r="C1174" s="149">
        <v>16.68</v>
      </c>
      <c r="D1174" s="138">
        <v>221</v>
      </c>
      <c r="E1174" s="136">
        <v>3686.2799999999997</v>
      </c>
      <c r="F1174" s="62">
        <f>E1174-E1175</f>
        <v>-17163.72</v>
      </c>
    </row>
    <row r="1175" spans="1:6" x14ac:dyDescent="0.2">
      <c r="B1175" s="15" t="s">
        <v>1058</v>
      </c>
      <c r="C1175" s="16">
        <v>834</v>
      </c>
      <c r="D1175" s="15">
        <v>25</v>
      </c>
      <c r="E1175" s="16">
        <v>20850</v>
      </c>
      <c r="F1175" s="62">
        <f>E1175-E1175</f>
        <v>0</v>
      </c>
    </row>
    <row r="1176" spans="1:6" x14ac:dyDescent="0.2">
      <c r="A1176" t="s">
        <v>882</v>
      </c>
      <c r="B1176" s="137" t="s">
        <v>872</v>
      </c>
      <c r="C1176" s="149">
        <v>32.68</v>
      </c>
      <c r="D1176" s="138">
        <v>259</v>
      </c>
      <c r="E1176" s="136">
        <v>8464.1200000000008</v>
      </c>
      <c r="F1176" s="62">
        <f>E1176-E1177</f>
        <v>-94477.88</v>
      </c>
    </row>
    <row r="1177" spans="1:6" x14ac:dyDescent="0.2">
      <c r="B1177" s="15" t="s">
        <v>1059</v>
      </c>
      <c r="C1177" s="16">
        <v>1634</v>
      </c>
      <c r="D1177" s="15">
        <v>63</v>
      </c>
      <c r="E1177" s="16">
        <v>102942</v>
      </c>
      <c r="F1177" s="62">
        <f>E1177-E1177</f>
        <v>0</v>
      </c>
    </row>
    <row r="1178" spans="1:6" x14ac:dyDescent="0.2">
      <c r="A1178" t="s">
        <v>882</v>
      </c>
      <c r="B1178" s="142" t="s">
        <v>31</v>
      </c>
      <c r="C1178" s="155">
        <v>88.41</v>
      </c>
      <c r="D1178" s="140">
        <v>78</v>
      </c>
      <c r="E1178" s="136">
        <v>6895.98</v>
      </c>
      <c r="F1178" s="62">
        <f>E1178-E1179</f>
        <v>-169924.02</v>
      </c>
    </row>
    <row r="1179" spans="1:6" x14ac:dyDescent="0.2">
      <c r="B1179" s="15" t="s">
        <v>31</v>
      </c>
      <c r="C1179" s="16">
        <v>8841</v>
      </c>
      <c r="D1179" s="15">
        <v>20</v>
      </c>
      <c r="E1179" s="16">
        <v>176820</v>
      </c>
      <c r="F1179" s="62">
        <f>E1179-E1179</f>
        <v>0</v>
      </c>
    </row>
    <row r="1180" spans="1:6" x14ac:dyDescent="0.2">
      <c r="A1180" t="s">
        <v>882</v>
      </c>
      <c r="B1180" s="139" t="s">
        <v>224</v>
      </c>
      <c r="C1180" s="150">
        <v>12.37</v>
      </c>
      <c r="D1180" s="140">
        <v>2105</v>
      </c>
      <c r="E1180" s="136">
        <v>26038.85</v>
      </c>
      <c r="F1180" s="62">
        <f>E1180-E1181</f>
        <v>-44874.15</v>
      </c>
    </row>
    <row r="1181" spans="1:6" x14ac:dyDescent="0.2">
      <c r="B1181" s="15" t="s">
        <v>1055</v>
      </c>
      <c r="C1181" s="16">
        <v>1261</v>
      </c>
      <c r="D1181" s="15">
        <v>17</v>
      </c>
      <c r="E1181" s="16">
        <v>70913</v>
      </c>
      <c r="F1181" s="62">
        <f>E1181-E1181</f>
        <v>0</v>
      </c>
    </row>
    <row r="1182" spans="1:6" x14ac:dyDescent="0.2">
      <c r="A1182" t="s">
        <v>882</v>
      </c>
      <c r="B1182" s="139" t="s">
        <v>225</v>
      </c>
      <c r="C1182" s="150">
        <v>19.510000000000002</v>
      </c>
      <c r="D1182" s="140">
        <v>1628.0769230769231</v>
      </c>
      <c r="E1182" s="136">
        <v>31763.780769230772</v>
      </c>
      <c r="F1182" s="62">
        <f>E1182-E1183</f>
        <v>-79740.219230769231</v>
      </c>
    </row>
    <row r="1183" spans="1:6" x14ac:dyDescent="0.2">
      <c r="B1183" s="15" t="s">
        <v>1056</v>
      </c>
      <c r="C1183" s="16">
        <v>1992</v>
      </c>
      <c r="D1183" s="15">
        <v>7</v>
      </c>
      <c r="E1183" s="16">
        <v>111504</v>
      </c>
      <c r="F1183" s="62">
        <f>E1183-E1183</f>
        <v>0</v>
      </c>
    </row>
    <row r="1184" spans="1:6" x14ac:dyDescent="0.2">
      <c r="A1184" t="s">
        <v>882</v>
      </c>
      <c r="B1184" s="139" t="s">
        <v>226</v>
      </c>
      <c r="C1184" s="150">
        <v>26.66</v>
      </c>
      <c r="D1184" s="140">
        <v>740</v>
      </c>
      <c r="E1184" s="136">
        <v>19728.400000000001</v>
      </c>
      <c r="F1184" s="62">
        <f>E1184-E1185</f>
        <v>-46901.599999999999</v>
      </c>
    </row>
    <row r="1185" spans="1:6" x14ac:dyDescent="0.2">
      <c r="B1185" s="15" t="s">
        <v>226</v>
      </c>
      <c r="C1185" s="16">
        <v>2665</v>
      </c>
      <c r="D1185" s="15">
        <v>15</v>
      </c>
      <c r="E1185" s="16">
        <v>66630</v>
      </c>
      <c r="F1185" s="62">
        <f>E1185-E1185</f>
        <v>0</v>
      </c>
    </row>
    <row r="1186" spans="1:6" x14ac:dyDescent="0.2">
      <c r="A1186" t="s">
        <v>882</v>
      </c>
      <c r="B1186" s="139" t="s">
        <v>48</v>
      </c>
      <c r="C1186" s="150">
        <v>980</v>
      </c>
      <c r="D1186" s="138">
        <v>0</v>
      </c>
      <c r="E1186" s="136">
        <v>0</v>
      </c>
      <c r="F1186" s="62">
        <f>E1186-E1187</f>
        <v>-25480</v>
      </c>
    </row>
    <row r="1187" spans="1:6" x14ac:dyDescent="0.2">
      <c r="B1187" s="15" t="s">
        <v>1057</v>
      </c>
      <c r="C1187" s="16">
        <v>980</v>
      </c>
      <c r="D1187" s="15">
        <v>26</v>
      </c>
      <c r="E1187" s="16">
        <v>25480</v>
      </c>
      <c r="F1187" s="62">
        <f>E1187-E1187</f>
        <v>0</v>
      </c>
    </row>
    <row r="1188" spans="1:6" x14ac:dyDescent="0.2">
      <c r="A1188" t="s">
        <v>882</v>
      </c>
      <c r="B1188" s="139" t="s">
        <v>227</v>
      </c>
      <c r="C1188" s="150">
        <v>5.96</v>
      </c>
      <c r="D1188" s="140">
        <v>1359.5</v>
      </c>
      <c r="E1188" s="136">
        <v>8102.62</v>
      </c>
      <c r="F1188" s="62">
        <f>E1188-E1189</f>
        <v>-103331.38</v>
      </c>
    </row>
    <row r="1189" spans="1:6" x14ac:dyDescent="0.2">
      <c r="B1189" s="15" t="s">
        <v>1060</v>
      </c>
      <c r="E1189" s="9">
        <v>111434</v>
      </c>
      <c r="F1189" s="62">
        <f>E1189-E1189</f>
        <v>0</v>
      </c>
    </row>
    <row r="1190" spans="1:6" x14ac:dyDescent="0.2">
      <c r="A1190" t="s">
        <v>882</v>
      </c>
      <c r="B1190" s="139" t="s">
        <v>228</v>
      </c>
      <c r="C1190" s="150">
        <v>6.18</v>
      </c>
      <c r="D1190" s="140">
        <v>2467</v>
      </c>
      <c r="E1190" s="136">
        <v>15246.06</v>
      </c>
      <c r="F1190" s="62">
        <f>E1190-E1191</f>
        <v>-57069.94</v>
      </c>
    </row>
    <row r="1191" spans="1:6" x14ac:dyDescent="0.2">
      <c r="B1191" s="15" t="s">
        <v>1061</v>
      </c>
      <c r="E1191" s="9">
        <v>72316</v>
      </c>
      <c r="F1191" s="62">
        <f>E1191-E1191</f>
        <v>0</v>
      </c>
    </row>
    <row r="1192" spans="1:6" x14ac:dyDescent="0.2">
      <c r="A1192" t="s">
        <v>882</v>
      </c>
      <c r="B1192" s="139" t="s">
        <v>713</v>
      </c>
      <c r="C1192" s="150">
        <v>8.24</v>
      </c>
      <c r="D1192" s="140">
        <v>1350.1538461538462</v>
      </c>
      <c r="E1192" s="136">
        <v>11125.267692307692</v>
      </c>
      <c r="F1192" s="62">
        <f>E1192-E1193</f>
        <v>-53140.732307692306</v>
      </c>
    </row>
    <row r="1193" spans="1:6" x14ac:dyDescent="0.2">
      <c r="B1193" s="15" t="s">
        <v>1062</v>
      </c>
      <c r="E1193" s="9">
        <v>64266</v>
      </c>
      <c r="F1193" s="62">
        <f>E1193-E1193</f>
        <v>0</v>
      </c>
    </row>
    <row r="1194" spans="1:6" x14ac:dyDescent="0.2">
      <c r="A1194" t="s">
        <v>882</v>
      </c>
      <c r="B1194" s="139" t="s">
        <v>229</v>
      </c>
      <c r="C1194" s="150">
        <v>10.42</v>
      </c>
      <c r="D1194" s="140">
        <v>1119.3157894736842</v>
      </c>
      <c r="E1194" s="136">
        <v>11663.27052631579</v>
      </c>
      <c r="F1194" s="62">
        <f>E1194-E1195</f>
        <v>-73596.729473684216</v>
      </c>
    </row>
    <row r="1195" spans="1:6" x14ac:dyDescent="0.2">
      <c r="B1195" s="15" t="s">
        <v>1063</v>
      </c>
      <c r="C1195" s="16">
        <v>950</v>
      </c>
      <c r="D1195" s="15">
        <v>2</v>
      </c>
      <c r="E1195" s="16">
        <v>85260</v>
      </c>
      <c r="F1195" s="62">
        <f>E1195-E1195</f>
        <v>0</v>
      </c>
    </row>
    <row r="1196" spans="1:6" x14ac:dyDescent="0.2">
      <c r="A1196" t="s">
        <v>882</v>
      </c>
      <c r="B1196" s="137" t="s">
        <v>873</v>
      </c>
      <c r="C1196" s="149">
        <v>1634</v>
      </c>
      <c r="D1196" s="138">
        <v>0</v>
      </c>
      <c r="E1196" s="136">
        <v>0</v>
      </c>
      <c r="F1196" s="62">
        <f>E1196-E1197</f>
        <v>-10197</v>
      </c>
    </row>
    <row r="1197" spans="1:6" x14ac:dyDescent="0.2">
      <c r="B1197" s="15" t="s">
        <v>1064</v>
      </c>
      <c r="C1197" s="16">
        <v>3399</v>
      </c>
      <c r="D1197" s="15">
        <v>3</v>
      </c>
      <c r="E1197" s="16">
        <v>10197</v>
      </c>
      <c r="F1197" s="62">
        <f>E1197-E1197</f>
        <v>0</v>
      </c>
    </row>
    <row r="1198" spans="1:6" x14ac:dyDescent="0.2">
      <c r="A1198" t="s">
        <v>882</v>
      </c>
      <c r="B1198" s="137" t="s">
        <v>50</v>
      </c>
      <c r="C1198" s="149">
        <v>13.18</v>
      </c>
      <c r="D1198" s="138">
        <v>271</v>
      </c>
      <c r="E1198" s="136">
        <v>3571.7799999999997</v>
      </c>
      <c r="F1198" s="62">
        <f>E1198-E1199</f>
        <v>1594.7799999999997</v>
      </c>
    </row>
    <row r="1199" spans="1:6" x14ac:dyDescent="0.2">
      <c r="B1199" s="15" t="s">
        <v>1065</v>
      </c>
      <c r="C1199" s="16">
        <v>659</v>
      </c>
      <c r="D1199" s="15">
        <v>3</v>
      </c>
      <c r="E1199" s="16">
        <v>1977</v>
      </c>
      <c r="F1199" s="62">
        <f>E1199-E1199</f>
        <v>0</v>
      </c>
    </row>
    <row r="1200" spans="1:6" x14ac:dyDescent="0.2">
      <c r="A1200" t="s">
        <v>882</v>
      </c>
      <c r="B1200" s="137" t="s">
        <v>51</v>
      </c>
      <c r="C1200" s="149">
        <v>27.04</v>
      </c>
      <c r="D1200" s="138">
        <v>165</v>
      </c>
      <c r="E1200" s="136">
        <v>4461.5999999999995</v>
      </c>
      <c r="F1200" s="62">
        <f>E1200-E1201</f>
        <v>-72602.399999999994</v>
      </c>
    </row>
    <row r="1201" spans="1:6" x14ac:dyDescent="0.2">
      <c r="B1201" s="15" t="s">
        <v>1066</v>
      </c>
      <c r="C1201" s="16">
        <v>1352</v>
      </c>
      <c r="D1201" s="15">
        <v>57</v>
      </c>
      <c r="E1201" s="16">
        <v>77064</v>
      </c>
      <c r="F1201" s="62">
        <f>E1201-E1201</f>
        <v>0</v>
      </c>
    </row>
    <row r="1202" spans="1:6" x14ac:dyDescent="0.2">
      <c r="A1202" t="s">
        <v>882</v>
      </c>
      <c r="B1202" s="139" t="s">
        <v>504</v>
      </c>
      <c r="C1202" s="150">
        <v>16.12</v>
      </c>
      <c r="D1202" s="140">
        <v>1484</v>
      </c>
      <c r="E1202" s="136">
        <v>23922.080000000002</v>
      </c>
      <c r="F1202" s="62">
        <f>E1202-E1203</f>
        <v>-5093.9199999999983</v>
      </c>
    </row>
    <row r="1203" spans="1:6" x14ac:dyDescent="0.2">
      <c r="B1203" s="15" t="s">
        <v>934</v>
      </c>
      <c r="C1203" s="16">
        <v>1612</v>
      </c>
      <c r="D1203" s="15">
        <v>18</v>
      </c>
      <c r="E1203" s="16">
        <v>29016</v>
      </c>
      <c r="F1203" s="62">
        <f>E1203-E1203</f>
        <v>0</v>
      </c>
    </row>
    <row r="1204" spans="1:6" x14ac:dyDescent="0.2">
      <c r="A1204" t="s">
        <v>882</v>
      </c>
      <c r="B1204" s="139" t="s">
        <v>868</v>
      </c>
      <c r="C1204" s="150">
        <v>147</v>
      </c>
      <c r="D1204" s="135">
        <v>7</v>
      </c>
      <c r="E1204" s="136">
        <v>1029</v>
      </c>
      <c r="F1204" s="62">
        <f>E1204-E1205</f>
        <v>-280</v>
      </c>
    </row>
    <row r="1205" spans="1:6" x14ac:dyDescent="0.2">
      <c r="B1205" s="15" t="s">
        <v>1321</v>
      </c>
      <c r="C1205" s="16">
        <v>1309</v>
      </c>
      <c r="D1205" s="15">
        <v>1</v>
      </c>
      <c r="E1205" s="16">
        <v>1309</v>
      </c>
      <c r="F1205" s="62">
        <f>E1205-E1205</f>
        <v>0</v>
      </c>
    </row>
    <row r="1206" spans="1:6" x14ac:dyDescent="0.15">
      <c r="A1206" t="s">
        <v>882</v>
      </c>
      <c r="B1206" s="137" t="s">
        <v>772</v>
      </c>
      <c r="C1206" s="149">
        <v>119.37</v>
      </c>
      <c r="D1206" s="140">
        <v>500</v>
      </c>
      <c r="E1206" s="136">
        <v>59685</v>
      </c>
      <c r="F1206" s="62">
        <f>E1206-E1207</f>
        <v>-83555</v>
      </c>
    </row>
    <row r="1207" spans="1:6" x14ac:dyDescent="0.2">
      <c r="B1207" s="15" t="s">
        <v>1395</v>
      </c>
      <c r="C1207" s="16">
        <v>35810</v>
      </c>
      <c r="D1207" s="15">
        <v>4</v>
      </c>
      <c r="E1207" s="16">
        <v>143240</v>
      </c>
      <c r="F1207" s="62">
        <f>E1207-E1207</f>
        <v>0</v>
      </c>
    </row>
    <row r="1208" spans="1:6" x14ac:dyDescent="0.15">
      <c r="A1208" t="s">
        <v>882</v>
      </c>
      <c r="B1208" s="137" t="s">
        <v>540</v>
      </c>
      <c r="C1208" s="149">
        <v>77.099999999999994</v>
      </c>
      <c r="D1208" s="135">
        <v>118</v>
      </c>
      <c r="E1208" s="136">
        <v>9097.7999999999993</v>
      </c>
      <c r="F1208" s="62">
        <f>E1208-E1209</f>
        <v>-107488.2</v>
      </c>
    </row>
    <row r="1209" spans="1:6" x14ac:dyDescent="0.2">
      <c r="B1209" s="15" t="s">
        <v>1126</v>
      </c>
      <c r="C1209" s="16">
        <v>2159</v>
      </c>
      <c r="D1209" s="15">
        <v>54</v>
      </c>
      <c r="E1209" s="16">
        <v>116586</v>
      </c>
      <c r="F1209" s="62">
        <f>E1209-E1209</f>
        <v>0</v>
      </c>
    </row>
    <row r="1210" spans="1:6" x14ac:dyDescent="0.15">
      <c r="A1210" t="s">
        <v>882</v>
      </c>
      <c r="B1210" s="137" t="s">
        <v>537</v>
      </c>
      <c r="C1210" s="149">
        <v>82.61</v>
      </c>
      <c r="D1210" s="135">
        <v>98</v>
      </c>
      <c r="E1210" s="136">
        <v>8095.78</v>
      </c>
      <c r="F1210" s="62">
        <f>E1210-E1211</f>
        <v>-47416.22</v>
      </c>
    </row>
    <row r="1211" spans="1:6" x14ac:dyDescent="0.2">
      <c r="B1211" s="15" t="s">
        <v>1123</v>
      </c>
      <c r="C1211" s="16">
        <v>2313</v>
      </c>
      <c r="D1211" s="15">
        <v>24</v>
      </c>
      <c r="E1211" s="16">
        <v>55512</v>
      </c>
      <c r="F1211" s="62">
        <f>E1211-E1211</f>
        <v>0</v>
      </c>
    </row>
    <row r="1212" spans="1:6" x14ac:dyDescent="0.15">
      <c r="A1212" t="s">
        <v>882</v>
      </c>
      <c r="B1212" s="137" t="s">
        <v>538</v>
      </c>
      <c r="C1212" s="149">
        <v>86.71</v>
      </c>
      <c r="D1212" s="135">
        <v>117</v>
      </c>
      <c r="E1212" s="136">
        <v>10145.07</v>
      </c>
      <c r="F1212" s="62">
        <f>E1212-E1213</f>
        <v>-118538.93</v>
      </c>
    </row>
    <row r="1213" spans="1:6" x14ac:dyDescent="0.2">
      <c r="B1213" s="15" t="s">
        <v>1124</v>
      </c>
      <c r="C1213" s="16">
        <v>2428</v>
      </c>
      <c r="D1213" s="15">
        <v>53</v>
      </c>
      <c r="E1213" s="16">
        <v>128684</v>
      </c>
      <c r="F1213" s="62">
        <f>E1213-E1213</f>
        <v>0</v>
      </c>
    </row>
    <row r="1214" spans="1:6" x14ac:dyDescent="0.15">
      <c r="A1214" t="s">
        <v>882</v>
      </c>
      <c r="B1214" s="137" t="s">
        <v>539</v>
      </c>
      <c r="C1214" s="149">
        <v>68.53</v>
      </c>
      <c r="D1214" s="135">
        <v>108</v>
      </c>
      <c r="E1214" s="136">
        <v>7401.24</v>
      </c>
      <c r="F1214" s="62">
        <f>E1214-E1215</f>
        <v>-75115.759999999995</v>
      </c>
    </row>
    <row r="1215" spans="1:6" x14ac:dyDescent="0.2">
      <c r="B1215" s="15" t="s">
        <v>1125</v>
      </c>
      <c r="C1215" s="16">
        <v>1919</v>
      </c>
      <c r="D1215" s="15">
        <v>43</v>
      </c>
      <c r="E1215" s="16">
        <v>82517</v>
      </c>
      <c r="F1215" s="62">
        <f>E1215-E1215</f>
        <v>0</v>
      </c>
    </row>
    <row r="1216" spans="1:6" x14ac:dyDescent="0.2">
      <c r="A1216" t="s">
        <v>882</v>
      </c>
      <c r="B1216" s="141" t="s">
        <v>725</v>
      </c>
      <c r="C1216" s="150">
        <v>182.1</v>
      </c>
      <c r="D1216" s="135">
        <v>1</v>
      </c>
      <c r="E1216" s="136">
        <v>182.1</v>
      </c>
      <c r="F1216" s="62">
        <f>E1216-E1217</f>
        <v>-18027.900000000001</v>
      </c>
    </row>
    <row r="1217" spans="1:6" x14ac:dyDescent="0.2">
      <c r="B1217" s="15" t="s">
        <v>1469</v>
      </c>
      <c r="C1217" s="16">
        <v>18210</v>
      </c>
      <c r="D1217" s="15">
        <v>1</v>
      </c>
      <c r="E1217" s="16">
        <v>18210</v>
      </c>
      <c r="F1217" s="62">
        <f>E1217-E1217</f>
        <v>0</v>
      </c>
    </row>
    <row r="1218" spans="1:6" x14ac:dyDescent="0.2">
      <c r="A1218" t="s">
        <v>882</v>
      </c>
      <c r="B1218" s="139" t="s">
        <v>231</v>
      </c>
      <c r="C1218" s="150">
        <v>8.25</v>
      </c>
      <c r="D1218" s="140">
        <v>1826</v>
      </c>
      <c r="E1218" s="136">
        <v>15064.5</v>
      </c>
      <c r="F1218" s="62">
        <f>E1218-E1219</f>
        <v>-83110.5</v>
      </c>
    </row>
    <row r="1219" spans="1:6" x14ac:dyDescent="0.2">
      <c r="B1219" s="15" t="s">
        <v>957</v>
      </c>
      <c r="C1219" s="16"/>
      <c r="D1219" s="15"/>
      <c r="E1219" s="16">
        <v>98175</v>
      </c>
      <c r="F1219" s="62">
        <f>E1219-E1219</f>
        <v>0</v>
      </c>
    </row>
    <row r="1220" spans="1:6" x14ac:dyDescent="0.15">
      <c r="A1220" t="s">
        <v>882</v>
      </c>
      <c r="B1220" s="137" t="s">
        <v>230</v>
      </c>
      <c r="C1220" s="149">
        <v>8.9600000000000009</v>
      </c>
      <c r="D1220" s="140">
        <v>2321.3333333333335</v>
      </c>
      <c r="E1220" s="136">
        <v>20799.146666666671</v>
      </c>
      <c r="F1220" s="62">
        <f>E1220-E1221</f>
        <v>-121664.85333333333</v>
      </c>
    </row>
    <row r="1221" spans="1:6" x14ac:dyDescent="0.2">
      <c r="B1221" s="15" t="s">
        <v>958</v>
      </c>
      <c r="C1221" s="16">
        <v>896</v>
      </c>
      <c r="D1221" s="15">
        <v>19</v>
      </c>
      <c r="E1221" s="16">
        <v>142464</v>
      </c>
      <c r="F1221" s="62">
        <f>E1221-E1221</f>
        <v>0</v>
      </c>
    </row>
    <row r="1222" spans="1:6" x14ac:dyDescent="0.2">
      <c r="A1222" t="s">
        <v>882</v>
      </c>
      <c r="B1222" s="139" t="s">
        <v>854</v>
      </c>
      <c r="C1222" s="150">
        <v>29.26</v>
      </c>
      <c r="D1222" s="135">
        <v>204</v>
      </c>
      <c r="E1222" s="136">
        <v>5969.04</v>
      </c>
      <c r="F1222" s="62">
        <f>E1222-E1223</f>
        <v>-11586.96</v>
      </c>
    </row>
    <row r="1223" spans="1:6" x14ac:dyDescent="0.2">
      <c r="B1223" s="15" t="s">
        <v>1442</v>
      </c>
      <c r="C1223" s="16">
        <v>2926</v>
      </c>
      <c r="D1223" s="15">
        <v>6</v>
      </c>
      <c r="E1223" s="16">
        <v>17556</v>
      </c>
      <c r="F1223" s="62">
        <f>E1223-E1223</f>
        <v>0</v>
      </c>
    </row>
    <row r="1224" spans="1:6" x14ac:dyDescent="0.2">
      <c r="A1224" t="s">
        <v>882</v>
      </c>
      <c r="B1224" s="139" t="s">
        <v>232</v>
      </c>
      <c r="C1224" s="159">
        <v>9.27</v>
      </c>
      <c r="D1224" s="140">
        <v>820</v>
      </c>
      <c r="E1224" s="136">
        <v>7601.4</v>
      </c>
      <c r="F1224" s="62">
        <f>E1224-E1225</f>
        <v>-114696.6</v>
      </c>
    </row>
    <row r="1225" spans="1:6" x14ac:dyDescent="0.2">
      <c r="B1225" s="15" t="s">
        <v>1403</v>
      </c>
      <c r="C1225" s="16">
        <v>1853</v>
      </c>
      <c r="D1225" s="15">
        <v>66</v>
      </c>
      <c r="E1225" s="16">
        <v>122298</v>
      </c>
      <c r="F1225" s="62">
        <f>E1225-E1225</f>
        <v>0</v>
      </c>
    </row>
    <row r="1226" spans="1:6" x14ac:dyDescent="0.2">
      <c r="A1226" t="s">
        <v>882</v>
      </c>
      <c r="B1226" s="139" t="s">
        <v>855</v>
      </c>
      <c r="C1226" s="159">
        <v>352.89</v>
      </c>
      <c r="D1226" s="135">
        <v>24</v>
      </c>
      <c r="E1226" s="136">
        <v>8469.36</v>
      </c>
      <c r="F1226" s="62">
        <f>E1226-E1227</f>
        <v>-149626.64000000001</v>
      </c>
    </row>
    <row r="1227" spans="1:6" x14ac:dyDescent="0.2">
      <c r="B1227" s="15" t="s">
        <v>1127</v>
      </c>
      <c r="C1227" s="16">
        <v>19762</v>
      </c>
      <c r="D1227" s="15">
        <v>8</v>
      </c>
      <c r="E1227" s="16">
        <v>158096</v>
      </c>
      <c r="F1227" s="62">
        <f>E1227-E1227</f>
        <v>0</v>
      </c>
    </row>
    <row r="1228" spans="1:6" x14ac:dyDescent="0.2">
      <c r="A1228" t="s">
        <v>882</v>
      </c>
      <c r="B1228" s="139" t="s">
        <v>456</v>
      </c>
      <c r="C1228" s="159">
        <v>5.94</v>
      </c>
      <c r="D1228" s="140">
        <v>476</v>
      </c>
      <c r="E1228" s="136">
        <v>2827.44</v>
      </c>
      <c r="F1228" s="62">
        <f>E1228-E1229</f>
        <v>-644959.56000000006</v>
      </c>
    </row>
    <row r="1229" spans="1:6" x14ac:dyDescent="0.2">
      <c r="B1229" s="15" t="s">
        <v>1274</v>
      </c>
      <c r="C1229" s="16">
        <v>5943</v>
      </c>
      <c r="D1229" s="15">
        <v>109</v>
      </c>
      <c r="E1229" s="16">
        <v>647787</v>
      </c>
      <c r="F1229" s="62">
        <f>E1229-E1229</f>
        <v>0</v>
      </c>
    </row>
    <row r="1230" spans="1:6" x14ac:dyDescent="0.2">
      <c r="A1230" t="s">
        <v>882</v>
      </c>
      <c r="B1230" s="139" t="s">
        <v>272</v>
      </c>
      <c r="C1230" s="150">
        <v>82.3</v>
      </c>
      <c r="D1230" s="135">
        <v>36</v>
      </c>
      <c r="E1230" s="136">
        <v>2962.7999999999997</v>
      </c>
      <c r="F1230" s="62">
        <f>E1230-E1231</f>
        <v>-9382.2000000000007</v>
      </c>
    </row>
    <row r="1231" spans="1:6" x14ac:dyDescent="0.2">
      <c r="B1231" s="161" t="s">
        <v>1322</v>
      </c>
      <c r="C1231" s="162">
        <v>823</v>
      </c>
      <c r="D1231" s="161">
        <v>15</v>
      </c>
      <c r="E1231" s="162">
        <v>12345</v>
      </c>
      <c r="F1231" s="62">
        <f>E1231-E1231</f>
        <v>0</v>
      </c>
    </row>
    <row r="1232" spans="1:6" x14ac:dyDescent="0.2">
      <c r="A1232" s="15" t="s">
        <v>882</v>
      </c>
      <c r="B1232" s="139" t="s">
        <v>666</v>
      </c>
      <c r="C1232" s="150">
        <v>186</v>
      </c>
      <c r="D1232" s="140">
        <v>8</v>
      </c>
      <c r="E1232" s="136">
        <v>1488</v>
      </c>
      <c r="F1232" s="62">
        <f>E1232-E1233</f>
        <v>1488</v>
      </c>
    </row>
    <row r="1233" spans="1:6" x14ac:dyDescent="0.2">
      <c r="A1233" s="15"/>
      <c r="B1233" s="15"/>
      <c r="C1233" s="16"/>
      <c r="D1233" s="15"/>
      <c r="E1233" s="16"/>
      <c r="F1233" s="62">
        <f>E1233-E1233</f>
        <v>0</v>
      </c>
    </row>
    <row r="1234" spans="1:6" x14ac:dyDescent="0.2">
      <c r="A1234" s="15" t="s">
        <v>882</v>
      </c>
      <c r="B1234" s="139" t="s">
        <v>301</v>
      </c>
      <c r="C1234" s="150">
        <v>234.3</v>
      </c>
      <c r="D1234" s="135">
        <v>13</v>
      </c>
      <c r="E1234" s="136">
        <v>3045.9</v>
      </c>
      <c r="F1234" s="62">
        <f>E1234-E1235</f>
        <v>-3983.1</v>
      </c>
    </row>
    <row r="1235" spans="1:6" x14ac:dyDescent="0.2">
      <c r="B1235" s="175" t="s">
        <v>1154</v>
      </c>
      <c r="C1235" s="176">
        <v>2343</v>
      </c>
      <c r="D1235" s="175">
        <v>3</v>
      </c>
      <c r="E1235" s="176">
        <v>7029</v>
      </c>
      <c r="F1235" s="62">
        <f>E1235-E1235</f>
        <v>0</v>
      </c>
    </row>
    <row r="1236" spans="1:6" x14ac:dyDescent="0.2">
      <c r="A1236" t="s">
        <v>882</v>
      </c>
      <c r="B1236" s="139" t="s">
        <v>233</v>
      </c>
      <c r="C1236" s="150">
        <v>9.5</v>
      </c>
      <c r="D1236" s="140">
        <v>925</v>
      </c>
      <c r="E1236" s="136">
        <v>8787.5</v>
      </c>
      <c r="F1236" s="62">
        <f>E1236-E1237</f>
        <v>-10276.5</v>
      </c>
    </row>
    <row r="1237" spans="1:6" x14ac:dyDescent="0.2">
      <c r="B1237" s="15" t="s">
        <v>1067</v>
      </c>
      <c r="C1237" s="16">
        <v>9532</v>
      </c>
      <c r="D1237" s="15">
        <v>2</v>
      </c>
      <c r="E1237" s="16">
        <v>19064</v>
      </c>
      <c r="F1237" s="62">
        <f>E1237-E1237</f>
        <v>0</v>
      </c>
    </row>
    <row r="1238" spans="1:6" x14ac:dyDescent="0.2">
      <c r="A1238" t="s">
        <v>882</v>
      </c>
      <c r="B1238" s="139" t="s">
        <v>234</v>
      </c>
      <c r="C1238" s="150">
        <v>18.2</v>
      </c>
      <c r="D1238" s="140">
        <v>716.66666666666674</v>
      </c>
      <c r="E1238" s="136">
        <v>13043.333333333334</v>
      </c>
      <c r="F1238" s="62">
        <f>E1238-E1239</f>
        <v>-59756.666666666664</v>
      </c>
    </row>
    <row r="1239" spans="1:6" x14ac:dyDescent="0.2">
      <c r="B1239" s="15" t="s">
        <v>234</v>
      </c>
      <c r="C1239" s="16">
        <v>18200</v>
      </c>
      <c r="D1239" s="15">
        <v>4</v>
      </c>
      <c r="E1239" s="16">
        <v>72800</v>
      </c>
      <c r="F1239" s="62">
        <f>E1239-E1239</f>
        <v>0</v>
      </c>
    </row>
    <row r="1240" spans="1:6" x14ac:dyDescent="0.2">
      <c r="A1240" t="s">
        <v>882</v>
      </c>
      <c r="B1240" s="141" t="s">
        <v>606</v>
      </c>
      <c r="C1240" s="150">
        <v>13.89</v>
      </c>
      <c r="D1240" s="135">
        <v>169</v>
      </c>
      <c r="E1240" s="136">
        <v>2347.4100000000003</v>
      </c>
      <c r="F1240" s="62">
        <f>E1240-E1241</f>
        <v>-10153.59</v>
      </c>
    </row>
    <row r="1241" spans="1:6" x14ac:dyDescent="0.2">
      <c r="B1241" s="15" t="s">
        <v>1182</v>
      </c>
      <c r="C1241" s="16">
        <v>1389</v>
      </c>
      <c r="D1241" s="15">
        <v>9</v>
      </c>
      <c r="E1241" s="16">
        <v>12501</v>
      </c>
      <c r="F1241" s="62">
        <f>E1241-E1241</f>
        <v>0</v>
      </c>
    </row>
    <row r="1242" spans="1:6" x14ac:dyDescent="0.2">
      <c r="A1242" t="s">
        <v>882</v>
      </c>
      <c r="B1242" s="139" t="s">
        <v>769</v>
      </c>
      <c r="C1242" s="150">
        <v>112.6</v>
      </c>
      <c r="D1242" s="140">
        <v>365.66666666666663</v>
      </c>
      <c r="E1242" s="136">
        <v>41174.066666666658</v>
      </c>
      <c r="F1242" s="62">
        <f>E1242-E1243</f>
        <v>-499355.93333333335</v>
      </c>
    </row>
    <row r="1243" spans="1:6" x14ac:dyDescent="0.2">
      <c r="B1243" s="15" t="s">
        <v>1068</v>
      </c>
      <c r="C1243" s="150"/>
      <c r="D1243" s="140"/>
      <c r="E1243" s="136">
        <v>540530</v>
      </c>
      <c r="F1243" s="62">
        <f>E1243-E1243</f>
        <v>0</v>
      </c>
    </row>
    <row r="1244" spans="1:6" x14ac:dyDescent="0.2">
      <c r="A1244" t="s">
        <v>882</v>
      </c>
      <c r="B1244" s="139" t="s">
        <v>608</v>
      </c>
      <c r="C1244" s="150">
        <v>211.58</v>
      </c>
      <c r="D1244" s="140">
        <v>647.55555555555554</v>
      </c>
      <c r="E1244" s="136">
        <v>137009.80444444445</v>
      </c>
      <c r="F1244" s="62">
        <f>E1244-E1245</f>
        <v>-1999948.1955555556</v>
      </c>
    </row>
    <row r="1245" spans="1:6" x14ac:dyDescent="0.2">
      <c r="B1245" s="15" t="s">
        <v>1069</v>
      </c>
      <c r="C1245" s="16">
        <v>21158</v>
      </c>
      <c r="D1245" s="15">
        <v>101</v>
      </c>
      <c r="E1245" s="16">
        <v>2136958</v>
      </c>
      <c r="F1245" s="62">
        <f>E1245-E1245</f>
        <v>0</v>
      </c>
    </row>
    <row r="1246" spans="1:6" x14ac:dyDescent="0.2">
      <c r="A1246" t="s">
        <v>882</v>
      </c>
      <c r="B1246" s="139" t="s">
        <v>609</v>
      </c>
      <c r="C1246" s="150">
        <v>404.16</v>
      </c>
      <c r="D1246" s="140">
        <v>1050</v>
      </c>
      <c r="E1246" s="136">
        <v>424368</v>
      </c>
      <c r="F1246" s="62">
        <f>E1246-E1247</f>
        <v>-5435978</v>
      </c>
    </row>
    <row r="1247" spans="1:6" x14ac:dyDescent="0.2">
      <c r="B1247" s="15" t="s">
        <v>1070</v>
      </c>
      <c r="C1247" s="16">
        <v>40416</v>
      </c>
      <c r="D1247" s="15">
        <v>15</v>
      </c>
      <c r="E1247" s="16">
        <v>5860346</v>
      </c>
      <c r="F1247" s="62">
        <f>E1247-E1247</f>
        <v>0</v>
      </c>
    </row>
    <row r="1248" spans="1:6" x14ac:dyDescent="0.15">
      <c r="A1248" t="s">
        <v>882</v>
      </c>
      <c r="B1248" s="137" t="s">
        <v>610</v>
      </c>
      <c r="C1248" s="149">
        <v>5.14</v>
      </c>
      <c r="D1248" s="140">
        <v>1628.6666666666667</v>
      </c>
      <c r="E1248" s="136">
        <v>8371.3466666666664</v>
      </c>
      <c r="F1248" s="62">
        <f>E1248-E1249</f>
        <v>-35952.653333333335</v>
      </c>
    </row>
    <row r="1249" spans="1:6" x14ac:dyDescent="0.15">
      <c r="B1249" s="15" t="s">
        <v>935</v>
      </c>
      <c r="C1249" s="149"/>
      <c r="D1249" s="140"/>
      <c r="E1249" s="136">
        <v>44324</v>
      </c>
      <c r="F1249" s="62">
        <f>E1249-E1249</f>
        <v>0</v>
      </c>
    </row>
    <row r="1250" spans="1:6" x14ac:dyDescent="0.15">
      <c r="A1250" t="s">
        <v>882</v>
      </c>
      <c r="B1250" s="137" t="s">
        <v>611</v>
      </c>
      <c r="C1250" s="149">
        <v>6.95</v>
      </c>
      <c r="D1250" s="140">
        <v>1309.3333333333333</v>
      </c>
      <c r="E1250" s="136">
        <v>9099.8666666666668</v>
      </c>
      <c r="F1250" s="62">
        <f>E1250-E1251</f>
        <v>-22172.133333333331</v>
      </c>
    </row>
    <row r="1251" spans="1:6" x14ac:dyDescent="0.2">
      <c r="B1251" s="15" t="s">
        <v>936</v>
      </c>
      <c r="C1251" s="16">
        <v>6949</v>
      </c>
      <c r="D1251" s="15">
        <v>3</v>
      </c>
      <c r="E1251" s="16">
        <v>31272</v>
      </c>
      <c r="F1251" s="62">
        <f>E1251-E1251</f>
        <v>0</v>
      </c>
    </row>
    <row r="1252" spans="1:6" x14ac:dyDescent="0.2">
      <c r="A1252" t="s">
        <v>882</v>
      </c>
      <c r="B1252" s="139" t="s">
        <v>548</v>
      </c>
      <c r="C1252" s="150">
        <v>76.3</v>
      </c>
      <c r="D1252" s="135">
        <v>30</v>
      </c>
      <c r="E1252" s="136">
        <v>2289</v>
      </c>
      <c r="F1252" s="62">
        <f>E1252-E1253</f>
        <v>2289</v>
      </c>
    </row>
    <row r="1253" spans="1:6" x14ac:dyDescent="0.2">
      <c r="B1253" s="17"/>
      <c r="C1253" s="154"/>
      <c r="D1253" s="147"/>
      <c r="E1253" s="122"/>
      <c r="F1253" s="62">
        <f>E1253-E1253</f>
        <v>0</v>
      </c>
    </row>
    <row r="1254" spans="1:6" x14ac:dyDescent="0.15">
      <c r="A1254" t="s">
        <v>882</v>
      </c>
      <c r="B1254" s="137" t="s">
        <v>235</v>
      </c>
      <c r="C1254" s="149">
        <v>32.799999999999997</v>
      </c>
      <c r="D1254" s="140">
        <v>685.7037037037037</v>
      </c>
      <c r="E1254" s="136">
        <v>22491.08148148148</v>
      </c>
      <c r="F1254" s="62">
        <f>E1254-E1255</f>
        <v>-220228.91851851851</v>
      </c>
    </row>
    <row r="1255" spans="1:6" x14ac:dyDescent="0.2">
      <c r="B1255" s="15" t="s">
        <v>1128</v>
      </c>
      <c r="C1255" s="16">
        <v>3280</v>
      </c>
      <c r="D1255" s="15">
        <v>74</v>
      </c>
      <c r="E1255" s="16">
        <v>242720</v>
      </c>
      <c r="F1255" s="62">
        <f>E1255-E1255</f>
        <v>0</v>
      </c>
    </row>
    <row r="1256" spans="1:6" x14ac:dyDescent="0.15">
      <c r="A1256" t="s">
        <v>882</v>
      </c>
      <c r="B1256" s="137" t="s">
        <v>880</v>
      </c>
      <c r="C1256" s="149">
        <v>1034</v>
      </c>
      <c r="D1256" s="135">
        <v>2</v>
      </c>
      <c r="E1256" s="136">
        <v>2068</v>
      </c>
      <c r="F1256" s="62">
        <f>E1256-E1257</f>
        <v>-12408</v>
      </c>
    </row>
    <row r="1257" spans="1:6" x14ac:dyDescent="0.2">
      <c r="B1257" s="15" t="s">
        <v>1323</v>
      </c>
      <c r="C1257" s="16">
        <v>1034</v>
      </c>
      <c r="D1257" s="15">
        <v>14</v>
      </c>
      <c r="E1257" s="16">
        <v>14476</v>
      </c>
      <c r="F1257" s="62">
        <f>E1257-E1257</f>
        <v>0</v>
      </c>
    </row>
    <row r="1258" spans="1:6" x14ac:dyDescent="0.15">
      <c r="A1258" t="s">
        <v>882</v>
      </c>
      <c r="B1258" s="137" t="s">
        <v>236</v>
      </c>
      <c r="C1258" s="149">
        <v>9.5500000000000007</v>
      </c>
      <c r="D1258" s="140">
        <v>379</v>
      </c>
      <c r="E1258" s="136">
        <v>3619.4500000000003</v>
      </c>
      <c r="F1258" s="62">
        <f>E1258-E1259</f>
        <v>-25018.55</v>
      </c>
    </row>
    <row r="1259" spans="1:6" x14ac:dyDescent="0.2">
      <c r="B1259" s="15" t="s">
        <v>1224</v>
      </c>
      <c r="C1259" s="16">
        <v>4773</v>
      </c>
      <c r="D1259" s="15">
        <v>6</v>
      </c>
      <c r="E1259" s="16">
        <v>28638</v>
      </c>
      <c r="F1259" s="62">
        <f>E1259-E1259</f>
        <v>0</v>
      </c>
    </row>
    <row r="1260" spans="1:6" x14ac:dyDescent="0.15">
      <c r="A1260" t="s">
        <v>882</v>
      </c>
      <c r="B1260" s="137" t="s">
        <v>856</v>
      </c>
      <c r="C1260" s="149">
        <v>51.73</v>
      </c>
      <c r="D1260" s="135">
        <v>55</v>
      </c>
      <c r="E1260" s="136">
        <v>2845.1499999999996</v>
      </c>
      <c r="F1260" s="62">
        <f>E1260-E1261</f>
        <v>-11122.85</v>
      </c>
    </row>
    <row r="1261" spans="1:6" x14ac:dyDescent="0.2">
      <c r="B1261" s="15" t="s">
        <v>1438</v>
      </c>
      <c r="C1261" s="16">
        <v>1552</v>
      </c>
      <c r="D1261" s="15">
        <v>9</v>
      </c>
      <c r="E1261" s="16">
        <v>13968</v>
      </c>
      <c r="F1261" s="62">
        <f>E1261-E1261</f>
        <v>0</v>
      </c>
    </row>
    <row r="1262" spans="1:6" x14ac:dyDescent="0.2">
      <c r="A1262" t="s">
        <v>882</v>
      </c>
      <c r="B1262" s="139" t="s">
        <v>237</v>
      </c>
      <c r="C1262" s="150">
        <v>7.72</v>
      </c>
      <c r="D1262" s="140">
        <v>2216.4705882352941</v>
      </c>
      <c r="E1262" s="136">
        <v>17111.152941176471</v>
      </c>
      <c r="F1262" s="62">
        <f>E1262-E1263</f>
        <v>-253088.84705882354</v>
      </c>
    </row>
    <row r="1263" spans="1:6" x14ac:dyDescent="0.2">
      <c r="B1263" s="15" t="s">
        <v>1251</v>
      </c>
      <c r="C1263" s="16">
        <v>3860</v>
      </c>
      <c r="D1263" s="15">
        <v>26</v>
      </c>
      <c r="E1263" s="16">
        <v>270200</v>
      </c>
      <c r="F1263" s="62">
        <f>E1263-E1263</f>
        <v>0</v>
      </c>
    </row>
    <row r="1264" spans="1:6" x14ac:dyDescent="0.2">
      <c r="A1264" t="s">
        <v>882</v>
      </c>
      <c r="B1264" s="139" t="s">
        <v>862</v>
      </c>
      <c r="C1264" s="150">
        <v>111.8</v>
      </c>
      <c r="D1264" s="135">
        <v>28</v>
      </c>
      <c r="E1264" s="136">
        <v>3130.4</v>
      </c>
      <c r="F1264" s="62">
        <f>E1264-E1265</f>
        <v>3130.4</v>
      </c>
    </row>
    <row r="1265" spans="1:6" x14ac:dyDescent="0.2">
      <c r="B1265" s="17"/>
      <c r="C1265" s="154"/>
      <c r="D1265" s="147"/>
      <c r="E1265" s="122"/>
      <c r="F1265" s="62">
        <f>E1265-E1265</f>
        <v>0</v>
      </c>
    </row>
    <row r="1266" spans="1:6" x14ac:dyDescent="0.2">
      <c r="A1266" t="s">
        <v>882</v>
      </c>
      <c r="B1266" s="139" t="s">
        <v>689</v>
      </c>
      <c r="C1266" s="157">
        <v>56.75</v>
      </c>
      <c r="D1266" s="140">
        <v>49</v>
      </c>
      <c r="E1266" s="136">
        <v>2780.75</v>
      </c>
      <c r="F1266" s="62">
        <f>E1266-E1267</f>
        <v>-219019.25</v>
      </c>
    </row>
    <row r="1267" spans="1:6" x14ac:dyDescent="0.2">
      <c r="B1267" s="15" t="s">
        <v>959</v>
      </c>
      <c r="C1267" s="16">
        <v>5675</v>
      </c>
      <c r="D1267" s="15">
        <v>23</v>
      </c>
      <c r="E1267" s="16">
        <v>221800</v>
      </c>
      <c r="F1267" s="62">
        <f>E1267-E1267</f>
        <v>0</v>
      </c>
    </row>
    <row r="1268" spans="1:6" x14ac:dyDescent="0.2">
      <c r="A1268" t="s">
        <v>882</v>
      </c>
      <c r="B1268" s="139" t="s">
        <v>496</v>
      </c>
      <c r="C1268" s="150">
        <v>23.13</v>
      </c>
      <c r="D1268" s="135">
        <v>107.14285714285715</v>
      </c>
      <c r="E1268" s="136">
        <v>2478.2142857142858</v>
      </c>
      <c r="F1268" s="62">
        <f>E1268-E1269</f>
        <v>-392192.78571428574</v>
      </c>
    </row>
    <row r="1269" spans="1:6" x14ac:dyDescent="0.2">
      <c r="B1269" s="15" t="s">
        <v>960</v>
      </c>
      <c r="C1269" s="154"/>
      <c r="D1269" s="147"/>
      <c r="E1269" s="122">
        <v>394671</v>
      </c>
      <c r="F1269" s="62">
        <f>E1269-E1269</f>
        <v>0</v>
      </c>
    </row>
    <row r="1270" spans="1:6" x14ac:dyDescent="0.2">
      <c r="A1270" t="s">
        <v>882</v>
      </c>
      <c r="B1270" s="139" t="s">
        <v>661</v>
      </c>
      <c r="C1270" s="150">
        <v>612</v>
      </c>
      <c r="D1270" s="140">
        <v>7</v>
      </c>
      <c r="E1270" s="136">
        <v>4284</v>
      </c>
      <c r="F1270" s="62">
        <f>E1270-E1271</f>
        <v>-338436</v>
      </c>
    </row>
    <row r="1271" spans="1:6" x14ac:dyDescent="0.2">
      <c r="B1271" s="15" t="s">
        <v>961</v>
      </c>
      <c r="C1271" s="16">
        <v>6120</v>
      </c>
      <c r="D1271" s="15">
        <v>56</v>
      </c>
      <c r="E1271" s="16">
        <v>342720</v>
      </c>
      <c r="F1271" s="62">
        <f>E1271-E1271</f>
        <v>0</v>
      </c>
    </row>
    <row r="1272" spans="1:6" x14ac:dyDescent="0.2">
      <c r="A1272" t="s">
        <v>882</v>
      </c>
      <c r="B1272" s="139" t="s">
        <v>857</v>
      </c>
      <c r="C1272" s="150">
        <v>70.959999999999994</v>
      </c>
      <c r="D1272" s="135">
        <v>60</v>
      </c>
      <c r="E1272" s="136">
        <v>4257.5999999999995</v>
      </c>
      <c r="F1272" s="62">
        <f>E1272-E1273</f>
        <v>-2838.4000000000005</v>
      </c>
    </row>
    <row r="1273" spans="1:6" x14ac:dyDescent="0.2">
      <c r="B1273" s="15" t="s">
        <v>1434</v>
      </c>
      <c r="C1273" s="16">
        <v>7096</v>
      </c>
      <c r="D1273" s="15">
        <v>1</v>
      </c>
      <c r="E1273" s="16">
        <v>7096</v>
      </c>
      <c r="F1273" s="62">
        <f>E1273-E1273</f>
        <v>0</v>
      </c>
    </row>
    <row r="1274" spans="1:6" x14ac:dyDescent="0.15">
      <c r="A1274" t="s">
        <v>882</v>
      </c>
      <c r="B1274" s="137" t="s">
        <v>690</v>
      </c>
      <c r="C1274" s="157">
        <v>12.73</v>
      </c>
      <c r="D1274" s="140">
        <v>319</v>
      </c>
      <c r="E1274" s="136">
        <v>4060.8700000000003</v>
      </c>
      <c r="F1274" s="62">
        <f>E1274-E1275</f>
        <v>-13761.13</v>
      </c>
    </row>
    <row r="1275" spans="1:6" x14ac:dyDescent="0.2">
      <c r="B1275" s="15" t="s">
        <v>1013</v>
      </c>
      <c r="C1275" s="16">
        <v>1273</v>
      </c>
      <c r="D1275" s="15">
        <v>14</v>
      </c>
      <c r="E1275" s="16">
        <v>17822</v>
      </c>
      <c r="F1275" s="62">
        <f>E1275-E1275</f>
        <v>0</v>
      </c>
    </row>
    <row r="1276" spans="1:6" x14ac:dyDescent="0.2">
      <c r="A1276" t="s">
        <v>882</v>
      </c>
      <c r="B1276" s="139" t="s">
        <v>821</v>
      </c>
      <c r="C1276" s="150">
        <v>943.8</v>
      </c>
      <c r="D1276" s="140">
        <v>13</v>
      </c>
      <c r="E1276" s="136">
        <v>12269.4</v>
      </c>
      <c r="F1276" s="62">
        <f>E1276-E1277</f>
        <v>-6606.6</v>
      </c>
    </row>
    <row r="1277" spans="1:6" x14ac:dyDescent="0.2">
      <c r="B1277" s="15" t="s">
        <v>1475</v>
      </c>
      <c r="C1277" s="16">
        <v>9438</v>
      </c>
      <c r="D1277" s="15">
        <v>2</v>
      </c>
      <c r="E1277" s="16">
        <v>18876</v>
      </c>
      <c r="F1277" s="62">
        <f>E1277-E1277</f>
        <v>0</v>
      </c>
    </row>
    <row r="1278" spans="1:6" x14ac:dyDescent="0.2">
      <c r="A1278" t="s">
        <v>882</v>
      </c>
      <c r="B1278" s="139" t="s">
        <v>691</v>
      </c>
      <c r="C1278" s="155">
        <v>26.63</v>
      </c>
      <c r="D1278" s="140">
        <v>139</v>
      </c>
      <c r="E1278" s="136">
        <v>3701.5699999999997</v>
      </c>
      <c r="F1278" s="62">
        <f>E1278-E1279</f>
        <v>1038.5699999999997</v>
      </c>
    </row>
    <row r="1279" spans="1:6" x14ac:dyDescent="0.2">
      <c r="B1279" s="15" t="s">
        <v>1473</v>
      </c>
      <c r="C1279" s="16">
        <v>2663</v>
      </c>
      <c r="D1279" s="15">
        <v>1</v>
      </c>
      <c r="E1279" s="16">
        <v>2663</v>
      </c>
      <c r="F1279" s="62">
        <f>E1279-E1279</f>
        <v>0</v>
      </c>
    </row>
    <row r="1280" spans="1:6" x14ac:dyDescent="0.2">
      <c r="A1280" t="s">
        <v>882</v>
      </c>
      <c r="B1280" s="139" t="s">
        <v>241</v>
      </c>
      <c r="C1280" s="150">
        <v>32.96</v>
      </c>
      <c r="D1280" s="140">
        <v>325</v>
      </c>
      <c r="E1280" s="136">
        <v>10712</v>
      </c>
      <c r="F1280" s="62">
        <f>E1280-E1281</f>
        <v>-12360</v>
      </c>
    </row>
    <row r="1281" spans="1:6" x14ac:dyDescent="0.2">
      <c r="B1281" s="15" t="s">
        <v>1474</v>
      </c>
      <c r="C1281" s="16">
        <v>3296</v>
      </c>
      <c r="D1281" s="15">
        <v>7</v>
      </c>
      <c r="E1281" s="16">
        <v>23072</v>
      </c>
      <c r="F1281" s="62">
        <f>E1281-E1281</f>
        <v>0</v>
      </c>
    </row>
    <row r="1282" spans="1:6" x14ac:dyDescent="0.2">
      <c r="A1282" t="s">
        <v>882</v>
      </c>
      <c r="B1282" s="141" t="s">
        <v>612</v>
      </c>
      <c r="C1282" s="150">
        <v>1969.26</v>
      </c>
      <c r="D1282" s="135">
        <v>47</v>
      </c>
      <c r="E1282" s="136">
        <v>92555.22</v>
      </c>
      <c r="F1282" s="62">
        <f>E1282-E1283</f>
        <v>-45292.78</v>
      </c>
    </row>
    <row r="1283" spans="1:6" x14ac:dyDescent="0.2">
      <c r="B1283" s="15" t="s">
        <v>1435</v>
      </c>
      <c r="C1283" s="16">
        <v>137848</v>
      </c>
      <c r="D1283" s="15">
        <v>1</v>
      </c>
      <c r="E1283" s="16">
        <v>137848</v>
      </c>
      <c r="F1283" s="62">
        <f>E1283-E1283</f>
        <v>0</v>
      </c>
    </row>
    <row r="1284" spans="1:6" x14ac:dyDescent="0.2">
      <c r="A1284" t="s">
        <v>882</v>
      </c>
      <c r="B1284" s="141" t="s">
        <v>437</v>
      </c>
      <c r="C1284" s="150">
        <v>362.2</v>
      </c>
      <c r="D1284" s="135">
        <v>20</v>
      </c>
      <c r="E1284" s="136">
        <v>7244</v>
      </c>
      <c r="F1284" s="62">
        <f>E1284-E1285</f>
        <v>-47086</v>
      </c>
    </row>
    <row r="1285" spans="1:6" x14ac:dyDescent="0.2">
      <c r="B1285" s="15" t="s">
        <v>1198</v>
      </c>
      <c r="C1285" s="16">
        <v>3622</v>
      </c>
      <c r="D1285" s="15">
        <v>15</v>
      </c>
      <c r="E1285" s="16">
        <v>54330</v>
      </c>
      <c r="F1285" s="62">
        <f>E1285-E1285</f>
        <v>0</v>
      </c>
    </row>
    <row r="1286" spans="1:6" x14ac:dyDescent="0.2">
      <c r="A1286" t="s">
        <v>882</v>
      </c>
      <c r="B1286" s="139" t="s">
        <v>528</v>
      </c>
      <c r="C1286" s="149">
        <v>4226</v>
      </c>
      <c r="D1286" s="135">
        <v>1</v>
      </c>
      <c r="E1286" s="136">
        <v>4226</v>
      </c>
      <c r="F1286" s="62">
        <f>E1286-E1287</f>
        <v>-105650</v>
      </c>
    </row>
    <row r="1287" spans="1:6" x14ac:dyDescent="0.2">
      <c r="B1287" s="15" t="s">
        <v>1233</v>
      </c>
      <c r="C1287" s="16">
        <v>4226</v>
      </c>
      <c r="D1287" s="15">
        <v>26</v>
      </c>
      <c r="E1287" s="16">
        <v>109876</v>
      </c>
      <c r="F1287" s="62">
        <f>E1287-E1287</f>
        <v>0</v>
      </c>
    </row>
    <row r="1288" spans="1:6" x14ac:dyDescent="0.2">
      <c r="A1288" t="s">
        <v>882</v>
      </c>
      <c r="B1288" s="139" t="s">
        <v>289</v>
      </c>
      <c r="C1288" s="150">
        <v>4700</v>
      </c>
      <c r="D1288" s="135">
        <v>2</v>
      </c>
      <c r="E1288" s="136">
        <v>9400</v>
      </c>
      <c r="F1288" s="62">
        <f>E1288-E1289</f>
        <v>-61100</v>
      </c>
    </row>
    <row r="1289" spans="1:6" x14ac:dyDescent="0.2">
      <c r="B1289" s="15" t="s">
        <v>1234</v>
      </c>
      <c r="C1289" s="16">
        <v>4700</v>
      </c>
      <c r="D1289" s="15">
        <v>15</v>
      </c>
      <c r="E1289" s="16">
        <v>70500</v>
      </c>
      <c r="F1289" s="62">
        <f>E1289-E1289</f>
        <v>0</v>
      </c>
    </row>
    <row r="1290" spans="1:6" x14ac:dyDescent="0.2">
      <c r="A1290" t="s">
        <v>882</v>
      </c>
      <c r="B1290" s="139" t="s">
        <v>822</v>
      </c>
      <c r="C1290" s="150">
        <v>261</v>
      </c>
      <c r="D1290" s="140">
        <v>10</v>
      </c>
      <c r="E1290" s="136">
        <v>2610</v>
      </c>
      <c r="F1290" s="62">
        <f>E1290-E1291</f>
        <v>0</v>
      </c>
    </row>
    <row r="1291" spans="1:6" x14ac:dyDescent="0.2">
      <c r="B1291" s="15" t="s">
        <v>1408</v>
      </c>
      <c r="C1291" s="16">
        <v>2610</v>
      </c>
      <c r="D1291" s="15">
        <v>1</v>
      </c>
      <c r="E1291" s="16">
        <v>2610</v>
      </c>
      <c r="F1291" s="62">
        <f>E1291-E1291</f>
        <v>0</v>
      </c>
    </row>
    <row r="1292" spans="1:6" x14ac:dyDescent="0.15">
      <c r="A1292" t="s">
        <v>882</v>
      </c>
      <c r="B1292" s="137" t="s">
        <v>692</v>
      </c>
      <c r="C1292" s="157">
        <v>13.21</v>
      </c>
      <c r="D1292" s="140">
        <v>519</v>
      </c>
      <c r="E1292" s="136">
        <v>6855.9900000000007</v>
      </c>
      <c r="F1292" s="62">
        <f>E1292-E1293</f>
        <v>6855.9900000000007</v>
      </c>
    </row>
    <row r="1293" spans="1:6" x14ac:dyDescent="0.15">
      <c r="B1293" s="20"/>
      <c r="C1293" s="158"/>
      <c r="D1293" s="99"/>
      <c r="E1293" s="122"/>
      <c r="F1293" s="62">
        <f>E1293-E1293</f>
        <v>0</v>
      </c>
    </row>
    <row r="1294" spans="1:6" x14ac:dyDescent="0.2">
      <c r="A1294" t="s">
        <v>882</v>
      </c>
      <c r="B1294" s="139" t="s">
        <v>393</v>
      </c>
      <c r="C1294" s="150">
        <v>105</v>
      </c>
      <c r="D1294" s="140">
        <v>76</v>
      </c>
      <c r="E1294" s="136">
        <v>7980</v>
      </c>
      <c r="F1294" s="62">
        <f>E1294-E1295</f>
        <v>-278070</v>
      </c>
    </row>
    <row r="1295" spans="1:6" x14ac:dyDescent="0.2">
      <c r="B1295" s="15" t="s">
        <v>1324</v>
      </c>
      <c r="C1295" s="16">
        <v>10500</v>
      </c>
      <c r="D1295" s="15">
        <v>10</v>
      </c>
      <c r="E1295" s="16">
        <v>286050</v>
      </c>
      <c r="F1295" s="62">
        <f>E1295-E1295</f>
        <v>0</v>
      </c>
    </row>
    <row r="1296" spans="1:6" x14ac:dyDescent="0.15">
      <c r="A1296" t="s">
        <v>882</v>
      </c>
      <c r="B1296" s="137" t="s">
        <v>242</v>
      </c>
      <c r="C1296" s="149">
        <v>8.6999999999999993</v>
      </c>
      <c r="D1296" s="140">
        <v>3468.4210526315792</v>
      </c>
      <c r="E1296" s="136">
        <v>30175.263157894737</v>
      </c>
      <c r="F1296" s="62">
        <f>E1296-E1297</f>
        <v>-291724.73684210528</v>
      </c>
    </row>
    <row r="1297" spans="1:6" x14ac:dyDescent="0.2">
      <c r="B1297" s="15" t="s">
        <v>971</v>
      </c>
      <c r="C1297" s="16">
        <v>8700</v>
      </c>
      <c r="D1297" s="15">
        <v>28</v>
      </c>
      <c r="E1297" s="16">
        <v>321900</v>
      </c>
      <c r="F1297" s="62">
        <f>E1297-E1297</f>
        <v>0</v>
      </c>
    </row>
    <row r="1298" spans="1:6" x14ac:dyDescent="0.2">
      <c r="A1298" t="s">
        <v>882</v>
      </c>
      <c r="B1298" s="139" t="s">
        <v>864</v>
      </c>
      <c r="C1298" s="151">
        <v>66.3</v>
      </c>
      <c r="D1298" s="135">
        <v>37</v>
      </c>
      <c r="E1298" s="136">
        <v>2453.1</v>
      </c>
      <c r="F1298" s="62">
        <f>E1298-E1299</f>
        <v>-9480.9</v>
      </c>
    </row>
    <row r="1299" spans="1:6" x14ac:dyDescent="0.2">
      <c r="B1299" s="15" t="s">
        <v>1325</v>
      </c>
      <c r="C1299" s="16">
        <v>663</v>
      </c>
      <c r="D1299" s="15">
        <v>18</v>
      </c>
      <c r="E1299" s="16">
        <v>11934</v>
      </c>
      <c r="F1299" s="62">
        <f>E1299-E1299</f>
        <v>0</v>
      </c>
    </row>
    <row r="1300" spans="1:6" x14ac:dyDescent="0.15">
      <c r="A1300" t="s">
        <v>882</v>
      </c>
      <c r="B1300" s="137" t="s">
        <v>786</v>
      </c>
      <c r="C1300" s="149">
        <v>8.9</v>
      </c>
      <c r="D1300" s="140">
        <v>966.5</v>
      </c>
      <c r="E1300" s="136">
        <v>8601.85</v>
      </c>
      <c r="F1300" s="62">
        <f>E1300-E1301</f>
        <v>-105078.15</v>
      </c>
    </row>
    <row r="1301" spans="1:6" x14ac:dyDescent="0.2">
      <c r="B1301" s="15" t="s">
        <v>1215</v>
      </c>
      <c r="C1301" s="16">
        <v>890</v>
      </c>
      <c r="D1301" s="15">
        <v>14</v>
      </c>
      <c r="E1301" s="16">
        <v>113680</v>
      </c>
      <c r="F1301" s="62">
        <f>E1301-E1301</f>
        <v>0</v>
      </c>
    </row>
    <row r="1302" spans="1:6" x14ac:dyDescent="0.2">
      <c r="A1302" t="s">
        <v>882</v>
      </c>
      <c r="B1302" s="137" t="s">
        <v>243</v>
      </c>
      <c r="C1302" s="150">
        <v>38.44</v>
      </c>
      <c r="D1302" s="135">
        <v>199</v>
      </c>
      <c r="E1302" s="136">
        <v>7649.5599999999995</v>
      </c>
      <c r="F1302" s="62">
        <f>E1302-E1303</f>
        <v>-34634.44</v>
      </c>
    </row>
    <row r="1303" spans="1:6" x14ac:dyDescent="0.2">
      <c r="B1303" s="15" t="s">
        <v>1129</v>
      </c>
      <c r="C1303" s="16">
        <v>3844</v>
      </c>
      <c r="D1303" s="15">
        <v>11</v>
      </c>
      <c r="E1303" s="16">
        <v>42284</v>
      </c>
      <c r="F1303" s="62">
        <f>E1303-E1303</f>
        <v>0</v>
      </c>
    </row>
    <row r="1304" spans="1:6" x14ac:dyDescent="0.15">
      <c r="A1304" t="s">
        <v>882</v>
      </c>
      <c r="B1304" s="137" t="s">
        <v>693</v>
      </c>
      <c r="C1304" s="157">
        <v>173.1</v>
      </c>
      <c r="D1304" s="140">
        <v>125</v>
      </c>
      <c r="E1304" s="136">
        <v>21637.5</v>
      </c>
      <c r="F1304" s="62">
        <f>E1304-E1305</f>
        <v>-105888.5</v>
      </c>
    </row>
    <row r="1305" spans="1:6" x14ac:dyDescent="0.2">
      <c r="B1305" s="15" t="s">
        <v>1014</v>
      </c>
      <c r="C1305" s="16">
        <v>18218</v>
      </c>
      <c r="D1305" s="15">
        <v>7</v>
      </c>
      <c r="E1305" s="16">
        <v>127526</v>
      </c>
      <c r="F1305" s="62">
        <f>E1305-E1305</f>
        <v>0</v>
      </c>
    </row>
    <row r="1306" spans="1:6" x14ac:dyDescent="0.15">
      <c r="A1306" t="s">
        <v>882</v>
      </c>
      <c r="B1306" s="137" t="s">
        <v>613</v>
      </c>
      <c r="C1306" s="149">
        <v>9.5</v>
      </c>
      <c r="D1306" s="140">
        <v>1776</v>
      </c>
      <c r="E1306" s="136">
        <v>16872</v>
      </c>
      <c r="F1306" s="62">
        <f>E1306-E1307</f>
        <v>-16390</v>
      </c>
    </row>
    <row r="1307" spans="1:6" x14ac:dyDescent="0.2">
      <c r="B1307" s="15" t="s">
        <v>1015</v>
      </c>
      <c r="C1307" s="16">
        <v>950</v>
      </c>
      <c r="D1307" s="15">
        <v>5</v>
      </c>
      <c r="E1307" s="16">
        <v>33262</v>
      </c>
      <c r="F1307" s="62">
        <f>E1307-E1307</f>
        <v>0</v>
      </c>
    </row>
    <row r="1308" spans="1:6" x14ac:dyDescent="0.15">
      <c r="A1308" t="s">
        <v>882</v>
      </c>
      <c r="B1308" s="137" t="s">
        <v>614</v>
      </c>
      <c r="C1308" s="149">
        <v>17.25</v>
      </c>
      <c r="D1308" s="140">
        <v>1770.5882352941176</v>
      </c>
      <c r="E1308" s="136">
        <v>30542.647058823528</v>
      </c>
      <c r="F1308" s="62">
        <f>E1308-E1309</f>
        <v>-159185.35294117648</v>
      </c>
    </row>
    <row r="1309" spans="1:6" x14ac:dyDescent="0.2">
      <c r="B1309" s="15" t="s">
        <v>1016</v>
      </c>
      <c r="C1309" s="16">
        <v>17248</v>
      </c>
      <c r="D1309" s="15">
        <v>11</v>
      </c>
      <c r="E1309" s="16">
        <v>189728</v>
      </c>
      <c r="F1309" s="62">
        <f>E1309-E1309</f>
        <v>0</v>
      </c>
    </row>
    <row r="1310" spans="1:6" x14ac:dyDescent="0.2">
      <c r="A1310" t="s">
        <v>882</v>
      </c>
      <c r="B1310" s="139" t="s">
        <v>729</v>
      </c>
      <c r="C1310" s="151">
        <v>207.14</v>
      </c>
      <c r="D1310" s="135">
        <v>119</v>
      </c>
      <c r="E1310" s="136">
        <v>24649.66</v>
      </c>
      <c r="F1310" s="62">
        <f>E1310-E1311</f>
        <v>-236350.34</v>
      </c>
    </row>
    <row r="1311" spans="1:6" x14ac:dyDescent="0.2">
      <c r="B1311" s="15" t="s">
        <v>1071</v>
      </c>
      <c r="C1311" s="16">
        <v>14500</v>
      </c>
      <c r="D1311" s="15">
        <v>18</v>
      </c>
      <c r="E1311" s="16">
        <v>261000</v>
      </c>
      <c r="F1311" s="62">
        <f>E1311-E1311</f>
        <v>0</v>
      </c>
    </row>
    <row r="1312" spans="1:6" x14ac:dyDescent="0.2">
      <c r="A1312" t="s">
        <v>882</v>
      </c>
      <c r="B1312" s="139" t="s">
        <v>541</v>
      </c>
      <c r="C1312" s="150">
        <v>385.71</v>
      </c>
      <c r="D1312" s="135">
        <v>98</v>
      </c>
      <c r="E1312" s="136">
        <v>37799.579999999994</v>
      </c>
      <c r="F1312" s="62">
        <f>E1312-E1313</f>
        <v>-2689200.42</v>
      </c>
    </row>
    <row r="1313" spans="1:6" x14ac:dyDescent="0.2">
      <c r="B1313" s="15" t="s">
        <v>1072</v>
      </c>
      <c r="C1313" s="16">
        <v>27000</v>
      </c>
      <c r="D1313" s="15">
        <v>101</v>
      </c>
      <c r="E1313" s="16">
        <v>2727000</v>
      </c>
      <c r="F1313" s="62">
        <f>E1313-E1313</f>
        <v>0</v>
      </c>
    </row>
    <row r="1314" spans="1:6" x14ac:dyDescent="0.15">
      <c r="A1314" t="s">
        <v>882</v>
      </c>
      <c r="B1314" s="137" t="s">
        <v>244</v>
      </c>
      <c r="C1314" s="149">
        <v>9.52</v>
      </c>
      <c r="D1314" s="140">
        <v>162</v>
      </c>
      <c r="E1314" s="136">
        <v>1542.24</v>
      </c>
      <c r="F1314" s="62">
        <f>E1314-E1315</f>
        <v>-7025.76</v>
      </c>
    </row>
    <row r="1315" spans="1:6" x14ac:dyDescent="0.2">
      <c r="B1315" s="15" t="s">
        <v>1239</v>
      </c>
      <c r="C1315" s="16">
        <v>952</v>
      </c>
      <c r="D1315" s="15">
        <v>9</v>
      </c>
      <c r="E1315" s="16">
        <v>8568</v>
      </c>
      <c r="F1315" s="62">
        <f>E1315-E1315</f>
        <v>0</v>
      </c>
    </row>
    <row r="1316" spans="1:6" x14ac:dyDescent="0.15">
      <c r="A1316" t="s">
        <v>882</v>
      </c>
      <c r="B1316" s="137" t="s">
        <v>245</v>
      </c>
      <c r="C1316" s="149">
        <v>4.3099999999999996</v>
      </c>
      <c r="D1316" s="140">
        <v>900</v>
      </c>
      <c r="E1316" s="136">
        <v>3878.9999999999995</v>
      </c>
      <c r="F1316" s="62">
        <f>E1316-E1317</f>
        <v>-21981</v>
      </c>
    </row>
    <row r="1317" spans="1:6" x14ac:dyDescent="0.2">
      <c r="B1317" s="15" t="s">
        <v>937</v>
      </c>
      <c r="C1317" s="16">
        <v>4310</v>
      </c>
      <c r="D1317" s="15">
        <v>6</v>
      </c>
      <c r="E1317" s="16">
        <v>25860</v>
      </c>
      <c r="F1317" s="62">
        <f>E1317-E1317</f>
        <v>0</v>
      </c>
    </row>
    <row r="1318" spans="1:6" x14ac:dyDescent="0.2">
      <c r="A1318" t="s">
        <v>882</v>
      </c>
      <c r="B1318" s="139" t="s">
        <v>246</v>
      </c>
      <c r="C1318" s="150">
        <v>13.1</v>
      </c>
      <c r="D1318" s="140">
        <v>1746</v>
      </c>
      <c r="E1318" s="136">
        <v>22872.6</v>
      </c>
      <c r="F1318" s="62">
        <f>E1318-E1319</f>
        <v>-50469.4</v>
      </c>
    </row>
    <row r="1319" spans="1:6" x14ac:dyDescent="0.2">
      <c r="B1319" s="15" t="s">
        <v>938</v>
      </c>
      <c r="C1319" s="16">
        <v>1310</v>
      </c>
      <c r="D1319" s="15">
        <v>11</v>
      </c>
      <c r="E1319" s="16">
        <v>73342</v>
      </c>
      <c r="F1319" s="62">
        <f>E1319-E1319</f>
        <v>0</v>
      </c>
    </row>
    <row r="1320" spans="1:6" x14ac:dyDescent="0.2">
      <c r="A1320" t="s">
        <v>882</v>
      </c>
      <c r="B1320" s="139" t="s">
        <v>446</v>
      </c>
      <c r="C1320" s="150">
        <v>8.6</v>
      </c>
      <c r="D1320" s="135">
        <v>300</v>
      </c>
      <c r="E1320" s="136">
        <v>2580</v>
      </c>
      <c r="F1320" s="62">
        <f>E1320-E1321</f>
        <v>-8600</v>
      </c>
    </row>
    <row r="1321" spans="1:6" x14ac:dyDescent="0.2">
      <c r="B1321" s="15" t="s">
        <v>1396</v>
      </c>
      <c r="C1321" s="16">
        <v>860</v>
      </c>
      <c r="D1321" s="15">
        <v>13</v>
      </c>
      <c r="E1321" s="16">
        <v>11180</v>
      </c>
      <c r="F1321" s="62">
        <f>E1321-E1321</f>
        <v>0</v>
      </c>
    </row>
    <row r="1322" spans="1:6" x14ac:dyDescent="0.2">
      <c r="A1322" t="s">
        <v>882</v>
      </c>
      <c r="B1322" s="139" t="s">
        <v>247</v>
      </c>
      <c r="C1322" s="150">
        <v>6.41</v>
      </c>
      <c r="D1322" s="135">
        <v>100</v>
      </c>
      <c r="E1322" s="136">
        <v>641</v>
      </c>
      <c r="F1322" s="62">
        <f>E1322-E1323</f>
        <v>-15384</v>
      </c>
    </row>
    <row r="1323" spans="1:6" x14ac:dyDescent="0.2">
      <c r="B1323" s="15" t="s">
        <v>1208</v>
      </c>
      <c r="C1323" s="16">
        <v>641</v>
      </c>
      <c r="D1323" s="15">
        <v>25</v>
      </c>
      <c r="E1323" s="16">
        <v>16025</v>
      </c>
      <c r="F1323" s="62">
        <f>E1323-E1323</f>
        <v>0</v>
      </c>
    </row>
    <row r="1324" spans="1:6" x14ac:dyDescent="0.2">
      <c r="A1324" t="s">
        <v>882</v>
      </c>
      <c r="B1324" s="139" t="s">
        <v>364</v>
      </c>
      <c r="C1324" s="150">
        <v>189.8</v>
      </c>
      <c r="D1324" s="140">
        <v>12</v>
      </c>
      <c r="E1324" s="136">
        <v>2277.6000000000004</v>
      </c>
      <c r="F1324" s="62">
        <f>E1324-E1325</f>
        <v>2277.6000000000004</v>
      </c>
    </row>
    <row r="1325" spans="1:6" x14ac:dyDescent="0.2">
      <c r="B1325" s="17"/>
      <c r="C1325" s="154"/>
      <c r="D1325" s="99"/>
      <c r="E1325" s="122"/>
      <c r="F1325" s="62">
        <f>E1325-E1325</f>
        <v>0</v>
      </c>
    </row>
    <row r="1326" spans="1:6" x14ac:dyDescent="0.2">
      <c r="A1326" t="s">
        <v>882</v>
      </c>
      <c r="B1326" s="139" t="s">
        <v>675</v>
      </c>
      <c r="C1326" s="150">
        <v>1161.2</v>
      </c>
      <c r="D1326" s="140">
        <v>28</v>
      </c>
      <c r="E1326" s="136">
        <v>32513.600000000002</v>
      </c>
      <c r="F1326" s="62">
        <f>E1326-E1327</f>
        <v>-2994132.4</v>
      </c>
    </row>
    <row r="1327" spans="1:6" x14ac:dyDescent="0.2">
      <c r="B1327" s="15" t="s">
        <v>1368</v>
      </c>
      <c r="C1327" s="16">
        <v>12717</v>
      </c>
      <c r="D1327" s="15">
        <v>238</v>
      </c>
      <c r="E1327" s="16">
        <v>3026646</v>
      </c>
      <c r="F1327" s="62">
        <f>E1327-E1327</f>
        <v>0</v>
      </c>
    </row>
    <row r="1328" spans="1:6" x14ac:dyDescent="0.2">
      <c r="A1328" t="s">
        <v>882</v>
      </c>
      <c r="B1328" s="139" t="s">
        <v>674</v>
      </c>
      <c r="C1328" s="150">
        <v>1271.7</v>
      </c>
      <c r="D1328" s="140">
        <v>39</v>
      </c>
      <c r="E1328" s="136">
        <v>49596.3</v>
      </c>
      <c r="F1328" s="62">
        <f>E1328-E1329</f>
        <v>-1309007.7</v>
      </c>
    </row>
    <row r="1329" spans="1:6" x14ac:dyDescent="0.2">
      <c r="B1329" s="15" t="s">
        <v>1369</v>
      </c>
      <c r="C1329" s="16">
        <v>11612</v>
      </c>
      <c r="D1329" s="15">
        <v>117</v>
      </c>
      <c r="E1329" s="16">
        <v>1358604</v>
      </c>
      <c r="F1329" s="62">
        <f>E1329-E1329</f>
        <v>0</v>
      </c>
    </row>
    <row r="1330" spans="1:6" x14ac:dyDescent="0.2">
      <c r="A1330" t="s">
        <v>882</v>
      </c>
      <c r="B1330" s="139" t="s">
        <v>290</v>
      </c>
      <c r="C1330" s="150">
        <v>2.94</v>
      </c>
      <c r="D1330" s="135">
        <v>490</v>
      </c>
      <c r="E1330" s="136">
        <v>1440.6</v>
      </c>
      <c r="F1330" s="62">
        <f>E1330-E1331</f>
        <v>1440.6</v>
      </c>
    </row>
    <row r="1331" spans="1:6" x14ac:dyDescent="0.2">
      <c r="B1331" s="139"/>
      <c r="C1331" s="150"/>
      <c r="D1331" s="135"/>
      <c r="E1331" s="136"/>
      <c r="F1331" s="62">
        <f>E1331-E1331</f>
        <v>0</v>
      </c>
    </row>
    <row r="1332" spans="1:6" x14ac:dyDescent="0.2">
      <c r="A1332" t="s">
        <v>882</v>
      </c>
      <c r="B1332" s="139" t="s">
        <v>33</v>
      </c>
      <c r="C1332" s="155">
        <v>2.67</v>
      </c>
      <c r="D1332" s="140">
        <v>374</v>
      </c>
      <c r="E1332" s="136">
        <v>998.57999999999993</v>
      </c>
      <c r="F1332" s="62">
        <f>E1332-E1333</f>
        <v>-17705.419999999998</v>
      </c>
    </row>
    <row r="1333" spans="1:6" x14ac:dyDescent="0.2">
      <c r="B1333" s="15" t="s">
        <v>1356</v>
      </c>
      <c r="C1333" s="16">
        <v>1336</v>
      </c>
      <c r="D1333" s="15">
        <v>14</v>
      </c>
      <c r="E1333" s="16">
        <v>18704</v>
      </c>
      <c r="F1333" s="62">
        <f>E1333-E1333</f>
        <v>0</v>
      </c>
    </row>
    <row r="1334" spans="1:6" x14ac:dyDescent="0.2">
      <c r="A1334" t="s">
        <v>882</v>
      </c>
      <c r="B1334" s="139" t="s">
        <v>34</v>
      </c>
      <c r="C1334" s="155">
        <v>0.81</v>
      </c>
      <c r="D1334" s="140">
        <v>490</v>
      </c>
      <c r="E1334" s="136">
        <v>396.90000000000003</v>
      </c>
      <c r="F1334" s="62">
        <f>E1334-E1335</f>
        <v>-4058.1</v>
      </c>
    </row>
    <row r="1335" spans="1:6" x14ac:dyDescent="0.2">
      <c r="B1335" s="15" t="s">
        <v>1357</v>
      </c>
      <c r="C1335" s="16">
        <v>405</v>
      </c>
      <c r="D1335" s="15">
        <v>11</v>
      </c>
      <c r="E1335" s="16">
        <v>4455</v>
      </c>
      <c r="F1335" s="62">
        <f>E1335-E1335</f>
        <v>0</v>
      </c>
    </row>
    <row r="1336" spans="1:6" x14ac:dyDescent="0.2">
      <c r="A1336" t="s">
        <v>882</v>
      </c>
      <c r="B1336" s="139" t="s">
        <v>397</v>
      </c>
      <c r="C1336" s="150">
        <v>290</v>
      </c>
      <c r="D1336" s="140">
        <v>36</v>
      </c>
      <c r="E1336" s="136">
        <v>10440</v>
      </c>
      <c r="F1336" s="62">
        <f>E1336-E1337</f>
        <v>-6960</v>
      </c>
    </row>
    <row r="1337" spans="1:6" x14ac:dyDescent="0.2">
      <c r="B1337" s="15" t="s">
        <v>1304</v>
      </c>
      <c r="C1337" s="16">
        <v>290</v>
      </c>
      <c r="D1337" s="15">
        <v>60</v>
      </c>
      <c r="E1337" s="16">
        <v>17400</v>
      </c>
      <c r="F1337" s="62">
        <f>E1337-E1337</f>
        <v>0</v>
      </c>
    </row>
    <row r="1338" spans="1:6" x14ac:dyDescent="0.2">
      <c r="A1338" t="s">
        <v>882</v>
      </c>
      <c r="B1338" s="139" t="s">
        <v>35</v>
      </c>
      <c r="C1338" s="155">
        <v>1.49</v>
      </c>
      <c r="D1338" s="140">
        <v>9590</v>
      </c>
      <c r="E1338" s="136">
        <v>14289.1</v>
      </c>
      <c r="F1338" s="62">
        <f>E1338-E1339</f>
        <v>-15670.9</v>
      </c>
    </row>
    <row r="1339" spans="1:6" x14ac:dyDescent="0.2">
      <c r="B1339" s="15" t="s">
        <v>1263</v>
      </c>
      <c r="C1339" s="16">
        <v>1498</v>
      </c>
      <c r="D1339" s="15">
        <v>20</v>
      </c>
      <c r="E1339" s="16">
        <v>29960</v>
      </c>
      <c r="F1339" s="62">
        <f>E1339-E1339</f>
        <v>0</v>
      </c>
    </row>
    <row r="1340" spans="1:6" x14ac:dyDescent="0.2">
      <c r="A1340" t="s">
        <v>882</v>
      </c>
      <c r="B1340" s="139"/>
      <c r="C1340" s="150"/>
      <c r="D1340" s="135"/>
      <c r="E1340" s="136"/>
      <c r="F1340" s="62">
        <f>E1340-E1341</f>
        <v>-16080</v>
      </c>
    </row>
    <row r="1341" spans="1:6" x14ac:dyDescent="0.2">
      <c r="B1341" s="15" t="s">
        <v>1209</v>
      </c>
      <c r="C1341" s="16">
        <v>5360</v>
      </c>
      <c r="D1341" s="15">
        <v>3</v>
      </c>
      <c r="E1341" s="16">
        <v>16080</v>
      </c>
      <c r="F1341" s="62">
        <f>E1341-E1341</f>
        <v>0</v>
      </c>
    </row>
    <row r="1342" spans="1:6" x14ac:dyDescent="0.2">
      <c r="A1342" t="s">
        <v>882</v>
      </c>
      <c r="B1342" s="139" t="s">
        <v>387</v>
      </c>
      <c r="C1342" s="150">
        <v>63.08</v>
      </c>
      <c r="D1342" s="140">
        <v>114</v>
      </c>
      <c r="E1342" s="136">
        <v>7191.12</v>
      </c>
      <c r="F1342" s="62">
        <f>E1342-E1343</f>
        <v>-170703.88</v>
      </c>
    </row>
    <row r="1343" spans="1:6" x14ac:dyDescent="0.2">
      <c r="B1343" s="15" t="s">
        <v>1264</v>
      </c>
      <c r="C1343" s="16">
        <v>3785</v>
      </c>
      <c r="D1343" s="15">
        <v>47</v>
      </c>
      <c r="E1343" s="16">
        <v>177895</v>
      </c>
      <c r="F1343" s="62">
        <f>E1343-E1343</f>
        <v>0</v>
      </c>
    </row>
    <row r="1344" spans="1:6" x14ac:dyDescent="0.15">
      <c r="A1344" t="s">
        <v>882</v>
      </c>
      <c r="B1344" s="137" t="s">
        <v>366</v>
      </c>
      <c r="C1344" s="149">
        <v>454.4</v>
      </c>
      <c r="D1344" s="140">
        <v>16</v>
      </c>
      <c r="E1344" s="136">
        <v>7270.4</v>
      </c>
      <c r="F1344" s="62">
        <f>E1344-E1345</f>
        <v>-1817.6000000000004</v>
      </c>
    </row>
    <row r="1345" spans="1:6" x14ac:dyDescent="0.2">
      <c r="B1345" s="15" t="s">
        <v>1280</v>
      </c>
      <c r="C1345" s="16">
        <v>4544</v>
      </c>
      <c r="D1345" s="15">
        <v>2</v>
      </c>
      <c r="E1345" s="16">
        <v>9088</v>
      </c>
      <c r="F1345" s="62">
        <f>E1345-E1345</f>
        <v>0</v>
      </c>
    </row>
    <row r="1346" spans="1:6" x14ac:dyDescent="0.2">
      <c r="A1346" s="148" t="s">
        <v>882</v>
      </c>
      <c r="B1346" s="148"/>
      <c r="C1346" s="153"/>
      <c r="D1346" s="148"/>
      <c r="E1346" s="153"/>
      <c r="F1346" s="62">
        <f>E1346-E1347</f>
        <v>-7692</v>
      </c>
    </row>
    <row r="1347" spans="1:6" x14ac:dyDescent="0.2">
      <c r="B1347" s="15" t="s">
        <v>1286</v>
      </c>
      <c r="C1347" s="16">
        <v>1282</v>
      </c>
      <c r="D1347" s="15">
        <v>6</v>
      </c>
      <c r="E1347" s="16">
        <v>7692</v>
      </c>
      <c r="F1347" s="62">
        <f>E1347-E1347</f>
        <v>0</v>
      </c>
    </row>
    <row r="1348" spans="1:6" x14ac:dyDescent="0.2">
      <c r="A1348" t="s">
        <v>882</v>
      </c>
      <c r="B1348" s="139" t="s">
        <v>669</v>
      </c>
      <c r="C1348" s="150">
        <v>130</v>
      </c>
      <c r="D1348" s="140">
        <v>420</v>
      </c>
      <c r="E1348" s="136">
        <v>54600</v>
      </c>
      <c r="F1348" s="62">
        <f>E1348-E1349</f>
        <v>-137800</v>
      </c>
    </row>
    <row r="1349" spans="1:6" x14ac:dyDescent="0.2">
      <c r="B1349" s="15" t="s">
        <v>1378</v>
      </c>
      <c r="C1349" s="16">
        <v>1300</v>
      </c>
      <c r="D1349" s="15">
        <v>148</v>
      </c>
      <c r="E1349" s="16">
        <v>192400</v>
      </c>
      <c r="F1349" s="62">
        <f>E1349-E1349</f>
        <v>0</v>
      </c>
    </row>
    <row r="1350" spans="1:6" x14ac:dyDescent="0.2">
      <c r="A1350" t="s">
        <v>882</v>
      </c>
      <c r="B1350" s="139" t="s">
        <v>670</v>
      </c>
      <c r="C1350" s="150">
        <v>55.2</v>
      </c>
      <c r="D1350" s="140">
        <v>125</v>
      </c>
      <c r="E1350" s="136">
        <v>6900</v>
      </c>
      <c r="F1350" s="62">
        <f>E1350-E1351</f>
        <v>-9660</v>
      </c>
    </row>
    <row r="1351" spans="1:6" x14ac:dyDescent="0.2">
      <c r="B1351" s="15" t="s">
        <v>1379</v>
      </c>
      <c r="C1351" s="16">
        <v>5520</v>
      </c>
      <c r="D1351" s="15">
        <v>3</v>
      </c>
      <c r="E1351" s="16">
        <v>16560</v>
      </c>
      <c r="F1351" s="62">
        <f>E1351-E1351</f>
        <v>0</v>
      </c>
    </row>
    <row r="1352" spans="1:6" x14ac:dyDescent="0.2">
      <c r="A1352" t="s">
        <v>882</v>
      </c>
      <c r="B1352" s="139" t="s">
        <v>398</v>
      </c>
      <c r="C1352" s="150">
        <v>111</v>
      </c>
      <c r="D1352" s="140">
        <v>7</v>
      </c>
      <c r="E1352" s="136">
        <v>777</v>
      </c>
      <c r="F1352" s="62">
        <f>E1352-E1353</f>
        <v>-16983</v>
      </c>
    </row>
    <row r="1353" spans="1:6" x14ac:dyDescent="0.2">
      <c r="B1353" s="15" t="s">
        <v>1492</v>
      </c>
      <c r="C1353" s="16">
        <v>111</v>
      </c>
      <c r="D1353" s="15">
        <v>160</v>
      </c>
      <c r="E1353" s="16">
        <v>17760</v>
      </c>
      <c r="F1353" s="62">
        <f>E1353-E1353</f>
        <v>0</v>
      </c>
    </row>
    <row r="1354" spans="1:6" x14ac:dyDescent="0.2">
      <c r="A1354" t="s">
        <v>882</v>
      </c>
      <c r="B1354" s="139" t="s">
        <v>370</v>
      </c>
      <c r="C1354" s="150">
        <v>210</v>
      </c>
      <c r="D1354" s="140">
        <v>60</v>
      </c>
      <c r="E1354" s="136">
        <v>12600</v>
      </c>
      <c r="F1354" s="62">
        <f>E1354-E1355</f>
        <v>-16800</v>
      </c>
    </row>
    <row r="1355" spans="1:6" x14ac:dyDescent="0.2">
      <c r="B1355" s="15" t="s">
        <v>1380</v>
      </c>
      <c r="C1355" s="16">
        <v>4200</v>
      </c>
      <c r="D1355" s="15">
        <v>7</v>
      </c>
      <c r="E1355" s="16">
        <v>29400</v>
      </c>
      <c r="F1355" s="62">
        <f>E1355-E1355</f>
        <v>0</v>
      </c>
    </row>
    <row r="1356" spans="1:6" x14ac:dyDescent="0.2">
      <c r="A1356" t="s">
        <v>882</v>
      </c>
      <c r="B1356" s="139" t="s">
        <v>371</v>
      </c>
      <c r="C1356" s="150">
        <v>295</v>
      </c>
      <c r="D1356" s="140">
        <v>33</v>
      </c>
      <c r="E1356" s="136">
        <v>9735</v>
      </c>
      <c r="F1356" s="62">
        <f>E1356-E1357</f>
        <v>-586165</v>
      </c>
    </row>
    <row r="1357" spans="1:6" x14ac:dyDescent="0.2">
      <c r="B1357" s="15" t="s">
        <v>1361</v>
      </c>
      <c r="C1357" s="16">
        <v>5900</v>
      </c>
      <c r="D1357" s="15">
        <v>101</v>
      </c>
      <c r="E1357" s="16">
        <v>595900</v>
      </c>
      <c r="F1357" s="62">
        <f>E1357-E1357</f>
        <v>0</v>
      </c>
    </row>
    <row r="1358" spans="1:6" x14ac:dyDescent="0.15">
      <c r="A1358" t="s">
        <v>882</v>
      </c>
      <c r="B1358" s="137" t="s">
        <v>148</v>
      </c>
      <c r="C1358" s="149">
        <v>11.22</v>
      </c>
      <c r="D1358" s="135">
        <v>1268.7142857142858</v>
      </c>
      <c r="E1358" s="136">
        <v>14234.974285714286</v>
      </c>
      <c r="F1358" s="62">
        <f>E1358-E1359</f>
        <v>-307365.02571428573</v>
      </c>
    </row>
    <row r="1359" spans="1:6" x14ac:dyDescent="0.15">
      <c r="B1359" s="15" t="s">
        <v>1099</v>
      </c>
      <c r="C1359" s="152"/>
      <c r="D1359" s="147"/>
      <c r="E1359" s="122">
        <v>321600</v>
      </c>
      <c r="F1359" s="62">
        <f>E1359-E1359</f>
        <v>0</v>
      </c>
    </row>
    <row r="1360" spans="1:6" x14ac:dyDescent="0.15">
      <c r="A1360" t="s">
        <v>882</v>
      </c>
      <c r="B1360" s="137" t="s">
        <v>149</v>
      </c>
      <c r="C1360" s="149">
        <v>7.92</v>
      </c>
      <c r="D1360" s="135">
        <v>3060</v>
      </c>
      <c r="E1360" s="136">
        <v>24235.200000000001</v>
      </c>
      <c r="F1360" s="62">
        <f>E1360-E1361</f>
        <v>-2152.7999999999993</v>
      </c>
    </row>
    <row r="1361" spans="1:6" x14ac:dyDescent="0.2">
      <c r="B1361" s="15" t="s">
        <v>1098</v>
      </c>
      <c r="C1361" s="16">
        <v>2628</v>
      </c>
      <c r="D1361" s="15">
        <v>1</v>
      </c>
      <c r="E1361" s="16">
        <v>26388</v>
      </c>
      <c r="F1361" s="62">
        <f>E1361-E1361</f>
        <v>0</v>
      </c>
    </row>
    <row r="1362" spans="1:6" x14ac:dyDescent="0.2">
      <c r="A1362" t="s">
        <v>882</v>
      </c>
      <c r="B1362" s="139" t="s">
        <v>36</v>
      </c>
      <c r="C1362" s="155">
        <v>0.66</v>
      </c>
      <c r="D1362" s="140">
        <v>531</v>
      </c>
      <c r="E1362" s="136">
        <v>350.46000000000004</v>
      </c>
      <c r="F1362" s="62">
        <f>E1362-E1363</f>
        <v>-309.53999999999996</v>
      </c>
    </row>
    <row r="1363" spans="1:6" x14ac:dyDescent="0.2">
      <c r="B1363" s="15" t="s">
        <v>36</v>
      </c>
      <c r="C1363" s="16">
        <v>330</v>
      </c>
      <c r="D1363" s="15">
        <v>2</v>
      </c>
      <c r="E1363" s="16">
        <v>660</v>
      </c>
      <c r="F1363" s="62">
        <f>E1363-E1363</f>
        <v>0</v>
      </c>
    </row>
    <row r="1364" spans="1:6" x14ac:dyDescent="0.2">
      <c r="A1364" t="s">
        <v>882</v>
      </c>
      <c r="B1364" s="139" t="s">
        <v>372</v>
      </c>
      <c r="C1364" s="150">
        <v>381.6</v>
      </c>
      <c r="D1364" s="140">
        <v>20</v>
      </c>
      <c r="E1364" s="136">
        <v>7632</v>
      </c>
      <c r="F1364" s="62">
        <f>E1364-E1365</f>
        <v>7632</v>
      </c>
    </row>
    <row r="1365" spans="1:6" x14ac:dyDescent="0.2">
      <c r="B1365" s="17"/>
      <c r="C1365" s="154"/>
      <c r="D1365" s="99"/>
      <c r="E1365" s="122"/>
      <c r="F1365" s="62">
        <f>E1365-E1365</f>
        <v>0</v>
      </c>
    </row>
    <row r="1366" spans="1:6" x14ac:dyDescent="0.2">
      <c r="A1366" t="s">
        <v>882</v>
      </c>
      <c r="B1366" s="139" t="s">
        <v>373</v>
      </c>
      <c r="C1366" s="150">
        <v>55.2</v>
      </c>
      <c r="D1366" s="140">
        <v>65</v>
      </c>
      <c r="E1366" s="136">
        <v>3588</v>
      </c>
      <c r="F1366" s="62">
        <f>E1366-E1367</f>
        <v>-21252</v>
      </c>
    </row>
    <row r="1367" spans="1:6" x14ac:dyDescent="0.2">
      <c r="B1367" s="15" t="s">
        <v>1493</v>
      </c>
      <c r="C1367" s="16">
        <v>2760</v>
      </c>
      <c r="D1367" s="15">
        <v>9</v>
      </c>
      <c r="E1367" s="16">
        <v>24840</v>
      </c>
      <c r="F1367" s="62">
        <f>E1367-E1367</f>
        <v>0</v>
      </c>
    </row>
    <row r="1368" spans="1:6" x14ac:dyDescent="0.2">
      <c r="A1368" t="s">
        <v>882</v>
      </c>
      <c r="B1368" s="139" t="s">
        <v>37</v>
      </c>
      <c r="C1368" s="155">
        <v>1.39</v>
      </c>
      <c r="D1368" s="140">
        <v>312</v>
      </c>
      <c r="E1368" s="136">
        <v>433.67999999999995</v>
      </c>
      <c r="F1368" s="62">
        <f>E1368-E1369</f>
        <v>-11449.32</v>
      </c>
    </row>
    <row r="1369" spans="1:6" x14ac:dyDescent="0.2">
      <c r="B1369" s="15" t="s">
        <v>1490</v>
      </c>
      <c r="C1369" s="16">
        <v>699</v>
      </c>
      <c r="D1369" s="15">
        <v>17</v>
      </c>
      <c r="E1369" s="16">
        <v>11883</v>
      </c>
      <c r="F1369" s="62">
        <f>E1369-E1369</f>
        <v>0</v>
      </c>
    </row>
    <row r="1370" spans="1:6" x14ac:dyDescent="0.15">
      <c r="A1370" t="s">
        <v>882</v>
      </c>
      <c r="B1370" s="137" t="s">
        <v>636</v>
      </c>
      <c r="C1370" s="149">
        <v>2.1800000000000002</v>
      </c>
      <c r="D1370" s="135">
        <v>1210</v>
      </c>
      <c r="E1370" s="136">
        <v>2637.8</v>
      </c>
      <c r="F1370" s="62">
        <f>E1370-E1371</f>
        <v>-58402.2</v>
      </c>
    </row>
    <row r="1371" spans="1:6" x14ac:dyDescent="0.2">
      <c r="B1371" s="15" t="s">
        <v>1491</v>
      </c>
      <c r="C1371" s="16">
        <v>1090</v>
      </c>
      <c r="D1371" s="15">
        <v>56</v>
      </c>
      <c r="E1371" s="16">
        <v>61040</v>
      </c>
      <c r="F1371" s="62">
        <f>E1371-E1371</f>
        <v>0</v>
      </c>
    </row>
    <row r="1372" spans="1:6" x14ac:dyDescent="0.2">
      <c r="F1372" s="62"/>
    </row>
    <row r="1373" spans="1:6" x14ac:dyDescent="0.2">
      <c r="F1373" s="62"/>
    </row>
    <row r="1374" spans="1:6" x14ac:dyDescent="0.2">
      <c r="F1374" s="62"/>
    </row>
    <row r="1375" spans="1:6" x14ac:dyDescent="0.2">
      <c r="F1375" s="62"/>
    </row>
    <row r="1376" spans="1:6" x14ac:dyDescent="0.2">
      <c r="F1376" s="62"/>
    </row>
    <row r="1377" spans="6:6" x14ac:dyDescent="0.2">
      <c r="F1377" s="62"/>
    </row>
  </sheetData>
  <sortState xmlns:xlrd2="http://schemas.microsoft.com/office/spreadsheetml/2017/richdata2" ref="A2:E35">
    <sortCondition ref="B2:B35"/>
    <sortCondition descending="1" ref="A2:A35"/>
  </sortState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合体</vt:lpstr>
      <vt:lpstr>match_results</vt:lpstr>
      <vt:lpstr>薬品マスタリスト_20260130100542</vt:lpstr>
      <vt:lpstr>集計</vt:lpstr>
      <vt:lpstr>Sheet1</vt:lpstr>
      <vt:lpstr>注射（集計）</vt:lpstr>
      <vt:lpstr>錠剤(集計）</vt:lpstr>
      <vt:lpstr>散剤（集計）</vt:lpstr>
      <vt:lpstr>漢方 (集計)</vt:lpstr>
      <vt:lpstr>外用 (集計)</vt:lpstr>
      <vt:lpstr>残量上位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k-yakuzai</dc:creator>
  <cp:lastModifiedBy>坂下 健郎</cp:lastModifiedBy>
  <cp:lastPrinted>2025-04-08T09:37:04Z</cp:lastPrinted>
  <dcterms:created xsi:type="dcterms:W3CDTF">2017-04-10T06:32:53Z</dcterms:created>
  <dcterms:modified xsi:type="dcterms:W3CDTF">2026-01-30T05:12:03Z</dcterms:modified>
</cp:coreProperties>
</file>